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110"/>
  <workbookPr defaultThemeVersion="124226"/>
  <mc:AlternateContent xmlns:mc="http://schemas.openxmlformats.org/markup-compatibility/2006">
    <mc:Choice Requires="x15">
      <x15ac:absPath xmlns:x15ac="http://schemas.microsoft.com/office/spreadsheetml/2010/11/ac" url="/Users/dasalgadob/Downloads/"/>
    </mc:Choice>
  </mc:AlternateContent>
  <xr:revisionPtr revIDLastSave="0" documentId="13_ncr:1_{EB3ED664-56F5-D747-88A5-F5C5AB5E991B}" xr6:coauthVersionLast="47" xr6:coauthVersionMax="47" xr10:uidLastSave="{00000000-0000-0000-0000-000000000000}"/>
  <bookViews>
    <workbookView xWindow="0" yWindow="760" windowWidth="30140" windowHeight="16840" xr2:uid="{00000000-000D-0000-FFFF-FFFF00000000}"/>
  </bookViews>
  <sheets>
    <sheet name="Evaluación de Objetivos 2025" sheetId="1" r:id="rId1"/>
    <sheet name="Resumen por Dirección" sheetId="2" r:id="rId2"/>
  </sheets>
  <definedNames>
    <definedName name="_xlnm._FilterDatabase" localSheetId="0" hidden="1">'Evaluación de Objetivos 2025'!$A$1:$O$1608</definedName>
    <definedName name="_xlnm._FilterDatabase" localSheetId="1" hidden="1">'Resumen por Dirección'!$A$1:$I$1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10" i="2" l="1"/>
  <c r="I3" i="2" l="1"/>
  <c r="I2" i="2"/>
  <c r="I4" i="2" s="1"/>
  <c r="I5" i="2" s="1"/>
  <c r="I6" i="2" s="1"/>
  <c r="I7" i="2" s="1"/>
  <c r="I8" i="2" s="1"/>
  <c r="I9" i="2" s="1"/>
  <c r="I10" i="2" s="1"/>
  <c r="I11" i="2" s="1"/>
  <c r="I12" i="2" s="1"/>
  <c r="I13" i="2" s="1"/>
  <c r="I14" i="2" s="1"/>
  <c r="I15" i="2" s="1"/>
  <c r="I16" i="2" s="1"/>
  <c r="I17" i="2" s="1"/>
  <c r="I18" i="2" s="1"/>
  <c r="I19" i="2" s="1"/>
  <c r="I20" i="2" s="1"/>
  <c r="I21" i="2" s="1"/>
  <c r="I22" i="2" s="1"/>
  <c r="I23" i="2" s="1"/>
  <c r="I24" i="2" s="1"/>
  <c r="I25" i="2" s="1"/>
  <c r="I26" i="2" s="1"/>
  <c r="I27" i="2" s="1"/>
  <c r="I28" i="2" s="1"/>
  <c r="I29" i="2" s="1"/>
  <c r="I30" i="2" s="1"/>
  <c r="I31" i="2" s="1"/>
  <c r="I32" i="2" s="1"/>
  <c r="I33" i="2" s="1"/>
  <c r="I34" i="2" s="1"/>
  <c r="I35" i="2" s="1"/>
  <c r="I36" i="2" s="1"/>
  <c r="I37" i="2" s="1"/>
  <c r="I38" i="2" s="1"/>
  <c r="I39" i="2" s="1"/>
  <c r="I40" i="2" s="1"/>
  <c r="I41" i="2" s="1"/>
  <c r="I42" i="2" s="1"/>
  <c r="I43" i="2" s="1"/>
  <c r="I44" i="2" s="1"/>
  <c r="I45" i="2" s="1"/>
  <c r="I46" i="2" s="1"/>
  <c r="I47" i="2" s="1"/>
  <c r="I48" i="2" s="1"/>
  <c r="I49" i="2" s="1"/>
  <c r="I50" i="2" s="1"/>
  <c r="I51" i="2" s="1"/>
  <c r="I52" i="2" s="1"/>
  <c r="I53" i="2" s="1"/>
  <c r="I54" i="2" s="1"/>
  <c r="I55" i="2" s="1"/>
  <c r="I56" i="2" s="1"/>
  <c r="I57" i="2" s="1"/>
  <c r="I58" i="2" s="1"/>
  <c r="I59" i="2" s="1"/>
  <c r="I60" i="2" s="1"/>
  <c r="I61" i="2" s="1"/>
  <c r="I62" i="2" s="1"/>
  <c r="I63" i="2" s="1"/>
  <c r="I64" i="2" s="1"/>
  <c r="I65" i="2" s="1"/>
  <c r="I66" i="2" s="1"/>
  <c r="I67" i="2" s="1"/>
  <c r="I68" i="2" s="1"/>
  <c r="I69" i="2" s="1"/>
  <c r="I70" i="2" s="1"/>
  <c r="I71" i="2" s="1"/>
  <c r="I72" i="2" s="1"/>
  <c r="I73" i="2" s="1"/>
  <c r="I74" i="2" s="1"/>
  <c r="I75" i="2" s="1"/>
  <c r="I76" i="2" s="1"/>
  <c r="I77" i="2" s="1"/>
  <c r="I78" i="2" s="1"/>
  <c r="I79" i="2" s="1"/>
  <c r="I80" i="2" s="1"/>
  <c r="I81" i="2" s="1"/>
  <c r="I82" i="2" s="1"/>
  <c r="I83" i="2" s="1"/>
  <c r="I84" i="2" s="1"/>
  <c r="I85" i="2" s="1"/>
  <c r="I86" i="2" s="1"/>
  <c r="I87" i="2" s="1"/>
  <c r="I88" i="2" s="1"/>
  <c r="I89" i="2" s="1"/>
  <c r="I90" i="2" s="1"/>
  <c r="I91" i="2" s="1"/>
  <c r="I92" i="2" s="1"/>
  <c r="I93" i="2" s="1"/>
  <c r="I94" i="2" s="1"/>
  <c r="I95" i="2" s="1"/>
  <c r="I96" i="2" s="1"/>
  <c r="I97" i="2" s="1"/>
  <c r="I98" i="2" s="1"/>
  <c r="I99" i="2" s="1"/>
  <c r="I100" i="2" s="1"/>
  <c r="I101" i="2" s="1"/>
  <c r="I102" i="2" s="1"/>
  <c r="I103" i="2" s="1"/>
  <c r="I104" i="2" s="1"/>
  <c r="I105" i="2" s="1"/>
  <c r="I106" i="2" s="1"/>
  <c r="I107" i="2" s="1"/>
  <c r="I108" i="2" s="1"/>
  <c r="I109" i="2" s="1"/>
  <c r="I110" i="2" s="1"/>
  <c r="I111" i="2" s="1"/>
  <c r="I112" i="2" s="1"/>
  <c r="I113" i="2" s="1"/>
  <c r="I114" i="2" s="1"/>
  <c r="I115" i="2" s="1"/>
  <c r="I116" i="2" s="1"/>
  <c r="I117" i="2" s="1"/>
  <c r="I118" i="2" s="1"/>
  <c r="I119" i="2" s="1"/>
  <c r="I120" i="2" s="1"/>
  <c r="I121" i="2" s="1"/>
  <c r="I122" i="2" s="1"/>
  <c r="I123" i="2" s="1"/>
  <c r="I124" i="2" s="1"/>
  <c r="I125" i="2" s="1"/>
  <c r="I126" i="2" s="1"/>
  <c r="I127" i="2" s="1"/>
  <c r="I128" i="2" s="1"/>
  <c r="I129" i="2" s="1"/>
  <c r="I130" i="2" s="1"/>
  <c r="I131" i="2" s="1"/>
  <c r="I132" i="2" s="1"/>
  <c r="I133" i="2" s="1"/>
  <c r="I134" i="2" s="1"/>
  <c r="I135" i="2" s="1"/>
  <c r="I136" i="2" s="1"/>
  <c r="I137" i="2" s="1"/>
  <c r="I138" i="2" s="1"/>
  <c r="I139" i="2" s="1"/>
  <c r="I140" i="2" s="1"/>
  <c r="I141" i="2" s="1"/>
  <c r="I142" i="2" s="1"/>
  <c r="I143" i="2" s="1"/>
  <c r="I144" i="2" s="1"/>
  <c r="I145" i="2" s="1"/>
  <c r="I146" i="2" s="1"/>
  <c r="I147" i="2" s="1"/>
  <c r="I148" i="2" s="1"/>
  <c r="I149" i="2" s="1"/>
  <c r="I150" i="2" s="1"/>
  <c r="I151" i="2" s="1"/>
  <c r="I152" i="2" s="1"/>
  <c r="I153" i="2" s="1"/>
  <c r="I154" i="2" s="1"/>
  <c r="I155" i="2" s="1"/>
  <c r="I156" i="2" s="1"/>
  <c r="I157" i="2" s="1"/>
  <c r="I158" i="2" s="1"/>
  <c r="I159" i="2" s="1"/>
  <c r="I160" i="2" s="1"/>
  <c r="I161" i="2" s="1"/>
  <c r="I162" i="2" s="1"/>
  <c r="I163" i="2" s="1"/>
  <c r="I164" i="2" s="1"/>
  <c r="I165" i="2" s="1"/>
  <c r="I166" i="2" s="1"/>
  <c r="I167" i="2" s="1"/>
  <c r="I168" i="2" s="1"/>
  <c r="I169" i="2" s="1"/>
  <c r="I170" i="2" s="1"/>
  <c r="I171" i="2" s="1"/>
  <c r="I172" i="2" s="1"/>
  <c r="I173" i="2" s="1"/>
  <c r="I174" i="2" s="1"/>
  <c r="I175" i="2" s="1"/>
  <c r="I176" i="2" s="1"/>
  <c r="I177" i="2" s="1"/>
  <c r="I178" i="2" s="1"/>
  <c r="I179" i="2" s="1"/>
  <c r="I180" i="2" s="1"/>
  <c r="I181" i="2" s="1"/>
  <c r="I182" i="2" s="1"/>
  <c r="I183" i="2" s="1"/>
  <c r="I184" i="2" s="1"/>
  <c r="I185" i="2" s="1"/>
  <c r="I186" i="2" s="1"/>
  <c r="I187" i="2" s="1"/>
  <c r="I188" i="2" s="1"/>
  <c r="I189" i="2" s="1"/>
  <c r="I190" i="2" s="1"/>
  <c r="I191" i="2" s="1"/>
  <c r="I192" i="2" s="1"/>
  <c r="I193" i="2" s="1"/>
  <c r="I194" i="2" s="1"/>
  <c r="I195" i="2" s="1"/>
  <c r="I196" i="2" s="1"/>
  <c r="I197" i="2" s="1"/>
  <c r="I198" i="2" s="1"/>
  <c r="I199" i="2" s="1"/>
  <c r="I200" i="2" s="1"/>
  <c r="I201" i="2" s="1"/>
  <c r="I202" i="2" s="1"/>
  <c r="I203" i="2" s="1"/>
  <c r="I204" i="2" s="1"/>
  <c r="I205" i="2" s="1"/>
  <c r="I206" i="2" s="1"/>
  <c r="I207" i="2" s="1"/>
  <c r="I208" i="2" s="1"/>
  <c r="I209" i="2" s="1"/>
  <c r="I211" i="2"/>
  <c r="I212" i="2"/>
  <c r="I213" i="2" s="1"/>
  <c r="I214" i="2" s="1"/>
  <c r="I215" i="2" s="1"/>
  <c r="I216" i="2" s="1"/>
  <c r="I217" i="2" s="1"/>
  <c r="I218" i="2" s="1"/>
  <c r="I219" i="2" s="1"/>
  <c r="I220" i="2" s="1"/>
  <c r="I221" i="2" s="1"/>
  <c r="I222" i="2" s="1"/>
  <c r="I223" i="2" s="1"/>
  <c r="I224" i="2" s="1"/>
  <c r="I225" i="2" s="1"/>
  <c r="I226" i="2" s="1"/>
  <c r="I227" i="2" s="1"/>
  <c r="I228" i="2" s="1"/>
  <c r="I229" i="2" s="1"/>
  <c r="I230" i="2" s="1"/>
  <c r="I231" i="2" s="1"/>
  <c r="I232" i="2" s="1"/>
  <c r="I233" i="2" s="1"/>
  <c r="I234" i="2" s="1"/>
  <c r="I235" i="2" s="1"/>
  <c r="I236" i="2" s="1"/>
  <c r="I237" i="2" s="1"/>
  <c r="I238" i="2" s="1"/>
  <c r="I239" i="2" s="1"/>
  <c r="I240" i="2" s="1"/>
  <c r="I241" i="2" s="1"/>
  <c r="I242" i="2" s="1"/>
  <c r="I243" i="2" s="1"/>
  <c r="I244" i="2" s="1"/>
  <c r="I245" i="2" s="1"/>
  <c r="I246" i="2" s="1"/>
  <c r="I247" i="2" s="1"/>
  <c r="I248" i="2" s="1"/>
  <c r="I249" i="2" s="1"/>
  <c r="I250" i="2" s="1"/>
  <c r="I251" i="2" s="1"/>
  <c r="I252" i="2" s="1"/>
  <c r="I253" i="2" s="1"/>
  <c r="I254" i="2" s="1"/>
  <c r="I255" i="2" s="1"/>
  <c r="I256" i="2" s="1"/>
  <c r="I257" i="2" s="1"/>
  <c r="I258" i="2" s="1"/>
  <c r="I259" i="2" s="1"/>
  <c r="I260" i="2" s="1"/>
  <c r="I261" i="2" s="1"/>
  <c r="I262" i="2" s="1"/>
  <c r="I263" i="2" s="1"/>
  <c r="I264" i="2" s="1"/>
  <c r="I265" i="2" s="1"/>
  <c r="I266" i="2" s="1"/>
  <c r="I267" i="2" s="1"/>
  <c r="I268" i="2" s="1"/>
  <c r="I269" i="2" s="1"/>
  <c r="I270" i="2" s="1"/>
  <c r="I271" i="2" s="1"/>
  <c r="I272" i="2" s="1"/>
  <c r="I273" i="2" s="1"/>
  <c r="I274" i="2" s="1"/>
  <c r="I275" i="2" s="1"/>
  <c r="I276" i="2" s="1"/>
</calcChain>
</file>

<file path=xl/sharedStrings.xml><?xml version="1.0" encoding="utf-8"?>
<sst xmlns="http://schemas.openxmlformats.org/spreadsheetml/2006/main" count="16682" uniqueCount="3445">
  <si>
    <t>Documento</t>
  </si>
  <si>
    <t>Empleado</t>
  </si>
  <si>
    <t>Cargo</t>
  </si>
  <si>
    <t>Documento Jefe</t>
  </si>
  <si>
    <t>Jefe</t>
  </si>
  <si>
    <t>Metas</t>
  </si>
  <si>
    <t>Descripción de la Meta</t>
  </si>
  <si>
    <t>Meta Estratégica</t>
  </si>
  <si>
    <t>Peso</t>
  </si>
  <si>
    <t>53165393</t>
  </si>
  <si>
    <t>Adriana Marcela Agudelo Ramos</t>
  </si>
  <si>
    <t>Dirección de Operaciones</t>
  </si>
  <si>
    <t>ANALISTA DE GARANTIAS</t>
  </si>
  <si>
    <t>65700309</t>
  </si>
  <si>
    <t>Aidee Osuna Garzon</t>
  </si>
  <si>
    <t>Universidad de la garantía</t>
  </si>
  <si>
    <t>En 4Q del 2025, Asistir y aprobar el Nivel Avanzado de la Universidad de la Garantía con un porcentaje mínimo del 85% en la evaluación final (tanto la teorica como la práctica)INDICADOR:Evaluación práctica (50%)Evaluación teórica (50%)EVIDENCIALa evidencia de cumplimiento será el listado de asistencia y la evaluación&amp;nbsp;</t>
  </si>
  <si>
    <t>2. Objetivos Individuales 50%</t>
  </si>
  <si>
    <t/>
  </si>
  <si>
    <t>Cursos: Inteligencia Artificial Generativa - BID</t>
  </si>
  <si>
    <t>Al 16 de junio del 2025 cursar y aprobar los cinco (5) módulos del curso de Inteligencia Artificial Generativa (IAGen): Fundamentos para la función pública de América Latina y el Caribe - Edición Colombia (BID).&amp;nbsp;Indicador: Cumple 100% / No cumple 0%&amp;nbsp;&amp;nbsp;Evidencia: Certificados de aprobación</t>
  </si>
  <si>
    <t>Ajustar información deudores Tx XD02 - Caracteres Especiales</t>
  </si>
  <si>
    <t>A 31/12/2025 Realizar el ajuste de nombres con caracteres especiales en la XD02.&amp;nbsp;para evitar errores en procesos de facturación. Se identificaron 74.469 deudores (persona natural) en la XD02 que tienen caracteres especiales en el nombreINDICADOR:&amp;nbsp;Cumple: Si actualiza 90% de deudoresNo Cumple: Si el porcentaje de actualización es menor al 90%ENTREGABLES / EVIDENCIA:&amp;nbsp;Base en excel con las evidencias, se guardarán en la carpeta de público\objetivos\Dirección de Operaciones.</t>
  </si>
  <si>
    <t>Garantía Global Reclamación y recuperación de cartera</t>
  </si>
  <si>
    <t>A 31/12/25 realizar pruebas integrales satisfactorias y solicitar el paso a PRD de los evolutivos del proceso de Reclamación de Garantías&amp;nbsp;y los desarrollos relacionados con la creación y contabilización del nuevo producto de cartera en el módulo CML PGG, según historia de usuario No. 19247CRITERIOS DE MEDICIÓNEl objetivo será medible&amp;nbsp;así:Pruebas integrales a satisfacción y solicitud de paso a PRD: 100% - Cumple / no cumpleENTREGABLES / EVIDENCIALa evidencia de cumplimiento será el correo de solicitud enviado a la Vp de Operaciones y/o Vp de TD e Innovación de paso a PRD&amp;nbsp;</t>
  </si>
  <si>
    <t>1. Objetivos del área 50%</t>
  </si>
  <si>
    <t>Estrategía de Apificación</t>
  </si>
  <si>
    <t>A 31/08/25 realizar y certificar pruebas integrales de los servicios expuestos en el canal digital (Apertura de Cupo, Reserva, Registro Gtia tradicional, Registro Gtia Global, Cancelación de Reservas, Modificación Cupos ) una vez configurados en la plataforma Integration Suite , por parte de la VP de TD e innovaciónCRITERIOS DE MEDICIÓNEl objetivo será medible&amp;nbsp;así:Pruebas integrales a satisfacción: 100% - Cumple / no cumpleENTREGABLES / EVIDENCIALa evidencia de cumplimiento será el correo enviado a la Vp de Operaciones y/o Vp de TD e Innovación en el que se certifiquen las pruebas integrales realizadas</t>
  </si>
  <si>
    <t>Rediseño y optimización de procesos R&amp;R</t>
  </si>
  <si>
    <t>A 31/12/25 realizar y certificar pruebas integrales de la modularización&amp;nbsp;de objetos críticos en los desarrollos asociados a los procesos de reserva, registro, apertura de cupo, liquidación de comisiones, actualización de saldos, reclamación de garantías, devolución de comisiones y reporte general de garantías -ZSD028E-CRITERIOS DE MEDICIÓNEl objetivo será medible&amp;nbsp;así:Pruebas integrales a satisfacción: 100% - Cumple / no cumpleENTREGABLES / EVIDENCIALa evidencia de cumplimiento será el correo enviado a la Vp de Operaciones y/o Vp de TD e Innovación en el que se certifiquen las pruebas integrales realizadas</t>
  </si>
  <si>
    <t xml:space="preserve"> Rediseño del proceso de liquidación y cobro de comisiones</t>
  </si>
  <si>
    <t>Antes del 31/12/25 elaborar historia de usuario para el rediseño del proceso de liquidación y cobro de comisiones de productos de garantía del esquema tradicionalCRITERIOS DE MEDICIÓNEl objetivo será medible&amp;nbsp;así:Elaborar y radicar el formato: Solicitud de Requerimientos o Evolutivos de Aplicaciones&amp;nbsp;: 5% - Cumple / no cumpleRealizar mesas de trabajo con la Subdirección de Aplicaciones SAP para definir la historia de usuario: 25% - Cumple / no cumpleElaborar y radicar historia de usuario: 70% - Cumple / no cumpleENTREGABLES / EVIDENCIACorreo de remisión de la solicitud a la Subdirección de Aplicaciones SAP y/o Vp de TD e Innovación&amp;nbsp;/ Caso radicado en Aranda con la historia de usuario</t>
  </si>
  <si>
    <t>Garantía Global - evolutivos pendientes</t>
  </si>
  <si>
    <t>A 31/12/25 realizar pruebas integrales satisfactorias y solicitar el paso a PRD de los evolutivos pendientes del producto de Garantía Global -Individual en los procesos de apertura, novedades, liquidación de comisiones y del producto de Garantía Global - Cupos, según historia de usuario No. 18180CRITERIOS DE MEDICIÓNEl objetivo será medible&amp;nbsp;así:Alcance a la historia de usurario: 10% - Cumple/ no cumplePruebas integrales a satisfacción y solicitud de paso a PRD: 60% - Cumple / no cumpleModificación y/o ajustes al reglamento de garantías de GG: 30% - Cumple / no cumpleENTREGABLES / EVIDENCIALa evidencia de cumplimiento será el correo de solicitud de paso a PRD enviado a la Vp de Operaciones y/o Vp de TD e Innovación y la modificación y/o ajustes al reglamento de garantías de Garantía Global&amp;nbsp;V1</t>
  </si>
  <si>
    <t>Actualizar información deudores Tx ZSD154 - RNEC</t>
  </si>
  <si>
    <t>A 31/12/2025 Actualizar un total de 1.486.483 cédulas de ciudadanía que actualmente tenemos en la base de datos (TX ZSD154) y que solamente tienen consulta entre los años 2021 o 2022. Se considerará una excepción del 10% de registros debido a errores que no pueden ser subsanados por el equipo encargado de la actualización (Cedúlas que tiene error en la BP). Estos errores no serán considerados en el cumplimiento del objetivo, quedando fuera del alcance de la actualización planificada.&amp;nbsp;Al mantener la base actualizada evitamos el riesgo de que una garantía se registre para un deudor que haya fallecido o tenga alguna inconsistencia en la RNEC.&amp;nbsp;INDICADOR:&amp;nbsp;Cumple: Si se actualizan mínimo 668.917&amp;nbsp;No Cumple: Si las CC actualizadas están por debajo de 668.917 para cada uno de los encargadosENTREGABLES / EVIDENCIA:&amp;nbsp;Base en excel con las evidencias - Adriana (743.242) - Alejandro (743.242), se guardarán en la carpeta de público\objetivos\Dirección de Operaciones.</t>
  </si>
  <si>
    <t>80088226</t>
  </si>
  <si>
    <t>Adrian Gomez Vargas</t>
  </si>
  <si>
    <t>Dirección de Asuntos Corporativos</t>
  </si>
  <si>
    <t>Subdirector de Seguridad de la Información</t>
  </si>
  <si>
    <t>1152186406</t>
  </si>
  <si>
    <t>Eleonora Mejia Restrepo</t>
  </si>
  <si>
    <t>Ambiente de control de Seguridad de la Información del FNG</t>
  </si>
  <si>
    <t>Implementar durante 2025&amp;nbsp;las actividades definidas en el Plan de Seguridad y Privacidad de la Información GIT_008_D612_010 y Plan de Tratamiento de Riesgos de Seguridad y Privacidad de la Información GIT_008_D612_009.&amp;nbsp;Indicador o Formula con la que se va a Realizar la Medición.Porcentaje cumplimiento 100%Q1:14%Q2:7%Q3:40%Q4:39%Actividades y entregables Actividad 1: Q1&amp;nbsp;Formalizar el Manual del Sistema de Gestión de Seguridad de la Información.Entregable 1:&amp;nbsp;Cargue del Manual en la herramienta dispuesta por la entidad para su formalización (10%).&amp;nbsp;Actividad 2:&amp;nbsp;Q1 a Q4 ejecutar los 22 controles que están definidos en la matriz de riesgos y controles del FNG y que están a cargo de Seguridad de la Información.&amp;nbsp;Entregable 2:&amp;nbsp;Informe ejecutivo remitido vía correo electrónico al Vicepresidente Ejecutivo con el resultado de las validaciones efectuadas (15%).&amp;nbsp;Actividad 3: Q2 a Q4 realizar una capacitación de sensibilización en Seguridad de la Información dirigida a los colaboradores del FNG y enviar 8 cápsulas informativas por los canales de comunicación definidos por el fondo.Entregable 3: Presentación de la capacitación de sensibilización realizada y listado de asistentes a la capacitación. 8 cápsulas de información envidas por los canales de comunicación del FNG (10%).&amp;nbsp;Actividad 4:&amp;nbsp;Q3 a Q4 elaborar y evaluar 4 matrices de roles y perfiles para sistemas de información (10%). Se obtendrá un 100% del peso de este entregable si se levantan las cuatro matrices. Si se elaboran 3 matrices se obtendrá una calificación del 75% del peso de este entregable. Si se elaboran 2 o menos matrices, la calificación sera de 0%.Entregable 4: Correo electrónico emitido por el administrador funcional del sistema objeto de evaluación, en el que se evidencie la aprobación de cada una de las matrices de roles y perfiles elaboradas.&amp;nbsp;Actividad 5: Q3 a Q4 elaborar la matriz de activos de información del FNG.Entregable 5: Matriz de activos de información publicada en la página web del FNG antes del 31 de diciembre de 2025 (15%).&amp;nbsp;Actividad 6:&amp;nbsp;Q3 a Q4 realizar dos pruebas de gestión de incidentes de seguridad de la información (10%). Si se realizan las dos pruebas, se tendrá una calificación del 100% del peso de este entregable. Si se realiza una prueba, se tendrá una calificación del 50% del peso de este entregable.&amp;nbsp;&amp;nbsp;Entregable 6: Informes con los resultados de las pruebas ejecutadas, entregados al Vicepresidente Ejecutivo y a la Vicepresidenta de Transformación Digital e Innovación vía correo electrónico.&amp;nbsp;Actividad 7:&amp;nbsp;Q3 a Q4 realizar un análisis de vulnerabilidades y ethical hacking sobre la infraestructura tecnológica del FNG.&amp;nbsp;Entregable 7: Informe de test del análisis de vulnerabilidades y ethical hacking, entregado al Vicepresidente Ejecutivo y a la Vicepresidenta de Transformación Digital e Innovación vía correo electrónico (15%).&amp;nbsp;Actividad 8:&amp;nbsp;Q4 finalizar el entrenamiento, clasificación y etiquetado de la información del FNG.Entregable 8:&amp;nbsp;Informe ejecutivo remitido vía correo electrónico al Vicepresidente Ejecutivo con el resultado de la clasificación y etiquetado de la información del FNG (15%).Ubicación: Público/gestión estratégica/Dirección asuntos corporativos&amp;nbsp;</t>
  </si>
  <si>
    <t>Lineamiento Institucional sobre el uso de Inteligencia Artificial Generativa.</t>
  </si>
  <si>
    <t>Elaborar y publicar el lineamiento institucional para el uso de Inteligencia Artificial en el FNG, al 15 de diciembre de 2025&amp;nbsp;&amp;nbsp;Indicador o Formula con la que se va a Realizar la Medición:Porcentaje de cumplimiento 100%Q3 50%Q4: 50%Entregables:Actividad 1: Q3 Elaboración del documento de lineamiento institucional para el uso de Inteligencia Artificial en su versión borrador (50%).Entregable 1: Entrega del documento borrador, vía correo electrónico, al Vicepresidente Ejecutivo y a la Directora de Asuntos Corporativos para sus comentarios (50%)Actividad 2: Q4 Publicación del lineamiento institucional para el uso de inteligencia Artificial en la herramienta definida por la entidad para el sistema de gestión integrado (50%).Entregable2: Publicación del documento en la herramienta definida por la Entidad.Ubicación: Z:\Objetivos\2025\Dirección de Asuntos Corporativos</t>
  </si>
  <si>
    <t xml:space="preserve">Matriz de riesgos y controles </t>
  </si>
  <si>
    <t>Entregar a la URO la matriz de riesgos y controles asociados al proceso de Seguridad de la Información, conforme con la metodología de riesgos establecida por el FNG, al 30 de junio de 2025.&amp;nbsp;&amp;nbsp;&amp;nbsp;Indicador o Formula con la que se va a Realizar la Medición:Porcentaje cumplimiento 100%Q2: 100%Entregables: Actividad 1: Q2 entrega de la matriz de riesgos del proceso de Seguridad de la Información a la URO (100%)Entregable 1: Correo electrónico dirigido a la URO con el documento en Excel que contiene la matriz de riesgos y controles asociados al proceso de la Subdirección de Seguridad de la Información.&amp;nbsp;Ubicación: Z:\Objetivos\2025\Dirección de Asuntos Corporativos</t>
  </si>
  <si>
    <t xml:space="preserve">Nivel de madurez de Seguridad de la Información </t>
  </si>
  <si>
    <t>Adelantar el proceso de evaluación y verificación del nivel de madurez de cumplimiento de los controles conforme a la norma ISO 27001:2022, al 30 de diciembre de 2025.&amp;nbsp;&amp;nbsp;Indicador o Formula con la que se va a Realizar la Medición: Porcentaje cumplimiento 100%Q3: 30%Q4: 70%Entregables: Actividad 1: Q3 entrega del plan y programa de autoevaluación a ejecutar (30%).Entregable 1: Plan y programa de la autoevaluación en Excel que contenga las pruebas a ser ejecutadas, entregado a la Directora de Asuntos Corporativos vía correo electrónico.Actividad 2:  Q4 ejecutar el programa de autoevaluación del nivel de madurez de Seguridad de la Información conforme a la norma ISO 27001:2022 (70%).Entregable 2: Correo electrónico dirigido al Vicepresidente Ejecutivo, que contenga presentación con los resultados de la autoevaluación realizada.Ubicación: ﻿Z:\Objetivos\2025\Dirección de Asuntos Corporativos</t>
  </si>
  <si>
    <t xml:space="preserve">Micrositio Seguridad de la Información </t>
  </si>
  <si>
    <t>Diseñar micrositio en SharePoint que contenga la información de Seguridad de la Información, al 15 de diciembre de 2025.&amp;nbsp;Indicador o Formula con la que se va a Realizar la Medición:Porcentaje cumplimiento 100%Q3: 70%Q4: 30%Entregables: Actividad 1:  Q3 Entregar la estructura e información que hará parte del micrositio a ser publicado (70%).Entregable 1: Documento con mockups/estructura del micrositio el cual será entregado vía correo electrónico a la Directora de Asuntos Corporativos para su validación y aprobación.&amp;nbsp;Actividad 2: Q4 publicar el micrositio de Seguridad de la Información para que pueda ser visualizado por todos los colaboradores del FNG. (30%). Si el micrositio se publica a más tardar el 15 de diciembre, la calificación de este entregable será del 100% de su peso. Si se publica entre el 16 y el 31 de diciembre, la calificación será del 70% del peso de este entregable. En caso de no contar con la publicación&amp;nbsp;del sitio, la calificación será del 0%.Entregable 2: Publicación del micrositio de seguridad de la información en SharePoint para que pueda ser visualizado por todos los colaboradores del FNG.Ubicación: ﻿Z:\Objetivos\2025\Dirección de Asuntos Corporativos</t>
  </si>
  <si>
    <t>Subdirector de Garantías</t>
  </si>
  <si>
    <t>51898832</t>
  </si>
  <si>
    <t>Sandra Patricia Amaya Reina</t>
  </si>
  <si>
    <t>En el 4Q de 2025 Rediseñar, dictar y evaluar el módulo avanzado de la Universidad de la Garantía&amp;nbsp;INDICADOR:Cumple / No cumpleENTREGABLES / EVIDENCIA: Listado de asistencia y encuestas ubicadas en la Ruta:P:\Objetivos\2025\Direccion de Operaciones\</t>
  </si>
  <si>
    <t>A 16/06/2025 Cursar y aprobar los cinco (5) módulos del curso de Inteligencia Artificial Generativa (IAGen): Fundamentos para la función pública de América Latina y el Caribe - Edición Colombia (BID).&amp;nbsp;Indicador: Cumple 100% / No cumple 0%&amp;nbsp;&amp;nbsp;Evidencia: Certificados de aprobación en la ruta O:\Objetivos\2025\Direccion de Operaciones</t>
  </si>
  <si>
    <t>Automatización Programación pago de Garantías</t>
  </si>
  <si>
    <t>A 31/12/2025 Automatizar en Python/Excel la programación semanal para pago de garantías con el fin de mejorar los tiempos y evitar errores en la generación del cuadro de pagosIndicador: Cumple 100% / No cumple 0%&amp;nbsp;&amp;nbsp;Evidencia: Herramienta en Python</t>
  </si>
  <si>
    <t>Antes del 31/12/25 elaborar historia de usuario para el rediseño del proceso de liquidación y cobro de comisiones de productos de garantía del esquema tradicional  CRITERIOS DE MEDICIÓN El objetivo será medible&amp;nbsp;así: Elaborar y radicar el formato: Solicitud de Requerimientos o Evolutivos de Aplicaciones&amp;nbsp;: 5% - Cumple / no cumple Realizar mesas de trabajo con la Subdirección de Aplicaciones SAP para definir la historia de usuario: 25% - Cumple / no cumple Elaborar y radicar historia de usuario: 70% - Cumple / no cumple  ENTREGABLES / EVIDENCIA Correo de remisión de la solicitud a la Subdirección de Aplicaciones SAP y/o Vp de TD e Innovación&amp;nbsp;/ Caso radicado en Aranda con la historia de usuario</t>
  </si>
  <si>
    <t>A 31/12/25 realizar y certificar pruebas integrales de la modularización&amp;nbsp;de objetos críticos en los desarrollos asociados a los procesos de reserva, registro, apertura de cupo, liquidación de comisiones, actualización de saldos, reclamación de garantías, devolución de comisiones y reporte general de garantías -ZSD028E-  CRITERIOS DE MEDICIÓN El objetivo será medible&amp;nbsp;así: Pruebas integrales a satisfacción: 100% - Cumple / no cumple   ENTREGABLES / EVIDENCIA La evidencia de cumplimiento será el correo enviado a la Vp de Operaciones y/o Vp de TD e Innovación en el que se certifiquen las pruebas integrales realizadas</t>
  </si>
  <si>
    <t>A 31/12/25 realizar pruebas integrales satisfactorias y solicitar el paso a PRD de los evolutivos del proceso de Reclamación de Garantías&amp;nbsp;y los desarrollos relacionados con la creación y contabilización del nuevo producto de cartera en el módulo CML PGG, según historia de usuario No. 19247  CRITERIOS DE MEDICIÓN El objetivo será medible&amp;nbsp;así: Pruebas integrales a satisfacción y solicitud de paso a PRD: 100% - Cumple / no cumple   ENTREGABLES / EVIDENCIA La evidencia de cumplimiento será el correo de solicitud enviado a la Vp de Operaciones y/o Vp de TD e Innovación de paso a PRD&amp;nbsp;</t>
  </si>
  <si>
    <t>Garantía Global -  Evolutivos pendientes</t>
  </si>
  <si>
    <t>A 31/12/25 realizar pruebas integrales satisfactorias y solicitar el paso a PRD de los evolutivos pendientes del producto de Garantía Global -Individual en los procesos de apertura, novedades, liquidación de comisiones y del producto de Garantía Global - Cupos, según historia de usuario No. 18180  CRITERIOS DE MEDICIÓN El objetivo será medible&amp;nbsp;así: Alcance a la historia de usurario: 10% - Cumple/ no cumple Pruebas integrales a satisfacción y solicitud de paso a PRD: 60% - Cumple / no cumple Modificación y/o ajustes al reglamento de garantías de GG: 30% - Cumple / no cumple  ENTREGABLES / EVIDENCIA La evidencia de cumplimiento será el correo de solicitud de paso a PRD enviado a la Vp de Operaciones y/o Vp de TD e Innovación y la modificación y/o ajustes al reglamento de garantías de Garantía Global&amp;nbsp;V1</t>
  </si>
  <si>
    <t>Actualización Documental - Esquema Garantía Global</t>
  </si>
  <si>
    <t>A 30 de septiembre de 2025, generar o actualizar los 20 documentos asociados a la administración del esquema de garantía global (manual, procedimientos, instructivos, formatos), conforme al inventario y cronograma establecidos para tal fin  CRITERIO DE MEDICIÓN El objetivo será evaluado en forma proporcional al número de documentos actualizados, siendo necesario un cumplimiento mínimo del 90%. Un cumplimiento inferior al 90%, es decir, 89,99% o menos, será calificado con 0 puntos.  FÓRMULA DE CÁLCULO (Número de documentos actualizados / 20) * 100  ENTREGABLES / EVIDENCIA Documentos actualizados y aprobados en el aplicativo ISOlución o el aplicativo vigente a la fecha de cargue</t>
  </si>
  <si>
    <t>A 31/08/25 realizar y certificar pruebas integrales de los servicios expuestos en el canal digital (Apertura de Cupo, Reserva, Registro Gtia tradicional, Regsitro Gtia Global, Cancelación de Reservas, Modificación Cupos ) una vez configurados en la plataforma Integration Suite , por parte de la VP de TD e innovación  CRITERIOS DE MEDICIÓN El objetivo será medible&amp;nbsp;así: Pruebas integrales a satisfacción: 100% - Cumple / no cumple   ENTREGABLES / EVIDENCIA La evidencia de cumplimiento será el correo enviado a la Vp de Operaciones y/o Vp de TD e Innovación en el que se certifiquen las pruebas integrales realizadas</t>
  </si>
  <si>
    <t>Gamificación de la Universidad de la Garantía</t>
  </si>
  <si>
    <t>Diseñar e incorporar al menos 2 recursos interactivos (digitales o físicos) en cada uno de los módulos que conforman los cursos básico y avanzado de la Universidad de la Garantía (Calidad de datos, liquidación de comisiones, devolución de comisiones, reclamación de garantía, garantía global y casos excepcionales), que serán dictados por funcionarios de la Dirección de Operaciones durante el año 2025   CRITERIO DE MEDICIÓN  Cumple o no cumple  ENTREGABLES / EVIDENCIA - Documento donde se recopile el diseño de cada recurso con fotografías y/o pantallazos de las diferentes actividades, por módulo: Calidad de datos, liquidación de comisiones, devolución de comisiones, reclamación de garantía, garantía global y casos excepcionales. El documento deberá remitirse por correo electrónico a la Directora de Operaciones a más tardar el día&amp;nbsp;30 de noviembre de 2025. - Encuesta de satisfacción del curso</t>
  </si>
  <si>
    <t>Unificación Anexo 14 y 21</t>
  </si>
  <si>
    <t>A 31/12/25 realizar pruebas integrales satisfactorias y solicitar el paso a PRD de los desarrollos solicitados en el caso RF-19157-1-15137 (30/08/24) que contemplan la digitalización del anexo 21: "Notificación de caso fortuito o fuerza mayor",&amp;nbsp;e integración con la estructura del Anexo 14: "Notificación para Reclamación de Garantías Derivado de un Proceso Concursal" -Unificación de anexos-. Así mismo, proyectar e impulsar la emisión de la Circular Normativa&amp;nbsp;Externa - CNE, modificatoria del reglamento de garantías en lo concerniente al reporte de casos fortuitos o fuerza mayor por parte de los IFCRITERIOS DE MEDICIÓNEl objetivo será medible&amp;nbsp;así:Pruebas integrales a satisfacción y solicitud de paso a PRD: 70% - Cumple / no cumpleCNE modificatoria del reglamento de garantías - emitida: 30% - Cumple / no cumpleENTREGABLES / EVIDENCIALa evidencia de cumplimiento será el correo de solicitud de paso a PRD y la CNE modificatoria del reglamento de garantías V 4.1</t>
  </si>
  <si>
    <t>1140899202</t>
  </si>
  <si>
    <t>Alejandra Maria Marin Caro</t>
  </si>
  <si>
    <t>Dirección de Estructuración e Innovación de Productos y Gestión Empresarial</t>
  </si>
  <si>
    <t>Especialista de Producto y Servicios</t>
  </si>
  <si>
    <t>1032410007</t>
  </si>
  <si>
    <t>Jenny Loreind Amaya Torres</t>
  </si>
  <si>
    <t>Diseño de Productos</t>
  </si>
  <si>
    <t>Investigar, diseñar, prototipar, y lanzar 1 producto de garantía nuevo, al 31 de diciembre de 2025, enfocado en atender el mercado de FactoringFórmula: (Número de productos lanzados / Número de productos a diseñar) * 100Entregable: Circular firmada y publicada</t>
  </si>
  <si>
    <t>Investigación para el desarrollo de productos</t>
  </si>
  <si>
    <t>Mejorar, antes del 31 de diciembre de 2025, la etapa de investigación dentro del desarrollo de productos mediante la construcción de un proceso estructurado para el levantamiento y análisis de información, facilitando tanto la evaluación como la generación del concepto sobre el&amp;nbsp;producto en curso.Fórmula: El objetivo se cumple al 100 % con la entrega del formato y sus complementos, de lo contrario será 0%Entregables: Formato estándar en WORD y PDF que incluya herramientas, consejos y recursos para optimizar una investigación aprobados por el Director de Estructuración, innovación y gestión empresarial, a través de correo electrónico. Se harán 3 entregas para mostrar avances, donde la última será en diciembre de 2025, para aprobación.</t>
  </si>
  <si>
    <t>Instructivo y procedimiento iniciativas Intermediarios financieros</t>
  </si>
  <si>
    <t>Diseñar y entregar antes del 31 de diciembre de 2025, el procedimiento e instructivo para la gestión de iniciativas recibidas en la Subdirección de Estructuración, con el fin de fortalecer el proceso, establecer un flujo de trabajo estandarizado y facilitar el análisis y la respuesta oportuna a las solicitudes, garantizando que el equipo conozca el nuevo procedimiento.Fórmula:&amp;nbsp;(Documentos entregados/documentos propuestos) * 100Entregables: Instructivo y Procedimiento aprobados por el Director de Estructuración, innovación y gestión empresarial, por medio de correo electrónico.</t>
  </si>
  <si>
    <t>Calidad de la parametrización</t>
  </si>
  <si>
    <t>Realizar, al 31 de diciembre de 2025, una revisión profunda y detallada de la parametrización en SAP de 18 productos activos del portafolio del FNG, con el fin de verificar su alineación con las condiciones establecidas en la documentación aplicable y asegurar su correcta parametrización.Fórmula: (Número de productos revisados/Número de productos a revisar)*100Entregable: Certificado de buena parametrización en SAP por cada uno de los productos revisados emitido con aprobación del Director de Estructuración, innovación y gestión empresarial.</t>
  </si>
  <si>
    <t>80491393</t>
  </si>
  <si>
    <t>Alejandro David Moreno Ortiz</t>
  </si>
  <si>
    <t>En el 2Q de 2025&amp;nbsp;- Dictar y evaluar el módulo básico de la Universidad de la Garantía (Tradicional y Garantía Global)  INDICADOR: Cumple / No cumple  ENTREGABLES / EVIDENCIA: Listado de asistencia y encuestas ubicadas en la Ruta: P:\Objetivos\2025\Dirección de Operaciones\</t>
  </si>
  <si>
    <t>Al 16 de junio del 2025 cursar y aprobar los cinco (5) módulos del curso de Inteligencia Artificial Generativa (IAGen): Fundamentos para la función pública de América Latina y el Caribe - Edición Colombia (BID).Indicador: Cumple 100% / No cumple 0%&amp;nbsp;Evidencia: Certificados de aprobación en la ruta O:\Objetivos\2025\Dirección de Operaciones</t>
  </si>
  <si>
    <t>Universidad de la garantía nivel avanzado</t>
  </si>
  <si>
    <t>En 4Q del 2025, Asistir y aprobar el Nivel Avanzado de la Universidad de la Garantía con un porcentaje mínimo del 85% en la evaluación final (tanto la teórica como la práctica)  INDICADOR: Evaluación práctica (50%) Evaluación teórica (50%)  EVIDENCIA La evidencia de cumplimiento será el listado de asistencia y la evaluación&amp;nbsp;</t>
  </si>
  <si>
    <t>Garantía Global - Evolutivos pendientes</t>
  </si>
  <si>
    <t>A 31/12/2025 Actualizar un total de 1.486.483 cédulas de ciudadanía que actualmente tenemos en la base de datos (TX ZSD154) y que solamente tienen consulta entre los años 2021 o 2022. Se considerará una excepción del 10% de registros debido a errores que no pueden ser subsanados por el equipo encargado de la actualización (Cédulas que tiene error en la BP). Estos errores no serán considerados en el cumplimiento del objetivo, quedando fuera del alcance de la actualización planificada.  Al mantener la base actualizada evitamos el riesgo de que una garantía se registre para un deudor que haya fallecido o tenga alguna inconsistencia en la RNEC.  INDICADOR:  Cumple: Si se actualizan mínimo 668.917 100% No Cumple: Si las CC actualizadas están por debajo de 668.917 para cada uno de los encargados - 0%  ENTREGABLES / EVIDENCIA:&amp;nbsp;Base en Excel con las evidencias - Adriana (743.242) - Alejandro (743.242), se guardarán en la carpeta de público\objetivos\Dirección de Operaciones.</t>
  </si>
  <si>
    <t>1064842899</t>
  </si>
  <si>
    <t>Alexa Del Carmen Sanchez Herrera</t>
  </si>
  <si>
    <t>Vicepresidencia Ejecutiva</t>
  </si>
  <si>
    <t>Asistente de Vicepresidencia Ejecutiva</t>
  </si>
  <si>
    <t>98552517</t>
  </si>
  <si>
    <t>Ivan Dario Ruiz Perez</t>
  </si>
  <si>
    <t xml:space="preserve">Seguimiento al Plan Anual de Adquisiciones de la Vicepresidencia Ejecutiva </t>
  </si>
  <si>
    <t>Realizar de manera mensual desde el mes de junio hasta diciembre de 2025, el seguimiento del Plan Anual de Adquisiciones de la Vicepresidencia Ejecutiva, por medio de una lista de control, validando el cumplimiento oportuno del Plan.&amp;nbsp;Indicador o Formula con la que se va a Realizar la Medición.Seguimiento a los contratos firmados mensualmente / total de contratos del Plan Anual de Adquisiciones en la lista de control en el mes&amp;nbsp;Cada mes tendrá una evaluación de 14 puntos de junio a noviembre y el mes de diciembre tendrá un valor de 16 puntos el cual dará un total de los 100 puntos cumplidos.EntregablesInforme mensual de cumplimiento en Excel enviado por correo electrónico al vicepresidente ejecutivo dentro de los 30 días del mes siguiente.</t>
  </si>
  <si>
    <t>Inspección del vehículo que moviliza al Vicepresidente Ejecutivo</t>
  </si>
  <si>
    <t>Diligenciar mensualmente a partir de julio del 2025 el&amp;nbsp;formato de inspección del vehículo asignado al vicepresidente ejecutivo.&amp;nbsp;Indicador o Formula con la que se va a Realizar la Medición.Formato de inspección.&amp;nbsp;&amp;nbsp;&amp;nbsp;&amp;nbsp;&amp;nbsp;&amp;nbsp;&amp;nbsp;&amp;nbsp;Cada mes tendrá una evaluación de 17 puntos de julio a noviembre y el mes de diciembre tendrá un valor de 15 puntos el cual dará un total de los 100 puntos cumplidos.EntregablesFormato de inspección de vehículo remitido por correo electrónico a la subdirectora de servicios administrativos en los primeros 5 días del mes siguiente, donde se evidencia el estado del vehículo.</t>
  </si>
  <si>
    <t>Automatización de una herramienta que optimice el seguimiento a requerimientos externos</t>
  </si>
  <si>
    <t>Apoyar la apropiación de una herramienta durante el 2025, para la automatización&amp;nbsp;que permita realizar el seguimiento oportuno, efectivo y documentado de los requerimientos formulados por entes de control, organismos de supervisión y demás partes interesadas externas, garantizando respuestas completas, dentro de los plazos establecidos y alineadas con los lineamientos institucionales.&amp;nbsp;Indicador o Formula con la que se va a Realizar la Medición.Q3: Herramienta adoptada para el FNG.&amp;nbsp;&amp;nbsp;&amp;nbsp;&amp;nbsp;&amp;nbsp;&amp;nbsp;&amp;nbsp;&amp;nbsp;&amp;nbsp;&amp;nbsp;&amp;nbsp;&amp;nbsp;&amp;nbsp;&amp;nbsp;&amp;nbsp;&amp;nbsp;&amp;nbsp;&amp;nbsp;&amp;nbsp;&amp;nbsp;&amp;nbsp;&amp;nbsp;&amp;nbsp;&amp;nbsp;&amp;nbsp;&amp;nbsp;&amp;nbsp;&amp;nbsp;&amp;nbsp;&amp;nbsp;&amp;nbsp;&amp;nbsp;&amp;nbsp;&amp;nbsp;Q4: # de requerimientos atendidos en oportunidad / total de requerimientos recibidos x 100EntregablesQ3: Al 30 de agosto tener la apropiación de la herramienta de automatización. Peso: 70%&amp;nbsp;&amp;nbsp;&amp;nbsp;&amp;nbsp;&amp;nbsp;&amp;nbsp;&amp;nbsp;&amp;nbsp;&amp;nbsp;&amp;nbsp;&amp;nbsp;&amp;nbsp;&amp;nbsp;&amp;nbsp;&amp;nbsp;&amp;nbsp;&amp;nbsp;&amp;nbsp;&amp;nbsp;&amp;nbsp;&amp;nbsp;&amp;nbsp;&amp;nbsp;&amp;nbsp;&amp;nbsp;&amp;nbsp;&amp;nbsp;    Q4: Informe en excel con la totalidad de requerimiento atendidos en los tiempos establecidos en la herramienta, presentado al vicepresidente ejecutivo. Peso: 30%&amp;nbsp;</t>
  </si>
  <si>
    <t>Seguimiento a solicitudes de entes externos</t>
  </si>
  <si>
    <t>Realizar&amp;nbsp;durante el segundo semestre del 2025 el seguimiento a solicitudes de entes externos desde la radicación en el FNG hasta la respuesta a la entidad correspondiente, validando que estas se den en el tiempo establecido por la entidad.&amp;nbsp;Indicador o Formula con la que se va a Realizar la Medición.Informes.&amp;nbsp;&amp;nbsp;Cada mes tendrá una evaluación de 17 puntos de julio a noviembre y el mes de diciembre tendrá un valor de 15 puntos el cual dará un total de los 100 puntos cumplidos.EntregablesInforme de excel remitido por correo electrónico al vicepresidente ejecutivo en el siguiente mes, donde se evidencia la entidad, el asunto, la fecha del recibido y de la respuesta</t>
  </si>
  <si>
    <t>Mercurio</t>
  </si>
  <si>
    <t>Garantizar desde el mes de junio hasta diciembre del 2025, la revisión diaria del proceso de facturación donde el vicepresidente ejecutivo es el ordenador del gasto, con el fin de que se tramiten las facturas en el flujo de pago máximo de 1 día a la recepción de la factura. Nota: las facturas que lleguen después del horario laboral y los fines de semana, se revisarán al día hábil siguiente.&amp;nbsp;Indicador o Formula con la que se va a Realizar la Medición.# de flujos de pagos tramitados / # total de flujos recibidos.De junio a noviembre el peso mensual será de 14 puntos y en el mes de diciembre será de 16 puntos.EntregablesInforme en Excel remitido por correo electrónico al vicepresidente ejecutivo en el siguiente mes, donde se evidencia la fecha del recibo de la factura y la fecha de trámite del flujo de pago.&amp;nbsp;</t>
  </si>
  <si>
    <t>52978307</t>
  </si>
  <si>
    <t>Alexandra Albornoz Ardila</t>
  </si>
  <si>
    <t>Dirección de Microfinanzas y Programas Especiales</t>
  </si>
  <si>
    <t>Profesional de Microfinanzas y Educación Financiera</t>
  </si>
  <si>
    <t>93410556</t>
  </si>
  <si>
    <t>Jhon Jairo Parra Ropero</t>
  </si>
  <si>
    <t>Módulos de Educación Económica y Financiera</t>
  </si>
  <si>
    <t>Diseñar un nuevo módulo, atendiendo las solicitudes y/o necesidades que se identifiquen.Medición: Módulo nuevo = 100%&amp;nbsp;Evidencias:﻿Módulo nuevo: material pedagógico, con VoBo de la dirección y/o Vicepresidencia Comercial&amp;nbsp;</t>
  </si>
  <si>
    <t>Fortalecimiento de Alianzas estratégicas</t>
  </si>
  <si>
    <t>Al 31 de diciembre fortalecer 10 alianzas a través de planes de trabajo suscritos de los Memorandos de entendimiento (MOU) ya existentes o nuevos, orientados al desarrollo de acciones conjuntas en educación económica y financiera, realización de ruedas crediticias o procesos de generación de demanda.Medición:(No. de planes de trabajo / 10) x 100Ejemplo: (1=10%, 2=20%, 3 = 30%, ......., 10 = 100%)Evidencias:Planes de trabajo de alianzas ya suscritas o nuevas con actas de reuniones, correos, listas de asistencia y/o registros fotográficos.</t>
  </si>
  <si>
    <t>Sostenibilidad de las rutas actuales y creación de nuevas rutas</t>
  </si>
  <si>
    <t>Al 31 de diciembre, asegurar el sostenimiento de 2 rutas de inclusión crediticia ya existentes y crear 2 nuevas rutas durante el año 2025, como mecanismos de formación y preparación para el acceso a crédito, uso de las garantías, y acercamiento a la oferta crediticia de los intermediarios financieros.Medición:(No. de rutas activas y nuevas / 4) x 100Ejemplo: (1=25%, 2=50%, 3 = 75%, 4 = 100%)&amp;nbsp;Evidencias:Listado actualizado de rutas activas; informes de avance por ruta; memorias de reuniones, listas de asistencia y/o registros fotográficos</t>
  </si>
  <si>
    <t>E-learning</t>
  </si>
  <si>
    <t>DescripciónAl cierre de diciembre de 2025 haber entregado 6 guiones al proveedor, revisados internamente con la supervisión del contrato, para su implementación en el canal e-learning institucional.&amp;nbsp;Medición:(Nº de guiones validados) / 6 x 100 = 100%Ejemplo: (1 = 16%, 2 = 33%, 3 = 50%, 4 = 66%, 5 = 83%, 6 = 100%)Evidencia:Contenido final por módulo,&amp;nbsp;guiones enviados al proveedor revisados internamente con la supervisión del contrato</t>
  </si>
  <si>
    <t>Programa de educación económica y financiera "Garantiza tu Futuro"</t>
  </si>
  <si>
    <t>DescripciónLograr al 31 de diciembre de 2025 la consolidación del programa de educación económica y financiera "Garantiza tu futuro", a través de un evento de entrega de informe de gestión del programa, y a su vez iniciar el proceso de certificación del programa ante la Superintendencia Financiera, para lo cual la cual se desarrollarán las siguientes actividades:  1. Al 31 de diciembre realizar evento de entrega del informe de gestión ante aliados y actores externos. Peso: 50%&amp;nbsp; 2.&amp;nbsp;Iniciar el proceso de alistamiento de documentos y evidencias que consiste en el cumplimiento del check list definido con la Superintendencia Financiera para la obtención de certificación del programa. Peso: 50%Medición:El objetivo se cumple al 100% con la ejecución de todas las actividades. El resultado final corresponderá a la suma de los porcentajes de cumplimiento de cada actividad ejecutada y debidamente soportada.&amp;nbsp;Evidencias:Actividad 1:&amp;nbsp;&amp;nbsp;Documento de informe de gestión e informe del evento que contiene registro fotográfico y publicación en redes del evento&amp;nbsp; Actividad 2: Soportes de documentos y evidencias requeridas en el check list definido por la Superintendencia Financiera.</t>
  </si>
  <si>
    <t>14137099</t>
  </si>
  <si>
    <t>Alex Johann Zambrano Carbonell</t>
  </si>
  <si>
    <t>Dirección de Modelos Técnicos</t>
  </si>
  <si>
    <t>Director de Modelos Técnicos</t>
  </si>
  <si>
    <t>1020742649</t>
  </si>
  <si>
    <t>Camilo Andres Jimenez Chacon</t>
  </si>
  <si>
    <t>Ajuste metodología actual de muestro</t>
  </si>
  <si>
    <t>Calibración al modelo de reservas</t>
  </si>
  <si>
    <t>Ejecución del cálculo de reservas en la Nube</t>
  </si>
  <si>
    <t>Prospectivo VMD Empresarial Vigilados</t>
  </si>
  <si>
    <t>Implementación de Modelos No Objetados</t>
  </si>
  <si>
    <t>Tarifación Deudor</t>
  </si>
  <si>
    <t>87218855</t>
  </si>
  <si>
    <t>Alirio Mendez Peña</t>
  </si>
  <si>
    <t>Dirección de Desarrollo y Aplicaciones</t>
  </si>
  <si>
    <t>Ingeniero de Desarrollo</t>
  </si>
  <si>
    <t>79856809</t>
  </si>
  <si>
    <t>Hector German Paramo Urrea</t>
  </si>
  <si>
    <t>Automatizaciones - digitalización</t>
  </si>
  <si>
    <t>Contribuir a la automatización y digitalización de dos procesos institucionales mediante el diseño, desarrollo e implementación de aplicaciones, utilizando las herramientas tecnológicas definidas por la entidad. El equipo desarrollador será responsable de asegurar el cumplimiento de los entregables definidos para cada fase.Indicador o formula:  (# automatizaciones finalizados / Total automatizaciones planificadas 2025) * 100Total automatizaciones planificadas 2025 = 3Entregables: Q2: Documento de diseño técnico y estimación de las automatizaciones para cruce en Listas RestrictivasDocumento de diseño técnico y estimación de la Automatización de información de Reservas.Aprobación de pruebas integrales y RFC para digitalización y automatización de información de potenciales clientes del proceso de generación de demanda&amp;nbsp;Q3:&amp;nbsp; Despliegue (orden de transporte) de la solución en QA para pruebas integrales para cruce en Listas Restrictivas.Aprobación de Pruebas integrales para digitalización y Automatización de información de Reservas.Q4:Entrega y despliegue en producción (documento de RFC) para cruce en Listas Restrictivas&amp;nbsp;Documento RFC de la Automatización de información de Reservas.</t>
  </si>
  <si>
    <t>Cumplimiento hoja de ruta PETI 2025</t>
  </si>
  <si>
    <t>Ejecutar las actividades necesarias para la identificación, análisis y mitigación de vulnerabilidades técnicas detectadas en los sistemas de información misionales del FNG, alineadas con las recomendaciones de seguridad emitidas por entes de control y mejores prácticas del sector. Esta actividad contempla las siguientes fases:Q1 – Levantamiento de Información: Recolección y análisis de información técnica sobre los sistemas misionales (SACENNER, SFC), identificando sus configuraciones actuales, estado de actualización y posibles brechas de seguridad.Q2 – Mitigación de vulnerabilidades críticas: Aplicación de actualizaciones de seguridad en servidores con sistemas operativos Windows Server 2012 R2, deshabilitación de protocolos obsoletos (TLS 1.0 y 1.1), verificación e instalación de parches pendientes, y validación de alertas a través de Server Manager. Actividades ejecutadas en entornos de pruebas (Sorano y entorno David).Q3 – Fortalecimiento de configuración segura: Implementación de cabeceras de seguridad como Strict-Transport-Security (HSTS), Content Security Policy (CSP), y medidas de protección contra inyecciones (SRI), garantizando así una política robusta de seguridad en los entornos productivos.Indicador o formula:(# Proyectos finalizados / Total proyectos programados para finalizar en el&amp;nbsp;2025) * 100&amp;nbsp;Total proyectos programados 2025 = 9Entregables:Q2:Informe de avance&amp;nbsp;(número de proyectos completados hasta la fecha).Q3:Informe de avance intermedio (número de proyectos en fase final).Q4:Informe de finalización de todos los proyectos del PETI 2025.</t>
  </si>
  <si>
    <t>Fortalecimiento de la ciberseguridad de aplicaciones con la resolución de vulnerabilidades detectadas a los sistemas de información y aplicaciones.</t>
  </si>
  <si>
    <t>Ejecutar las actividades necesarias para la identificación, análisis y mitigación de vulnerabilidades técnicas detectadas en los sistemas de información misionales del FNG, alineadas con las recomendaciones de seguridad emitidas por entes de control y mejores prácticas del sector.&amp;nbsp;Indicador o formula:(# Vulnerabilidades Solucionadas / Total de vulnerabilidades detectadas 2025) * 100Entregables:Q3:Actualización del documento en la ruta de la Subdirección de Seguridad de la Información del plan de acción sobre el informe de la SFCQ2 y Q3: Evidencia en capturas de pantalla de los procedimientos realizadosQ2 y Q3: Documentación técnica de respaldo con configuraciones y pasos ejecutados</t>
  </si>
  <si>
    <t>Planear y desarrollar la actualización la plataforma base de los Portales Institucionales.</t>
  </si>
  <si>
    <t>Actualizar y migrar la plataforma tecnológica de los portales Institucional, Transaccional, Deudores y Proveedores, garantizando mayor estabilidad, seguridad y escalabilidad.Indicador o formula:(# de portales migrados con exito / Total de portales identificados) * 100Entregables:Q2: Informe del Análisis, diagnóstico y estructuración.Q3: Documento con pantallazos de la migración.Q4: RFC puesta en productivo.</t>
  </si>
  <si>
    <t>Desarrollo de aplicación de Inventario tecnológico para la Subdirección de Servicios Tecnológicos.</t>
  </si>
  <si>
    <t>Automatizar el inventario tecnológico, gestionando la asignación de los activos fijos a los usuarios de la entidad.Indicador o formula:(# de componentes entregados / Total de componentes definidos) * 100Entregables:Q2: Documento HU.Q3: Correo de aprobación de la HU por parte de Aplicaciones y Documento de Arquitectura.Q4: Documento de pruebas Integrales y RFC de puesta en producción.</t>
  </si>
  <si>
    <t>Análisis y estructuración para la Modernización IDP.</t>
  </si>
  <si>
    <t>Realizar un análisis funcional y estructural del IDP con fin de obtener la información necesaria para escoger la mejor opción que se adapte a las necesidades del FNG, teniendo en cuenta que se requiere la actualización del IDP que está operando actualmente.Indicador o formula:(# de entregables validados y entregados / Total de entregables definidos) * 100Entregables:Q2:Análisis del FortiAuthenticator.Q3:Informe técnico y estructurado de la modernización del IDP.</t>
  </si>
  <si>
    <t>1024498660</t>
  </si>
  <si>
    <t>Allyne Castro Sierra</t>
  </si>
  <si>
    <t>Dirección de Tesorería</t>
  </si>
  <si>
    <t>Profesional Senior de Caja y Bancos</t>
  </si>
  <si>
    <t>1031124339</t>
  </si>
  <si>
    <t>Yulder Stic Valencia Santos</t>
  </si>
  <si>
    <t>Indicador de eficiencia operativa</t>
  </si>
  <si>
    <t>Lograr al 31 de diciembre de 2025, el cumplimiento del porcentaje establecido como meta para los indicadores relacionados a continuación, los cuales integran el Índice de Eficiencia Operativa - IEO para la Dirección de Tesorería así:  &amp;nbsp;GESTION PARTIDAS CONCILIATORIAS: Meta 95% Evaluación: de acuerdo con la siguiente tabla métrica, con base en el porcentaje de cumplimiento de cada indicador: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Gestión Partidas conciliatorias &amp;gt;=95,00% = 100% entre el 84,99% y el 94,99% = 70% &amp;lt; 84,98% = 0%&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CRITERIO DE MEDICION: El objetivo será calificable de acuerdo con la tabla métrica.  ENTREGABLES / EVIDENCIA: Resultado de los indicadores, publicados en Isolución.</t>
  </si>
  <si>
    <t xml:space="preserve">Validación estado pago  etapa de tesorería en mercurio </t>
  </si>
  <si>
    <t>Realizar al 30 de septiembre de 2025 mejoras a la Validación Estado de Pago Etapa de Tesorería en Mercurio que permita:   *Depurar la base de datos de manera automática los pagos ya efectuados. *Validar de manera automática la cantidad y fecha de programación de los flujos por Dev. de comisiones. *Generar un reporte automático con los pagos pendientes.  EVALUACIÓN: Cumple o no cumple EVIDENCIA: Entrega de la herramienta en excel con los ajustes realizados a través de un correo electrónico al subdirector de tesoreria informando la ruta en la cual queda:  * La herramienta (actualización documental). * Pruebas realizadas</t>
  </si>
  <si>
    <t>Instructivo pagos tesoreria</t>
  </si>
  <si>
    <t>Realizar a 30 de septiembre de 2025 la entrega del instructivo donde describa cada uno de los&amp;nbsp;tipos de pagos que se realizan en la Dirección de Tesorería. (Proveedores - Nómina - Garantias - Devolucion de Comisiones - Servicios Publicos - Desembolso Credito Funcionarios - Vacaciones - Impuestos, etc). Este documento reemplazará el procedimiento PD-GFN-038 Control de Egresos. EVALUACIÓN: Cumple o no cumple EVIDENCIA: Publicación del documento en Isolucion o aplicativo vigente.  Las evidencias se guardarán en la carpeta de público designada para tal fin.</t>
  </si>
  <si>
    <t>Elaboración cartas para pagos de la tesorería</t>
  </si>
  <si>
    <t>Realizar a 30 de septiembre de 2025 una herramienta ofimatica que permita elaborar las cartas de forma automática, correspondientes a pagos y traslados en los diferentes intermediarios financieros que así lo requieran, de acuerdo con los flujos de pago y traslados remitidos por el Departamento de Inversiones. EVALUACIÓN: Cumple o no cumple EVIDENCIA: Entrega de la herramienta ofimatica a través de un correo electrónico al subdirector de tesorería informando la ruta en la cual queda: •	La herramienta  •	Pruebas realizadas •	Actualización de la documentación y publicación en Isolucion.&amp;nbsp;</t>
  </si>
  <si>
    <t>Elaboracion Bitacora administración mandatos</t>
  </si>
  <si>
    <t>Crear al 30 de septiembre de 2025 un archivo en excel que permita llevar el control de los recursos dados en administración desde su vinculación hasta su liquidación, de tal manera que se detalle cada una de las operaciones durante su vigencia y que permita al cierre de cada mes la entrega via correo electronico de un informe en PDF,&amp;nbsp;sobre los movimientos del mes anterior, por cada mandato al jefe inmediato.   EVALUACIÓN: Cumple o no cumple EVIDENCIA: Entrega del archivo un correo electrónico al subdirector de tesorería informando la ruta en la cual queda: •	Archivo •	Información detallada de c/u Mandatos</t>
  </si>
  <si>
    <t>Actualización Documental</t>
  </si>
  <si>
    <t>A 30 de septiembre de 2025, actualizar los 87 documentos asociados a la Dirección de Tesorería (manual, procedimientos, instructivos y formatos),&amp;nbsp;conforme al inventario generado para tal fin.CRITERIO DE MEDICIÓNEl objetivo será evaluado en forma proporcional al número de documentos actualizados, siendo necesario un cumplimiento mínimo del 90%. Un cumplimiento inferior al 90%, es decir, 89,99% o menos, será calificado con 0 puntos.FÓRMULA DE CÁLCULO(Número de documentos actualizados / 87) * 100ENTREGABLES / EVIDENCIADocumentos actualizados y aprobados en el aplicativo ISOlución o aplicativo vigente.&amp;nbsp;&amp;nbsp;&amp;nbsp;&amp;nbsp;&amp;nbsp;&amp;nbsp;&amp;nbsp;&amp;nbsp;&amp;nbsp;&amp;nbsp;&amp;nbsp;&amp;nbsp;&amp;nbsp;&amp;nbsp;&amp;nbsp;&amp;nbsp;&amp;nbsp;</t>
  </si>
  <si>
    <t>74080804</t>
  </si>
  <si>
    <t>Alvaro Andres Castiblanco Lopez</t>
  </si>
  <si>
    <t>Administrador Basis SAP</t>
  </si>
  <si>
    <t>1030522572</t>
  </si>
  <si>
    <t>Cesar Alfonso Sanchez Rojas</t>
  </si>
  <si>
    <t>Depuración Rol usuario USERWEBSERV</t>
  </si>
  <si>
    <t>Realizar Durante el año 2025&amp;nbsp;la creación del rol especifico para el usuario USERWEBSERV (canal Digital) y desactivar el perfil SAP_ALL en ambiente de QAS y PRDIndicador o Formula:Cumple / No cumpleEntregable:Q4: 1. Documento de construcción del rol.&amp;nbsp;2. Documento de matriz de roles y Perfiles para el rol creado,&amp;nbsp;3. RFC aprobado en comité de cambios para paso a PRD del rol creado.</t>
  </si>
  <si>
    <t>Despliegue de la segunda fase  de la  matriz de roles y perfiles</t>
  </si>
  <si>
    <t>Desplegar Durante el año 2025&amp;nbsp;en ambiente PRD de SAP ECC la matriz de roles y perfiles para las siguientes áreas, Dirección&amp;nbsp;de Estructuración e Innovación de Productos y Gestión, Dirección de Experiencia ,Dirección de Estrategia Comercial, Dirección de Microfinanzas y Programas Especiales, Dirección Comercial Nacional ,Dirección de cumplimiento ,Dirección Asuntos Corporativos, Dirección de Felicidad, Planeación y Gestion Integral ,Oficina de Control Interno, Dirección de Aplicaciones, Dirección Tributaria, Dirección Jurídica.Indicador o Formula:Se obtiene un 100% del objetivo si se cumple la siguiente formula:((Sumatoria de porcentaje de avance de las áreas implementadas))/(13-areas planificadas)≥95%Se obtiene un&amp;nbsp;90% del objetivo si se cumple la siguiente formula 90%&amp;gt;(Sumatoria de porcentaje de avance de las áreas implementadas ))/(13-areas planificadas-))/(13 )≥85%Se obtiene un&amp;nbsp;80% del objetivo si el despliegue es menor al 70%.Entregables:Q4: 1. Actas de entrega de la nueva matriz de roles y perfiles firmada por el subdirector y director de cada area.2. RFC aprobado en el comite de cambios para paso a PRD y despliegue a PRD de roles y perfiles&amp;nbsp;cada area.</t>
  </si>
  <si>
    <t>Lograr durante el 2025 un 100% de cumplimiento en la ejecución y finalización de los proyectos estratégicos de tecnologías de la información que han sido ejecutados y finalizados según la hoja de ruta del Plan Estratégico de Tecnologías de la Información (PETI) del FNG programados para el año 2025, de acuerdo con el alcance, cronogramas y resultados esperados.&amp;nbsp;Indicador o Formula:(# Proyectos finalizados / Total proyectos programados para finalizar en el  2025) * 100  Total proyectos programados 2025 = 9Entregables:Q2• Informe de avance&amp;nbsp;(número de proyectos completados hasta la fecha).Q3• Informe de avance intermedio (número de proyectos en fase final).Q4• Informe de finalización de todos los proyectos del PETI 2025.</t>
  </si>
  <si>
    <t>Gestion tecnologica para nuevos productos y servicios</t>
  </si>
  <si>
    <t>Gestionar durante el 2025 los desarrollos y/o configuraciones de los sistemas de información que soporten la gestión de nuevos productos y servicios, como:- Factoring Q2- Gran empresa&amp;nbsp;Q3- Unificacion de Anexos 14 y 21 Q4- Garantia Global Q4Indicador o Formula:Cumplimiento Q2 (30%) Desarrollo de FactoringCumplimiento Q3 (30%) Desarrollo Gran empresaCumplimiento Q4 (40%) Desarrollo Unificación de Anexos 14 y 21 y Garantía GlobalEntregables:RFC aprobado en Comité de Cambios de cada uno de los desarrollos en el trimestre correspondiente.</t>
  </si>
  <si>
    <t>Configuración IPv6 Sistemas SAP</t>
  </si>
  <si>
    <t>Realizar durante el año 2025&amp;nbsp;Implementación del protocolo de red IPv6 en todos los servicios del entorno SAP, ERP (Desarrollo, Calidad y Productivo), SAP Router y Solution Manager, Cluod Connector QAS y PRD.Indicador o Formula:Se logra un 100% del objetivo si se cumplen la siguiente formula(# de sistemas configurado/7)*100≥95%Se logra un 90% del objetivo si se cumplen la siguiente formula(# de sistemas configurado/7)*100≥80%Se logra un 80% del objetivo si se cumplen la siguiente formula(# de sistemas configurado/7)*100≥70%Entregable:Q4: 1. Documento con la configuración realizada y evidencia de la validación de la configuración.﻿2. Documento de pruebas de conectividad entre los productos del ecosistema SAP (ERP, Solman, SAP Router y Cloud Connector)</t>
  </si>
  <si>
    <t>Activación del escenario JOB Monitoring en Solution Manager</t>
  </si>
  <si>
    <t>Activar durante el año 2025 el modulo de Job monitoring en el sistema Solution Mananager, con el fin de tener una mejor trazabilidad de los Jobs de fondo del sistema ECC, detección de fallas,&amp;nbsp;y tener un histórico de eventos más amplio que el obtenido en el sistema ECC sin impactar el tamaño de la Base de DatosIndicador o Formula:Cumple / No cumple&amp;nbsp;Entregables:Q3: Entrega de Documentación de la actividad realizada, evidenciando la activación del modulo de Job Monitoring&amp;nbsp;en el Solution Manager&amp;nbsp;PRDQ4: Entrega de documento con los resultaos obtenidos del modulo sobre Jobs del ambiente PRD SAP ECC</t>
  </si>
  <si>
    <t>1010189237</t>
  </si>
  <si>
    <t>Ana Carolina Noriega Pitre</t>
  </si>
  <si>
    <t>Profesional Senior de Asuntos Corporativos</t>
  </si>
  <si>
    <t>38671824</t>
  </si>
  <si>
    <t>Lina Maria Bueno Salazar</t>
  </si>
  <si>
    <t>Diseñar la estrategia de sostenibilidad del FNG</t>
  </si>
  <si>
    <t>Descripción del objetivoDiseñar, durante 2025, la primera versión de la estrategia de sostenibilidad del FNG, con apoyo externo especializado, que contenga el análisis de materialidad.Indicador de mediciónPorcentaje cumplimiento: 100%Q1: 15%Q3: 35%Q4: 50% Actividades &amp;amp; EntregablesActividad 1 [Q1]. Presentar el estado actual en materia de sostenibilidad del FNG ante el Comité de Gobierno Corporativo de enero de 2025.Entregable 1. Extracto del Acta del Comité de Gobierno Corporativo de enero de 2025 [15%]. Actividad 2 [Q3]. Diseñar el análisis de materialidad presentado al Vicepresidente Ejecutivo.Entregable 2. Análisis de materialidad aprobado por el Vicepresidente Ejecutivo [35%]. Actividad 3 [Q4]. Diseñar la estrategia de sostenibilidad.Entregable 3. Documento de la estrategia presentado a la alta gerencia [50%].Ubicación: Z:\Objetivos\2025\Dirección de Asuntos Corporativos</t>
  </si>
  <si>
    <t>Gestión integral de alianzas estratégicas y acciones de cooperación internacional del FNG</t>
  </si>
  <si>
    <t>Descripción del objetivoDurante 2025, coordinar el mapeo, fortalecimiento, formalización y seguimiento de las alianzas estratégicas y acciones de cooperación internacional del FNG, en articulación con las áreas encargadas (Dirección de Microfinanzas &amp;amp; Programas Especiales y Dirección de Estrategia Comercial).Indicador de MediciónPorcentaje de cumplimiento: 100%Q1: 15%&amp;nbsp;Q2: 15%Q3: 35%&amp;nbsp;Q4: 35%Actividades &amp;amp; EntregablesActividad 1 [Q1 a Q4]. Realizar seguimiento a las gestiones de nuevas alianzas estratégicas y acciones de cooperación internacional y al fortalecimiento de las vigentes en coordinación con las áreas encargadas (Dirección de Microfinanzas &amp;amp; Programas Especiales y Dirección de Estrategia Comercial), incluyendo las gestiones propias de la Dirección de Asuntos Corporativos. Este seguimiento se llevará a cabo mediante comunicaciones directas con los equipos responsables y se consolidará de forma sistemática en la matriz de priorización y seguimiento de actores estratégicos FNG 2025.Entregable 1. Matriz de priorización y seguimiento de actores estratégicos FNG 2025, actualizada trimestralmente, consolidada y presentada como evidencia de soporte del PAI 2025 [60%].&amp;nbsp;Actividad 2 [Q3 a Q4]. Gestionar e implementar dos (2) espacios de coordinación con las áreas encargadas de las alianzas estratégicas y acciones de cooperación internacional del FNG (Dirección de Microfinanzas &amp;amp; Programas Especiales y Dirección de Estrategia Comercial) para el seguimiento y articulación de las acciones propuestas y desarrolladas. Este espacio tendrá una periodicidad definida y permitirá consolidar avances, identificar sinergias y fortalecer la trazabilidad de las acciones entre las áreas responsables.Entregable 2. Evidencias del desarrollo de dos (2) espacios de coordinación con las áreas encargadas de las alianzas estratégicas y acciones de cooperación internacional (constancias de las reuniones) [20%].Actividad 3 [Q4]. Elaborar un informe final de resultados de las alianzas estratégicas y acciones de cooperación internacional del FNG , destacando logros y buenas prácticas.Entregable 3. Informe aprobado por la Directora de Asuntos Corporativos remitido por email a las áreas encargadas de las alianzas estratégicas y acciones de cooperación internacional (Dirección de Microfinanzas &amp;amp; Programas Especiales y Dirección de Estrategia Comercial) [20%].Ubicación: Z:\Objetivos\2025\Dirección de Asuntos Corporativos</t>
  </si>
  <si>
    <t>Procedimiento de anticipación normativa y legislativa del FNG</t>
  </si>
  <si>
    <t>Descripción del objetivoDiseñar y formalizar, durante 2025, el procedimiento de anticipación normativa y legislativa del FNG.Indicador de MediciónPorcentaje de cumplimiento: 100%Q1: 10%Q2: 10%Q3: 45%Q4: 35% Actividades &amp;amp; EntregablesActividad 1 [Q1 a Q3]. Diseñar el procedimiento de anticipación normativa y legislativa del FNG con el objetivo de institucionalizar y asignar de manera transversal las responsabilidades frente a las actividades relacionadas con la anticipación normativa y legislativa, centradas en la mitigación de riesgos y la potencialización de oportunidades que puedan impactar a la entidad. Entregable 1. Procedimiento de Anticipación Normativa y Legislativa presentado a la Directora de Asuntos Corporativos (documento y constancia de la reunión) [30%]. Actividad 2 [Q3]. Cargar el documento en la herramienta institucional dispuesta por la entidad para su formalización. Entregable 2. Cargue del procedimiento en la herramienta dispuesta por la entidad para su formalización [35%]. Actividad 3 [Q4]. Socializar con las áreas responsables el procedimiento.Entregable 3. Constancia de las siete reuniones de socialización del procedimiento con los enlaces designados por cada una de las vicepresidencias del FNG [35%].Ubicación: Z:\Objetivos\2025\Dirección de Asuntos Corporativos</t>
  </si>
  <si>
    <t>Comunicación estratégica con la Junta Directiva del FNG</t>
  </si>
  <si>
    <t>Descripción del objetivoDurante 2025, fortalecer la comunicación de la administración del FNG con la Junta Directiva mediante (1) la actualización y rediseño de la línea gráfica de las presentaciones realizadas a la Junta Directiva, y (2) la elaboración y entrega de un paper de gobierno corporativo para sus miembros.Indicador de MediciónPorcentaje de cumplimiento: 100%Q3: 35%Q4: 65%Actividades &amp;amp; EntregablesActividad 1 [Q3]. Rediseñar la línea gráfica de las presentaciones para la Junta Directiva, en conjunto con la Dirección de Marca Institucional. Validarla con la Directora de Asuntos Corporativos y el Vicepresidente Ejecutivo.Entregable 1. Muestra del rediseño gráfico validada con la Directora de Asuntos Corporativos y el Vicepresidente Ejecutivo [15%].Actividad 2 [Q3 a Q4]. Diseñar un lineamiento para la elaboración de los papers de preparación para las sesiones de Junta Directiva. Validarlo con la Directora de Asuntos Corporativos y el Vicepresidente Ejecutivo.Entregable 2. Lineamiento presentado y validado con la Directora de Asuntos Corporativos y el Vicepresidente Ejecutivo [40%].Actividad 3 [Q4]. Elaborar y entregar un paper de gobierno corporativo a los miembros de la Junta Directiva que integran el Comité de Gobierno Corporativo, Nominación, Remuneración y Sostenibilidad.Entregable 3. Paper de gobierno corporativo remitido a través de email a los miembros de la Junta Directiva por parte de la Directora de Asuntos Corporativos o el Vicepresidente Ejecutivo [45%].Ubicación: Z:\Objetivos\2025\Dirección de Asuntos Corporativos</t>
  </si>
  <si>
    <t>Formalizar el lineamiento de alianzas estratégicas y cooperación internacional del FNG</t>
  </si>
  <si>
    <t>Descripción del objetivoFormalizar, durante 2025, el lineamiento de alianzas estratégicas y cooperación internacional del FNG con su caja de herramientas.Indicador de Medición Porcentaje cumplimiento: 100%Q3: 85% Q4: 15%Actividades &amp;amp; EntregablesActividad 1 [Q3]. Actualizar el lineamiento y su caja de herramientas.Entregable 1. Documento actualizado del lineamiento de alianzas estratégicas y cooperación internacional del FNG con su caja de herramientas presentado al Vicepresidente Ejecutivo [50%]. Actividad 2 [Q3]. Socializar y validar el documento y su caja de herramientas con la Vicepresidencia Comercial y Vicepresidencia Ejecutiva.Entregable 2. Constancia de la reunión de socialización del documento y su caja de herramientas con la Vicepresidencia Comercial y Vicepresidencia Ejecutiva [35%]. Actividad 3 [Q4]. Formalizar el documento actualizado y validado en la herramienta definida por la entidad para su formalización.Entregable 3. Cargue del documento actualizado en la herramienta dispuesta por la entidad para su formalización [15%].Ubicación: Z:\Objetivos\2025\Dirección de Asuntos Corporativos</t>
  </si>
  <si>
    <t>43918903</t>
  </si>
  <si>
    <t>Ana Maria Hernandez Posada</t>
  </si>
  <si>
    <t>Dirección Comercial</t>
  </si>
  <si>
    <t>Gerente de Cuenta Medellín</t>
  </si>
  <si>
    <t>42889458</t>
  </si>
  <si>
    <t>Olga Lucia Zuluaga Meneses</t>
  </si>
  <si>
    <t>Vinculacion de nuevos intermediarios financieros y/o reactivaciones en la Regional Antioquia - Chocó</t>
  </si>
  <si>
    <t xml:space="preserve">Participar en eventos en la zona de atención comercial Departamento de Antioquia </t>
  </si>
  <si>
    <t>Participación en cuatro (4) eventos durante el año 2025 en la zona de atención comercial (Chocó), dando a conocer las generalidades y portafolio del FNG como un aliado estratégico de los colombianos, haciendo presencia en espacios y/o eventos coordinados con las diferentes entidades aliadas en la región.Formula: Participar en cuatro (4) eventos o más obtendrá un puntaje de 100%, participar en tres (3) eventos o menos obtendrá un puntaje de 0%. Evidencia: Informe Modelo de Actuación Comercial MAC Fuerza Propia generado por la dirección de estrategia comercial.</t>
  </si>
  <si>
    <t xml:space="preserve">Movilización Portafolio asignado en la regional Antioquia y Chocó </t>
  </si>
  <si>
    <t>Lograr al 31 de diciembre de 2025 una movilización de créditos con garantías del FNG igual o superior al 100% de la meta asignada por la vicepresidencia comercial a la base asignada por el subdirectora comercial Antioquia-Chocó la cual puede estar sujeta a cambios.Formula: Calificación proporcional entre la Meta definida por la Vicepresidencia Comercial de la base asignada por la subdirección comercial Antioquia-Choco y&amp;nbsp;$862.103.392.074 millones (donde menor a $862.103.392.074 millones es 0% y la Meta asignada por la vicepresidencia comercial o más son 100%)La fórmula de medición del Rango: = (Resultado Indicador – Cumplimiento Mínimo) / (Meta – Cumplimiento Mínimo) x 100. Evidencia: Informe de cierre de movilización del año 2025 generado por la dirección de estrategia comercial.</t>
  </si>
  <si>
    <t>Visitas a sucursales Activas y gestionables de los Intermediarios Financieros del portafolio asignado por Subdirector Comercial Regional Antioquia - Chocó</t>
  </si>
  <si>
    <t>Realizar 306 visitas a sucursales activas gestionables de Intermediarios Financieros del FNG del portafolio asignado por la Subdirectora en la regional Antioquia-Chocó durante el año 2025, la cual puede presentar cambios a lo largo del periodo.Formula: Realizar 306 visitas o más obtendrá un puntaje de 100%, realizar menos de 275 visitas obtendrá un puntaje de 0%. Se medirá de acuerdo a la tabla equitativa: donde sacar un puntaje del 90% será el 90% y así hasta llegar&amp;nbsp;al 100%.Evidencia: Informe Modelo de Actuación Comercial MAC Fuerza Propia generado por la dirección de estrategia comercial.</t>
  </si>
  <si>
    <t>Resultado Encuesta de satisfacción de cliente externo zona de ventas FNG ANTIOQUIA -CHOCO</t>
  </si>
  <si>
    <t>Obtener al 31 de diciembre de 2025 un resultado igual o mayor a 9.1 en la Encuesta de Satisfacción del Cliente Externo - satisfacción funcionarios - zona de ventas de la Regional FNG Antioquia-Chocó. Formula: Igual o mayor a 9.1 (Donde menor a 8.6 es 0 puntos y 9.1 es 100 puntos), Rango: &amp;gt; o = 8.6 Pts &amp;lt; 9.1 Pts La fórmula de medición del Rango: = (Resultado Indicador – Cumplimiento Mínimo) / (Meta – Cumplimiento Mínimo) x 100. Evidencia: encuesta de satisfacción cliente Externo, estudio cuantitativo. Sección: Satisfacción funcionarios zona de ventas, resultado de la zona de ventas FNG Antioquia-Chocó.</t>
  </si>
  <si>
    <t>1057600107</t>
  </si>
  <si>
    <t>Anderson Chaparro Sanchez</t>
  </si>
  <si>
    <t>Dirección de Planeación y Gestion Integral</t>
  </si>
  <si>
    <t>Profesional de Gestión Estratégica</t>
  </si>
  <si>
    <t>1049794723</t>
  </si>
  <si>
    <t>Omar Fernando Perez Medina</t>
  </si>
  <si>
    <t>Diligenciamiento del Formulario Único de Reporte de Avances de Gestión (FURAG) 2024</t>
  </si>
  <si>
    <t>Descripción del Objetivo:Lograr a más tardar el 30-09-2025 la coordinación, capacitación, diligenciamiento y análisis de resultados del FURAG 2024, garantizando la participación de los líderes de política, el registro oportuno de la información y la obtención del certificado de envío, asegurando el cumplimiento del 100 % de las actividades que se describen a continuación:Indicador: Su evaluación será proporcional a la suma de los porcentajes relacionados a cada entregable completado a satisfacción1. Identificar y asignar las preguntas a los líderes de políticas y responsables: Peso 20 % – Entrega Q3-20252. Realizar la capacitación virtual a los líderes de políticas y responsables: Peso 20 % – Entrega Q3-20253. Coordinar el diligenciamiento completo del formulario y obtener el certificado de envío: Peso 30 % – Entrega Q3-20254. Elaborar informe de análisis de resultados de las mediciones que se generen en el FURAG, asegurando su socialización: Peso 30% - Entrega Q3-2025Entregables: Informe de avance de las actividades relacionadas para entrega en Q3, formalizado mediante correo electrónico al Subdirector de Planeación Estratégica y Gestión de Procesos.&amp;nbsp;El objetivo esta alineado a la apuesta estratégica del PAI: Fortalecimiento de las políticas del MIPGUbicación de las Evidencias:P:\Objetivos\2025\Dirección de Planeación y Gestión Integral\Anderson Chaparro Sanchez</t>
  </si>
  <si>
    <t>Diseño de metodología para el diagnóstico de la Planeación Estratégica del FNG</t>
  </si>
  <si>
    <t>Descripción del Objetivo:Lograr a más tardar el 30-11-2025 el diseño de la metodología para la actualización del diagnóstico de la planeación estratégica del FNG, integrando herramientas para el análisis interno y externo, cumpliendo el 100 % de las actividades detalladas a continuación:Indicador: Su evaluación será proporcional a la suma de los porcentajes relacionados a cada entregable completado a satisfacciónActividades: 1. Redactar el instructivo con las herramientas de diagnóstico estratégico: Peso 30 % – Entrega Q3-20252. Ejecutar talleres de análisis interno y externo con procesos o colaboradores clave usando las herramientas del instructivo: Peso 20 % – Entrega Q3-2025Entregables:Informe de avance de las actividades relacionadas para entrega en Q3, formalizado mediante correo electrónico al Subdirector de Planeación Estratégica y Gestión de Procesos.3. Consolidar resultados y elaborar informe de análisis de resultados de las herramientas de diagnóstico: Peso 30 % – Entrega Q4-20254. Publicar instructivo y el diagnóstico de la planeación estratégica: Peso 20 % – Entrega Q4-2025Entregables:Informe de avance de las actividades relacionadas para entrega en Q4, formalizado mediante correo electrónico al Subdirector de Planeación Estratégica y Gestión de Procesos.&amp;nbsp;El objetivo esta alineado a la apuesta estratégica del PAI: Fortalecimiento de los componentes asociados a los controles de la matriz de riesgos y controles de la entidadUbicación de las Evidencias:P:\Objetivos\2025\Dirección de Planeación y Gestión Integral\Anderson Chaparro SanchezPeso del Objetivo:25%</t>
  </si>
  <si>
    <t>Migración de indicadores, fichas técnicas y mediciones a Isotools</t>
  </si>
  <si>
    <t>Descripción del Objetivo:Lograr a más tardar el 30-09-2025 la migración de los indicadore, fichas técnicas y la carga de las mediciones del 2025 a corte Q2 en la plataforma Isotools, asegurando el inventario de los indicadores del SGI,&amp;nbsp;piloto de carga y configuación de las variables de las fórmulas, disponibilidad y visualización correcta de los indicadores, capacitación y entrega a los responsables de los indicadores, cumpliendo el 100 % de las actividades que se describen a continuación:Indicador:Su evaluación será proporcional a la suma de los porcentajes relacionados a cada entregable completado a satisfacciónActividades:1. Crear los indicadores estratégicos y tácticos en Isotools, validar fórmulas, datos y visualización: Peso 20 % – Entrega Q3-20252. Ejecutar migración del 100% de las fichas técnicas de los indicadores de proceso a Isotools y validación de funcionalidad: Peso 30 % – Entrega Q3-20253. Capacitar a los líderes de proceso y responsables de indicadores (sesiones Teams): Peso 30 % – Entrega Q3-20254. Elaborar material visual de socialización (Guion, instructivo o infografía): Peso 20 % – Entrega Q3-2025Entregables: Informe de avance de las actividades relacionadas para entrega en Q3, formalizado mediante correo electrónico al Subdirector de Planeación Estratégica y Gestión de Procesos.&amp;nbsp;El objetivo esta alineado a la apuesta estratégica del PAI: Puesta en producción del Software del SGIUbicación de las Evidencias: P:\Objetivos\2025\Dirección de Planeación y Gestión Integral\Anderson Chaparro Sanchez</t>
  </si>
  <si>
    <t>Fortalecimiento de la batería de indicadores de los procesos del FNG</t>
  </si>
  <si>
    <t>Descripción del Objetivo:Lograr a más tardar el 31-12-2025 la actualización del instructivo de formulación de indicadores y seguimiento a la gestión, incluyendo la definición y aplicación de parámetros de diseño, la realización de mesas de trabajo con los responsables y el seguimiento/actualización de los indicadores en Isotools, garantizando el cumplimiento del 100 % de las actividades que se describen a continuación:Indicador: Su evaluación será proporcional a la suma de los porcentajes relacionados a cada entregable completado a satisfacciónActividades:1. Definir los parámetros de diseño de indicadores para su fortalecimiento: Peso 20 % – Entrega Q3-20252. Actualizar el instructivo formulación de indicadores y seguimiento a la gestión: Peso 20 % – Entrega Q3-2025Entregables: Informe de avance de las actividades relacionadas para entrega en Q3,  formalizado mediante correo electrónico al Subdirector de Planeación Estratégica y Gestión de Procesos.3. Realizar mesas de trabajo para revisión, análisis y modificación de todos los indicadores por proceso (aplicando el diseño): Peso 40 % – Entrega Q4-20254. Ejecutar trimestralmente seguimiento y actualización de los indicadores en Isotools: Peso 20 % – Entrega Q4-2025Entregables: Informe de avance de las actividades relacionadas para entrega en Q4, formalizado mediante correo electrónico al Subdirector de Planeación Estratégica y Gestión de Procesos.&amp;nbsp;El objetivo esta alineado a la apuesta estratégica del PAI: Fortalecimiento de batería de indicadores del SGIUbicación de las Evidencias:P:\Objetivos\2025\Dirección de Planeación y Gestión Integral\Anderson Chaparro Sanchez</t>
  </si>
  <si>
    <t>11233582</t>
  </si>
  <si>
    <t>Anderson Mauricio Hernandez Gomez</t>
  </si>
  <si>
    <t>Ingeniero de Desarrollo ABAP</t>
  </si>
  <si>
    <t>Lograr durante el 2025 un 100% de cumplimiento en la ejecución y finalización de los proyectos estratégicos de tecnologías de la información que han sido ejecutados y finalizados según la hoja de ruta del Plan Estratégico de Tecnologías de la Información (PETI) del FNG programados para el año 2025, de acuerdo con el alcance, cronogramas y resultados esperados.&amp;nbsp;Indicador o Formula con la que se va a Realizar la Medición.(# Proyectos finalizados / Total proyectos programados para finalizar en el&amp;nbsp;2025) * 100&amp;nbsp;&amp;nbsp;Total proyectos programados 2025 = 9Entregables:Q2• Informe de avance&amp;nbsp;(número de proyectos completados hasta la fecha).Q3• Informe de avance intermedio (número de proyectos en fase final).Q4• Informe de finalización de todos los proyectos del PETI 2025.</t>
  </si>
  <si>
    <t>Modularización para subrutinas del objeto crítico LZPORTALF01 e implementación de la solución</t>
  </si>
  <si>
    <t>Desarrollar e implementar durante el año 2025 la solución de modularizacion que reemplazara a las subrutinas del objeto critico LZPORTALF01 a las BAPIs relacionadas a los procesos de reserva, registro y apertura de cupos rotativos para el esquema tradicional del FNG, desplegada en ambiente PRD.Indicador o Formula con la que se va a Realizar la Medición:Desarrollo e implementación de la solución en ambiente QAS (95%), Se calcula así:(Módulos implementados / total subrutinas utilizadas)*100.Despliegue en PRD (5%)Entregables&amp;nbsp;:Q3:&amp;nbsp;1. Evidencia de despliegue en ambiente QAS (screen del LOG de transporte).2. Orden de transporte con los nuevos objetos generados.3. Evidencia de invocación desde las BAPIs relacionadas (screen invovacion nuevos modulos).Q4:1. Generacion del RFC aprobado en Comité de Cambios.2. Evidencia de despliegue en ambiente PRD (screen del LOG de transporte).3. Documento de Especificación Técnica.</t>
  </si>
  <si>
    <t>Control a calificación de cartera - Gran empresa</t>
  </si>
  <si>
    <t>Desarrollar durante el año 2025 la transacción, control y validaciones de acuerdo con la historia de usuario, acompañamiento en pruebas integrales y soporte de novedades con el fin de lograr el paso a ambiente productivo posterior al comité de cambios.Indicador o Formula con la que se va a Realizar la Medición:Paso a pruebas integrales ambiente QAS hasta el día 15 de abril (65%).Paso a ambiente productivo antes de finalizar el mes de abril (35%).Entregables:Q2:1. Generacion del RFC aprobado en Comité de Cambios.2. Evidencia de despliegue en ambiente QAS (screen del LOG de transporte).3. Evidencia notificación por correo electrónico al usuario para las correspondientes pruebas integrales.4. Evidencia de paso a productivo (screen del LOG de transporte).5. Notificación por correo electrónico del despliegue al área de negocio.Q3:1. Documento de Especificación Técnica.</t>
  </si>
  <si>
    <t xml:space="preserve"> Gestion tecnologica para nuevos productos y servicios</t>
  </si>
  <si>
    <t>Gestionar durante el 2025 los desarrollos y/o configuraciones de los sistemas de información que soporten la gestión de nuevos productos y servicios, como:&amp;nbsp;- Factoring Q2- Gran empresa&amp;nbsp;Q3- Unificacion de Anexos 14 y 21 Q4- Garantia Global Q4Indicador o Formula con la que se va a Realizar la Medición:Cumplimiento Q2 (30%) Desarrollo de FactoringCumplimiento Q3 (30%) Desarrollo Gran empresaCumplimiento Q4 (40%) Desarrollo Unificación de Anexos 14 y 21 y Garantía GlobalEntregables:RFC aprobado en Comité de Cambios de cada uno de los desarrollos en el trimestre correspondiente.</t>
  </si>
  <si>
    <t>80171332</t>
  </si>
  <si>
    <t>Andres David Yaguez Santana</t>
  </si>
  <si>
    <t>Dirección de Infraestructura Tecnológica</t>
  </si>
  <si>
    <t>Subdirector de Infraestructura y Ciberseguridad</t>
  </si>
  <si>
    <t>1128407632</t>
  </si>
  <si>
    <t>Daniel Betancur Salazar</t>
  </si>
  <si>
    <t xml:space="preserve">Analisis y diseño del modelo de HCI para la modernizacion del Datacenter sede Bulevar Tequendama </t>
  </si>
  <si>
    <t>Durante 2025 para Q3 realizar el analisis y diseño de la modernizacion en el modelo HCI, para el Datacenter alterno del FNG, orientado a la hiperconvergencia, con el fin de mejorar el performance de la infraestrucrura tecnologica de la entidad, asi como de la infraestructura que respalda el DRP tecnologico.Entregable: Documento de diseño de la solucion HCI para la migracion del centro de datos alterno</t>
  </si>
  <si>
    <t>Despliegue y endurecimineto del 2FA con token para Authenticator y VM64 en Azure</t>
  </si>
  <si>
    <t>Durante 2025 para Q3 realizar el afinamineto del 2FA con Token, con el fin de implementar los mismos en la herramineta Authenticator y Firewall VM64 de Azure, fortaleciendo los esquemas de doble factor de autenticacion y lograr un mayor control de acceso a las herraminetas implementadas.﻿Documento de las configuraciones y activaciones de los Token en las herraminetas.</t>
  </si>
  <si>
    <t>Mejorar las capacidades de Ciberseguridad</t>
  </si>
  <si>
    <t>Fortalecer durante el 2025 la capacidad de respuesta y atención en Ciberseguridad del FNG, mediante la implementación de las siguientes soluciones:1.Protección de Marca: Implementación de herramientas para la detección y mitigación de suplantaciones de identidad, fraudes digitales y usos indebidos de la imagen institucional en canales externos. 2. Advance Report (GoAnywhere): Integración de una solución avanzada para la gestión segura de transferencias de archivos, con trazabilidad, control de accesos y generación de reportes automatizados.3. Control de Acceso a la Red (NAC): Despliegue de una solución de Network Access Control que permita identificar, autenticar y autorizar dispositivos conectados a la red del FNG, garantizando un entorno más seguro y controlado.Los entregables serán los siguientes: 1. Documento contractual (Contrato Protección de Marca) Q22. Informe de implementación (Protección de Marca) Q33. Documento contractual (GoAnyWhere) Q34. Informe de implementación módulo Advance Report (GoAnyWhere) Q25. Documento contractual (Contrato NAC) Q36. Informe de implementación (NAC) Q4La medición se llevará a cabo de la siguiente manera: # de actividades ejecutadas / # total de actividades planeadas por ejecutar al 31/12/2025 Total actividades planificadas 2025 = 6</t>
  </si>
  <si>
    <t>Implementacion de herramineta de proteccion de marca con analisis de ciberseguridad para terceros</t>
  </si>
  <si>
    <t>Durante 2025 para Q3 realizar la implementacion, modernizacion y afinamiento de la herramienta de proteccion de marca con analisis de ciberseguridad para terceros, con el fin de mejorar la postura de ciberseguridad de la entidad y tener una mejor visibilidad de la marcar y ciberentorno del FNG.Entregable: Informe de implementación de la herramienta, con una muestra de 03 informes de terceros analizados.</t>
  </si>
  <si>
    <t>Modernización de infraestructura y comunicaciones para soportar procesos de negocio</t>
  </si>
  <si>
    <t>Continuar durante el 2025 con el proceso de modernización de la infraestructura tecnológica y de equipos de comunicaciones para soportar procesos de negocio como son la gestión de inversiones en la mesa de dinero, y la gestión administrativa mediante la dotación de nuevos recursos tecnológicos en ambientes de trabajo en el FNG. Incluye las pruebas de concepto, adquisiciones e instalaciones de:1. Pruebas de concepto y/o implementación de Torretas en la mesa de dinero. (según valoración del área Financiera) Q3-Q4 2. Instalación de equipos de videoconferencia en las salas de las Vicepresidencias. Q2-Q33. Dotación de equipos especializados para diseño e impresión y monitores para puestos de trabajo. Q2-Q4Los entregables serán los siguientes: Q2- Contrato los equipos de video- Contrato de equipo de diseño- Contrato compra de monitoresQ3- Informe de Instalación los equipos de video- Acta de recibo de equipo de diseño- Contrato de compra de impresoraQ4- Informe de POC de acuerdo con lo evaluado por la Vicepresidencia Financiera o Compra e Instalación torretas a cargo de la Vicepresidencia de TD e Innovación Q4 - Informe de POC o Instalación torretas- Acta de entrega de impresora- Acta de recibo de monitoresLa medición se llevará a cabo de la siguiente manera: # de actividades ejecutadas / # total de actividades planeadas por ejecutar al 31/12/2025 Total actividades planificadas 2025 = 10</t>
  </si>
  <si>
    <t>Update de seguridad de los firmware de la infraestrutura de red LAN / WLAN</t>
  </si>
  <si>
    <t>Durante 2025 para el Q4 realizar los update disponibles y compatibles con la solucion de AP Aruba con la que cuenta la entidad y la cual se compone de 35 AP, 01 clearpass y 01 aruba central, de igual manera realizar el update para la capa de networking de la entidad compuesta por 14 Switch alcate Lucent, esto con el fin de prevenir y mitigar ataques a nivel de hardware de red.Entregable: Documento de update de firmware para las soluciones de AP y SW de la entidad&amp;nbsp;</t>
  </si>
  <si>
    <t>72212114</t>
  </si>
  <si>
    <t>Andres Eduardo Senior Herrera</t>
  </si>
  <si>
    <t>Director Comercial Nacional</t>
  </si>
  <si>
    <t>52541982</t>
  </si>
  <si>
    <t>Luz Patricia Garzon Almanza</t>
  </si>
  <si>
    <t>Plan Comercial</t>
  </si>
  <si>
    <t>Fondos Regionales</t>
  </si>
  <si>
    <t>Movilización Agro</t>
  </si>
  <si>
    <t>Número de créditos</t>
  </si>
  <si>
    <t>1013641380</t>
  </si>
  <si>
    <t>Andres Eduardo Sosa Preciado</t>
  </si>
  <si>
    <t>Dirección de Proyectos de Transformación Digital e Innovación</t>
  </si>
  <si>
    <t>Profesional Senior de Proyectos</t>
  </si>
  <si>
    <t>249407</t>
  </si>
  <si>
    <t>Manuel Fernando Avalos Esquerre</t>
  </si>
  <si>
    <t>Fortalecimiento de las capacidades de innovación en el FNG_IT036_Onboarding digital de clientes</t>
  </si>
  <si>
    <t>Ejecutar el rol de "Gerente de proyecto" para el proyecto de Onboarding Digital de Clientes:Q3: 25% Plan de gestión de proyecto IT036Q3: 25% Informe de avance del proyecto IT036Q4: 50% Informe de avance del proyecto IT036</t>
  </si>
  <si>
    <t>Aseguramiento de calidad de gestión de proyectos, de los proyectos de la hoja de ruta PETI_IT015_Modelo de Gobierno de Datos</t>
  </si>
  <si>
    <t>realizar la mentoría y aseguramiento de calidad de gestión de proyectos, de&amp;nbsp;los proyectos de la hoja de ruta PETI&amp;nbsp;: IT015_Modelo de Gobierno de Datos:Q4: 100% Informe PMR de revisión de proyecto IT015. Incluye conclusiones y recomendaciones&amp;nbsp;</t>
  </si>
  <si>
    <t>Gestión de proyectos de la hoja de ruta PETI_IT027_Actualización - Rediseño Marco de Referencia Arquitectura Empresarial</t>
  </si>
  <si>
    <t>Durante el 2025 ejecutar el rol de "Gerente de proyecto" de las iniciativas y proyectos de la hoja ruta PETI: IT027_Actualización - Rediseño Marco de Referencia Arquitectura Empresarial: Q3: 50% Informe de avance del proyecto de arquitectura empresarial IT027Q4: 50%Informe de recomendaciones de arquitectura empresarial IT027</t>
  </si>
  <si>
    <t>Gestión de proyectos de la hoja de ruta PETI_IT013_Actualización técnica del sistema SAP ERP</t>
  </si>
  <si>
    <t>Ejecutar el rol de "Gerente de proyecto" de las iniciativas y proyectos de la hoja ruta PETI&amp;nbsp;: IT013_Actualización técnica del sistema SAP ERP:Q3: 50%  Plan de evaluación IT013 de aplicativo SAP NóminaQ4: 50%  Informe IT013 de conclusiones y recomendaciones de aplicativo SAP Nómina</t>
  </si>
  <si>
    <t>Fortalecimiento de las capacidades de innovación en el FNG_IT033_Innospark</t>
  </si>
  <si>
    <t>generar planes y entregables de la sombrilla de Innospark. Q1: 25% Informe IT033 ejecución evento Innospark 1 Q2: 25% Informe IT033 lecciones aprendidas Innospark 1 Q3: 25% Informe IT033 de conclusiones y back log de iniciativas Innospark 1 Q4: 15%  Plan de trabajo IT033 Innospark 2.0 Q4: 10%  Informe de avance IT033 del programa Innospark 2.0</t>
  </si>
  <si>
    <t>Actualización marco gestión de proyectos</t>
  </si>
  <si>
    <t>realizar la actualización de la versión del Manual de gestión de proyectos de IT.&amp;nbsp; Q3: 50% Templates de artefactos PGP, mapa stakeholders y PMR, Cargue y codificación templates de artefactos de PGP, mapa stakeholders y PMR Q4: 50% Manual de Gestión de proyectos de TI actualizado, con artefactos PGP, mapa stakeholders y PMR</t>
  </si>
  <si>
    <t>Fortalecimiento de las capacidades de innovación en el FNG_IT034_Innovalab</t>
  </si>
  <si>
    <t>proponer esquema (estrategia, gobierno y modelo) base de innovación que apalanque los procesos de innovación del FNG:Q3: 50%&amp;nbsp;propuesta IT034 de modelo, gobierno, estrategia de innovaciónQ4: 50 % IT034 Informe final&amp;nbsp;del programa Innovalab</t>
  </si>
  <si>
    <t>94062994</t>
  </si>
  <si>
    <t>Andres Elias Pineda Abuchar</t>
  </si>
  <si>
    <t>Dirección Jurídica</t>
  </si>
  <si>
    <t>Director Jurídico</t>
  </si>
  <si>
    <t>1110446460</t>
  </si>
  <si>
    <t>Daniel Mauricio Ramirez Troncoso</t>
  </si>
  <si>
    <t xml:space="preserve">PLAN PILOTO INSTITUCIONAL IMPLEMENTACIÓN MODELO OPEN FINANCE </t>
  </si>
  <si>
    <t xml:space="preserve">PLAN DE FORMACIÓN MARCARIO INSTITUCIONAL </t>
  </si>
  <si>
    <t xml:space="preserve">WIKI JURÍDICA </t>
  </si>
  <si>
    <t xml:space="preserve">Ejercicio de exploración e innovación en los departamentos legales de entidades financieras </t>
  </si>
  <si>
    <t xml:space="preserve">RUTA LEGAL </t>
  </si>
  <si>
    <t xml:space="preserve">PLATAFORMA DIGITAL DE GESTIÓN JURÍDICA (MODULO DE ARANDA) </t>
  </si>
  <si>
    <t>1016095934</t>
  </si>
  <si>
    <t>Andres Felipe Morales Contreras</t>
  </si>
  <si>
    <t>Dirección de Experiencia</t>
  </si>
  <si>
    <t>Profesional de Experiencia y Optimización de Procesos</t>
  </si>
  <si>
    <t>1019070310</t>
  </si>
  <si>
    <t>Laura Janneth Santana Rivera</t>
  </si>
  <si>
    <t xml:space="preserve">Acreditación en experiencia al cliente </t>
  </si>
  <si>
    <t>Lograr al 31 de diciembre de 2025 la acreditación en experiencia del cliente para el Fondo Nacional de Garantías. El objetivo se cumple al 100% con la ejecución de todas las actividades, el resultado final corresponderá a la suma de los porcentajes de cumplimiento de cada actividad ejecutada y debidamente soportada, las cuales corresponden a las siguientes:Actividad 1: Formular plan de preparación para la acreditación aprobado por la vicepresidente comercial, que contemple actividades como la comunicación y sensibilización de las áreas claves del FNG involucradas en este proceso. (Peso: 15%)Entregable: Acta firmada por la vicepresidente comercial con el plan de preparación.Actividad 2: Proceso de contratación para formalizar el acuerdo con la entidad prestadora del servicio y garantizar las condiciones administrativas y operativas necesarias para la ejecución del proyecto. (Peso: 10%).Entregable: Minuta contrato firmada por las partes.Actividad 3: Asegurar que todas las partes involucradas comprendan la importancia del assessment CX y participen activamente en el proceso (Peso: 15%):&amp;nbsp;•	Proveer información clave a proveedor, convocar a los líderes claves a un espacio de sensibilización y socializar la aplicación del assessment.&amp;nbsp;Entregable: Informe de actividades realizadas, enviado por correo electrónico a la VP Comercial y a la dirección de experiencia.Actividad 4: Apoyo en la Evaluación de Madurez en CX (assessment CX) (Peso: 10%):•	Facilitar la recolección de información necesaria para el diagnóstico de madurez en CX.•	Monitorear el avance de la recopilación de datos y garantizar una alta tasa de respuesta en las encuestas.•	Facilitar el acceso a las personas a entrevistar para el análisis cualitativo.Entregable: Informe de actividades realizadas, enviado por correo electrónico a la Vicepresidente Comercial y a la directora de experiencia.Actividad 5: Asegurar que el análisis refleje fielmente la situación del FNG y proporcionar retroalimentación para su ajuste (Peso: 15%):&amp;nbsp;•	Revisar el informe de hallazgos principales.•	Validar las observaciones sobre el diagnóstico.&amp;nbsp;Entregable: Correo de aceptación de la vicepresidente comercial con las observaciones al proveedor.Actividad 6:&amp;nbsp;Recibir el informe con el resultado de la acreditación y asegurar la entrega de los resultados por parte del proveedor y que el Roadmap propuesto sea viable y alineado con los objetivos estratégicos del FNG:•	Priorizar las acciones clave del Roadmap y asignar responsables internos para su ejecución. (Peso: 10%)Entregable: Informe con el resultado de la acreditación y presentación con la propuesta de priorización de las actividades y asignación de responsables, aprobada a satisfacción por correo electrónico a la VP Comercial y a la dirección de experiencia.Actividad 7: Convocar y garantizar la participación de las áreas claves en el taller de Co-creación. (Peso: 10%)Entregable: Informe del taller realizado, enviado por correo electrónico a la VP Comercial.Actividad 8: Establecer plan de trabajo post-acreditación el cual incluya los compromisos adquiridos que permita que la acreditación tenga un impacto tangible en el FNG. (Peso: 15%)Entregable: Plan de trabajo final aprobado por la VP Comercial mediante acta.Los entregables se encontrarán en la siguiente ruta: P:\Objetivos\2025\Dirección de Experiencia\Andres Felipe Morales Contreras</t>
  </si>
  <si>
    <t>Proyecto APP móvil para Intermediarios Financieros</t>
  </si>
  <si>
    <t>Al 31 de diciembre del 2025 radicar las respectivas historias de usuario a TI para el desarrollo de la APP móvil para Intermediarios Financieros, teniendo en cuenta lo siguiente:Actividad 1: Crear Historia de Usuario (HU) con el ajuste de las BAPIS para la nueva APP de Intermediarios Financieros. Peso: 45%Actividad 2: Crear Historia de Usuario (HU) con la mejora de las funcionalidades de la APP móvil para Intermediarios Financieros. Peso: 45%Actividad 3: Generar instructivo para los usuarios finales sobre el manejo de la APP Móvil. Peso: 10%&amp;nbsp;Medición: El objetivo se cumplirá con la ejecución de actividades de acuerdo con el porcentaje obtenido.El objetivo se cumple al 100 % con la ejecución de la totalidad de las actividades planteadas. Mínimo se debe cumplir con la ejecución del 90% de las actividades. Menos de 90% el puntaje será de 0.Entregables: Correo electrónico con el soporte de la radicación de cada historia de usuario para las dos actividades e instructivo enviado a través de mailing a los clientes finales.Los entregables se encontrarán en la siguiente ruta: P:\Objetivos\2025\Dirección de Experiencia\Andres Felipe Morales Contreras</t>
  </si>
  <si>
    <t>Mejora de la consulta de clientes preferentes</t>
  </si>
  <si>
    <t>Al 31 de diciembre de 2025 radicar las respectivas historias de usuario a TI para mejorar las respuestas a la opción de "Consulta clientes preferentes" en el Portal Transaccional, teniendo en cuenta lo siguiente:Actividad 1: Crear Historia de Usuario (HU) con las mejoras de la consulta de cliente preferente en el Portal Transaccional, a través del aplicativo Aranda. Peso 50%Actividad 2: Realizar el alcance a la HU de consulta de clientes preferentes masiva a través de correo electronico informando a TI el respectivo alcance. Peso 50%Entregable: Correos electrónicos enviados a la dirección de TI con el radicado de las historias de usuario para las dos actividades.Medición: El objetivo se cumple al 100 % con la ejecución de la totalidad de las actividades planteadas. Mínimo se debe cumplir con la ejecución del 50% de las actividades. Se medirá mediante tabla equitativa, en la cual alcanzar el 50% de las actividades representará un puntaje de 50 y así respectivamente. Menos del 50% de ejecución el puntaje será de 0.&amp;nbsp;Formula: Total de actividades gestionadas / Total de actividades planteadas *100.Los entregables se encontrarán en la siguiente ruta: P:\Objetivos\2025\Dirección de Experiencia\Andres Felipe Morales Contreras</t>
  </si>
  <si>
    <t>Creación del instructivo nueva versión APP móvil</t>
  </si>
  <si>
    <t>Al 31 de diciembre de 2025, publicar el instructivo de uso y entendimiento de la nueva versión APP móvil en Isolución, aprobado por la Subdirectora de Experiencia de Negocio.&amp;nbsp;El objetivo se cumple al 100 % con la publicación del instructivo en el aplicativo Isolucion máximo al 30 de noviembre de 2025. Mínimo se debe cumplir con la ejecución del 100% de la actividad. Menos del 100% de ejecución el puntaje será de 0.&amp;nbsp;Entregable: Correo electronico enviado a la subdirectora de Experiencia de Negocio antes del 15 de diciembre con el respectivo pantallazo de la publicación en iSolucion.Los entregables se encontrarán en la siguiente ruta: P:\Objetivos\2025\Dirección de Experiencia\Andres Felipe Morales Contreras</t>
  </si>
  <si>
    <t xml:space="preserve">Cambios, modificaciones y/o desarrollos Portal Transaccional </t>
  </si>
  <si>
    <t>Al 31 de diciembre de 2025 radicar la(s) historia(s) de usuario(s) a las solicitudes viables que requieran cambios, modificaciones y/o desarrollos con el fin de mejorar la Experiencia de Usuario (UX - User Experience), recibidas por parte del cliente interno hasta el 31 de octubre, teniendo en cuenta lo siguiente:&amp;nbsp;Actividad 1:&amp;nbsp;Gestionar las solicitudes requeridas por la Subdirectora de Experiencia de Negocio y/o áreas internas revisando la viabilidad de las mismas a través de mesas de trabajo con las áreas involucradas en los procesos según el proyecto a realizar, respondiendo a través de correo electrónico la decisión final para la creación de historia(s) de usuario(s).Entregable: Informe de las solicitudes gestionadas en el año, indicando la trazabilidad y la respectiva gestión de la historia de usuario, y debe ser enviado vía correo electrónico máximo el 15 de diciembre de 2025 y con visto bueno de la Subdirectora de Experiencia de Negocio.&amp;nbsp;</t>
  </si>
  <si>
    <t>1072654030</t>
  </si>
  <si>
    <t>Andres Giovanny Hernandez Bonilla</t>
  </si>
  <si>
    <t>Dirección de Riesgos de Garantías</t>
  </si>
  <si>
    <t>Director de Riesgos de Garantías</t>
  </si>
  <si>
    <t>Tarifa Deudor</t>
  </si>
  <si>
    <t>En el marco del PAI 2025, y con el propósito de abordar el Objetivo Estratégico 1: Promover la generación de créditos garantizados y reducir las barreras de acceso a la inclusión financiera, impactando favorablemente el tejido social y productivo del país, y a su vez, contribuir a la estrategia 1.1: Fortalecimiento del portafolio de productos y servicios del FNG en cuanto a la apuesta estratégica " Mejorar el esquema de tarifación", la Dirección de Riesgo de Garantías establece el siguiente objetivo:Diseñar y presentar al comité SIAR del tercer trimestre una propuesta para implementar productos con control parcial de originación, basados en la evaluación de la Probabilidad de Incumplimiento mediante Score, con el fin de reducir la brecha entre los productos multipropósito y preferente.Entrega Q2: Entrega de la base a los Buros para la revisión del Backtest. Entrega del backtest de los Buros al área de modelos Técnicos. Peso: 20%Evaluación de la tarifa del producto alterno y presentación de la propuesta al comité SIAR, bajo la metodología operativa de Preferente. Peso: 80%</t>
  </si>
  <si>
    <t>Modelo Fintech</t>
  </si>
  <si>
    <t>En el marco del PAI 2025, y con el propósito de abordar el Objetivo Estratégico 1: Promover la generación de créditos garantizados y reducir las barreras de acceso a la inclusión financiera, impactando favorablemente el tejido social y productivo del país, y a su vez, contribuir a la estrategia 1.1: Fortalecimiento del portafolio de productos y servicios del FNG en cuanto a la apuesta estratégica "Desarrollo y/o rediseño de productos adaptados a las dinámicas y necesidades de mercado", la Dirección de Riesgo de Garantías establece el siguiente objetivo:Proponer al Comité SIAR en el Q4 un nuevo modelo para la asignación del Valor Máximo Discrecional Empresarial a las entidades originadoras clasificadas como Fintech, que incorpore revisiones cualitativas y cuantitativas, teniendo en cuenta las características diferenciadoras de estas entidades en comparación con otras.Indicador: Porcentaje de avance de la entrega del Modelo.Entregable Q3: Base de datos para el análisis del modelo depurada. Peso: 60%Entregable Q4: Presentación propuesta Modelo Fintech para Comité SIAR Peso: 20%. Reunión evidencia presentación Comité SIAR Peso: 20%.</t>
  </si>
  <si>
    <t>Fortalecimiento de capacidades al equipo de la dirección comercial</t>
  </si>
  <si>
    <t>En el marco del PAI 2025, y con el propósito de abordar el “Objetivo Estratégico 1: Promover la generación de créditos garantizados y reducir las barreras de acceso a la inclusión financiera, impactando favorablemente el tejido social y productivo del país” y&amp;nbsp;el “Objetivo Estratégico 6: Contar con un equipo humano competente, motivado y alineado con los valores corporativos, que impulse el crecimiento del negocio” que a su vez, contribuyen en las estrategias “1.3: Ampliación de la base de intermediarios financieros” y “6.2: Cualificación del talento humano” impactando las apuestas&amp;nbsp;estratégicas "Consolidación y diversificación del portafolio de clientes canal” y " Desarrollo de habilidades técnicas, blandas y digitales del talento humano para la transformación digital del FNG", la Dirección de Riesgo de Garantías establece el siguiente objetivo:Fortalecer el conocimiento del equipo de la dirección comercial del FNG en temas de análisis financiero, riesgos e información exógena mediante talleres interactivos segmentados por tema y audiencia que faciliten los flujos de los procesos entre el área comercial, el Intermediarios Financieros, y el área de riesgos de garantías. Entregable Q2: Cronograma de capacitaciones. Presentación con el material de formación para las sesiones de fortalecimiento. Listados de asistencia. Evaluación de conocimiento. Peso: 34%Entregable Q3: Cronograma de capacitaciones. Presentación con el material de formación para las sesiones de fortalecimiento. Listados de asistencia. Evaluación de conocimiento. Peso: 33%Entregable Q4: Cronograma de capacitaciones. Presentación con el material de formación para las sesiones de fortalecimiento. Listados de asistencia. Evaluación de conocimiento. Peso: 33%</t>
  </si>
  <si>
    <t>Informes de riesgo con información exógena</t>
  </si>
  <si>
    <t>En el marco del PAI 2025, y con el propósito de abordar el Objetivo Estratégico 1: Promover la generación de créditos garantizados y reducir las barreras de acceso a la inclusión financiera, impactando favorablemente el tejido social y productivo del país, y a su vez, contribuir a la estrategia 1.3: Ampliación de la base de intermediarios financieros en cuanto a la apuesta estratégica "Consolidación y diversificación del portafolio de clientes canal", la Dirección de Riesgo de Garantías establece el siguiente objetivo:Presentar ante el comité de garantías en los diferentes trimestres informes de riesgo con información exógena y endógena que permitan comparar dinámicamente los riesgos del sector financiero e internos y hacer un comparable con nuestra captura de riesgo, de esa manera se brindarán herramientas nuevas de análisis para la toma de decisiones tanto comerciales como estratégicas.Entregable Q2: Tablero con información exógena de la Superintendencia Solidaria, haciendo uso de ella en las presentaciones de los cupos que se presentan para aprobación en las reuniones de la Vicepresidencia de Riesgos. Peso: 20%Entregable Q3: Tabla de datos con información del FNG, SuperSolidaria y SFC, al mismo corte de reporte de la información, cargado en la partición DRIESGO, - ARTEMISAZ, Peso: 20%. Tablero con información comparativa del FNG vs. Información exógena presentado en el informe de Siniestralidad Peso:10%. Tablero con la movilización y características de los productos de cada intermediario para Garantía Global, cargado en la nuevo de Tableau Peso:10%. Entregable Q4: Presentación al comité de garantías de la información exógena vs interna comparada Peso: 30%. Tablero de seguimiento de flujos de entrada y salida de clientes al segmento de preferente (revisar el seguimiento de riesgo de los salientes) Peso: 10%.</t>
  </si>
  <si>
    <t>Asignación de cupos</t>
  </si>
  <si>
    <t>En el marco del PAI 2025, y con el propósito de abordar el Objetivo Estratégico 1: Promover la generación de créditos garantizados y reducir las barreras de acceso a la inclusión financiera, impactando favorablemente el tejido social y productivo del país, y a su vez, contribuir a la estrategia 1.3: Ampliación de la base de intermediarios financieros en cuanto a la apuesta estratégica "Consolidación y diversificación del portafolio de clientes canal", la Dirección de Riesgo de Garantías establece el siguiente objetivo:Presentar ante el vicepresidente de Riesgos o el Comité de Garantías del FNG las evaluaciones de los intermediarios financieros para la asignación o renovación de cupos de Valor Máximo Discrecional y Garantía Global, midiendo este indicador en los meses en los que el volumen de evaluaciones supere la capacidad operativa de la Dirección de Riesgo de Garantías, mediante análisis financieros y de riesgos individuales por entidad, aplicando las metodologías aprobadas en el SARGEntregable Q2: Determinación de la capacidad actual de evaluación de cupo. Peso: 40%Entregable Q3: primer Informe de evaluación del tercer trimestre del 2025 sobre la capacidad de respuesta del equipo de riesgos de garantías en la evaluación de cupos de los intermediarios financieros asignados. En este informe se determina si el equipo cumplió con el indicador teniendo el umbral definido en Q2 y se evaluará en el mes de octubre. Evidencia: Correo de decisiones de la Vicepresidencia de riesgos o Acta del Comité Garantías. Peso: 30%Entregable Q4: segundo Informe de evaluación del cuarto trimestre del 2025 sobre la capacidad de respuesta del equipo de riesgos de garantías en la evaluación de cupos de los intermediarios financieros asignados. En este informe se determina si el equipo cumplió con el indicador teniendo el umbral definido en Q2 y se evaluará en el mes de enero 2026. Evidencia: Correo de decisiones de la Vicepresidencia de riesgos o Acta del Comité Garantías. Peso: 30%</t>
  </si>
  <si>
    <t>Calidad en la Evaluación de intermediarios financieros</t>
  </si>
  <si>
    <t>En el marco del PAI 2025, y con el propósito de abordar el Objetivo Estratégico 5: Promover el mejoramiento continuo a través del Sistema de Gestión Integral del FNG, y a su vez, contribuir a la estrategia 5.2: Búsqueda de mejores prácticas de gestión y cumplimiento normativo en cuanto a la apuesta estratégica " Fortalecimiento de los componentes asociados a los controles de la matriz de riesgos y controles de la entidad", la Dirección de Riesgo de Garantías establece el siguiente objetivo:Presentar ante el vicepresidente de Riesgos o el Comité de Garantías del FNG las evaluaciones de los intermediarios financieros para la asignación o renovación de cupos&amp;nbsp;de&amp;nbsp;Valor Máximo Discrecional y Garantía Global, garantizando&amp;nbsp;la calidad de la información. Para ello, se medirá un indicador de devoluciones&amp;nbsp;originadas por deficiencias en la información, el cual tendrá un umbral de cumplimiento del&amp;nbsp;10%&amp;nbsp;sobre el total de evaluaciones presentadasEntregable Q2: Definición y aceptación por la Vicepresidencia de Riesgos del indicador de devolución para la dirección de riesgos de garantías por medio de correo electrónico. Peso: 40%Entregable Q3: primer Informe de evaluación del tercer trimestre del 2025 sobre el indicador de calidad. En este informe se determina si el equipo cumplió con el indicador teniendo el umbral definido en Q2 y se evaluará en el mes de octubre. Evidencia: Correo de decisiones de la Vicepresidencia de riesgos o Acta del Comité Garantías. Peso: 30%Entregable Q4: segundo Informe de evaluación del tercer trimestre del 2025 sobre el indicador de calidad. En este informe se determina si el equipo cumplió con el indicador teniendo el umbral definido en Q2 y se evaluará en el mes de enero 2026. Evidencia: Correo de decisiones de la Vicepresidencia de riesgos o Acta del Comité Garantías. Peso: 30%</t>
  </si>
  <si>
    <t>Diseño de herramienta interna para la gestión de Sistema de Administración de Riesgo Operacional SARO según plan de trabajo</t>
  </si>
  <si>
    <t>En el marco del PAI 2025, y con el propósito de abordar el Objetivo Estratégico 5: Promover el mejoramiento continuo a través del Sistema de Gestión Integral del FNG, y a su vez, contribuir a la estrategia 5.2: Búsqueda de mejores prácticas de gestión y cumplimiento normativo en cuanto a la apuesta estratégica " Fortalecimiento de los componentes asociados a los controles de la matriz de riesgos y controles de la entidad", la Dirección de Riesgo de Garantías establece el siguiente objetivo:Diseñar e implementar una solución integral que incluya (i) una base de datos en SQL Server para consolidar y actualizar información sobre riesgos operativos del FNG proveniente de matrices en Excel y fuentes externas, con seguimiento mediante registros de cambios filtrables por código, fecha o área, y (ii) un tablero interactivo en Tableau conectado a esta base, que permita visualizar la información con filtros por área, fecha, riesgos y controles, y genere visuales tipo semáforo por niveles de criticidad.Entrega Q2: Plan de trabajo. Diagnóstico y análisis de histórico de matrices de la 1 al 49. Script en Python para carga automática desde matrices consolidadas a una estructura de tabla en Excel. Peso: 40%Entrega Q3: Tabla en SQL Server con datos cargados. Reporte con ejemplos de consultas por código, área o fecha. Peso:50%Entrega Q4: Diseño del mockup del tablero con filtros definidos. Primera versión del tablero en Tableau con semáforo por criticidad y filtros operativos. Peso: 10%</t>
  </si>
  <si>
    <t>Actualización del Modelo Empresarial SFC con Componentes Prospectivo</t>
  </si>
  <si>
    <t>En el marco del PAI 2025, y con el propósito de abordar el Objetivo Estratégico 3: Fortalecer la gestión y administración integral del riesgo para generar un adecuado ambiente de control, y a su vez, contribuir a la estrategia 3.1: Consolidar la gestión integral de Riesgos en cuanto a la apuesta estratégica " Aplicación de modelos prospectivos transversales a los sistemas de riesgos", la Dirección de Riesgo de Garantías establece el siguiente objetivo:Diseñar y presentar al Comité SIAR, antes del 31 de diciembre de 2025, un modelo actualizado del Valor Máximo Discrecional (VMD) empresarial para intermediarios vigilados por la Superintendencia Financiera de Colombia, que incluya un componente prospectivo basado en variables macroeconómicas y tendencias sectoriales, con el fin de fortalecer la evaluación del Indicador Financiero (IF). Este objetivo impacta el Indicador: Modelo ActualizadoEntrega Q2: Entrega de la base al área de Modelos Técnicos los insumos para la construcción de los indicadores que se evalúan actualmente en el modelo. Peso: 15%Socialización a través de reunión Teams con el equipo de Modelos Técnicos para el entendimiento del modelo VMD Vigilado Actual (Grabación Reunión). Peso: 15%Entrega Q3: Script de Python con ajustes metodológicos. Peso: 30%. Ajuste del modelo Actual con el componente prospectivo en archivo Excel. Peso: 15% Presentación de la propuesta al comité SIAR. Peso: 25%.</t>
  </si>
  <si>
    <t>Producto Nuevos</t>
  </si>
  <si>
    <t>En el marco del PAI 2025, y con el propósito de abordar el Objetivo Estratégico 1: Promover la generación de créditos garantizados y reducir las barreras de acceso a la inclusión financiera, impactando favorablemente el tejido social y productivo del país, y a su vez, contribuir a la estrategia 1.1: Fortalecimiento del portafolio de productos y servicios del FNG en cuanto a la apuesta estratégica " Creación de modelo de apoyo y análisis del riesgo de productos nuevos", la Dirección de Riesgo de Garantías establece el siguiente objetivo:Desarrollar el perfilamiento y la tarifa de nuevos productos solicitados a lo largo del año, utilizando metodologías de riesgo alternativas a las tradicionales, que capturen de manera más precisa el riesgo, y permitan realizar comparaciones con las metodologías convencionales. Esto con el fin de ajustar las comisiones y optimizar la suficiencia tarifaria.Entregable Q2: &amp;nbsp;Script de R para el cálculo de la probabilidad de incumplimiento del producto de empresas del sector energético. Correo con la tarifa de productos no tradicionales. Peso: 40%Entregable Q3: Correo con la tarifa de productos no tradicionales solicitados. Comparación de los resultados de los modelos generados en una presentación para la Vicepresidencia de Riesgos en una reunión. Peso: 20%Entregable Q4: Seguimiento de los productos nuevos generados a través de las cosechas para evaluar la pérdida esperada a través de una presentación realizada al comité de Garantías. Peso: 20%</t>
  </si>
  <si>
    <t>1130669975</t>
  </si>
  <si>
    <t>Andres Ivan Jaimes Ardila</t>
  </si>
  <si>
    <t>Gerente de Cuenta Santander</t>
  </si>
  <si>
    <t>37728658</t>
  </si>
  <si>
    <t>Sylvia Marcela Daza Ruiz</t>
  </si>
  <si>
    <t>Participar en eventos en la zona de atención comercial de la Regional Santander</t>
  </si>
  <si>
    <t>Participar en Seis (6) eventos o mas durante el año 2025 en la zona de atención comercial (Santander), dando a conocer las generalidades y portafolio del FNG como un aliado estratégico de los colombianos, haciendo presencia en espacios y/o eventos coordinados con las diferentes entidades aliadas en la región.% CumplimientoSe medirá de acuerdo a la formula: # de eventos año 2025/6 y el resultado obtenido será la calificación final del objetivo según la formula, ejemplo: 3 eventos/6 = 50%.Evidencia:Informe Modelo de Actuación Comercial MAC Fuerza Propia generado por la dirección de estrategia comercial.</t>
  </si>
  <si>
    <t>Visitas a sucursales de Intermediarios Financieros de la Regional Santander</t>
  </si>
  <si>
    <t>Realizar 364 visitas a sucursales activas gestionables de Intermediarios Financieros del FNG en la Regional Santander durante el año 2025 .% Cumplimiento.Realizar 364&amp;nbsp;visitas o mas obtendrá un puntaje de 100%, realizar menos de 328 visitas obtendrá un puntaje de 0%. Se medirá de acuerdo a la tabla equitativa: donde al sacar un puntaje del 90% el puntaje será 90%, y así hasta llegar al 100%.Evidencia: Informe Modelo de Actuación Comercial MAC Fuerza Propia generado por la dirección de estrategia comercial.</t>
  </si>
  <si>
    <t>Resultado Encuesta de satisfacción de cliente externo zona de ventas FNG SANTANDER</t>
  </si>
  <si>
    <t>Obtener al 31 de diciembre de 2025 un resultado igual o mayor a 9.1 en la Encuesta de Satisfacción del Cliente Externo - satisfacción funcionarios - zona de ventas de la Regional FNG Santander.% cumplimientoMayor o igual a 9.1 (Donde menor a 8.6 es 0 puntos y 9.1 es 100 puntos), Rango: &amp;gt; o = 8.6 Pts &amp;lt; 9.1 Pts La fórmula de medición del Rango: = (Resultado Indicador – Cumplimiento Mínimo) / (Meta – Cumplimiento Mínimo) x 100.Evidencia: Encuesta de satisfacción cliente Externo, estudio cuantitavo. Sección: Satisfacción funcionarios zona de ventas, resultado&amp;nbsp;de la zona de ventas FNG SANTANDER.</t>
  </si>
  <si>
    <t>Movilización de créditos con garantías del FNG en la  Regional Santander</t>
  </si>
  <si>
    <t>Lograr al 31 de diciembre de 2025 una movilización de créditos con garantías del FNG igual o superior al 100% de la Meta asignada por la vicepresidencia comercial a la Regional Santander. % Cumplimiento.Calificación proporcional entre la Meta asignada por la vicepresidencia comercial y&amp;nbsp;$1.012.591.594.499 billones (donde menor a $1.012.591.594.499 billones es 0% y la Meta asignada o superior es el 100%)&amp;nbsp;La fórmula de medición del Rango: = (Resultado Indicador – Cumplimiento Mínimo) / (Meta – Cumplimiento Mínimo) x 100.Evidencia: Informe de cierre de movilización del año 2025 generado por la direccion de estrategia comercial.</t>
  </si>
  <si>
    <t>Vinculación y/o reactivación de intermediarios financieros  en la Regional Santander</t>
  </si>
  <si>
    <t>Lograr la vinculación y/o reactivación durante el año 2025, de seis (6) intermediarios financieros en la regional Santander.% Cumplimiento.Se medirá de acuerdo a la fórmula: # de vinculaciones año 2025/6 y el resultado obtenido será la calificación final del objetivo según la formula, ejemplo: 3 vinculaciones/6 = 50%.Evidencia:&amp;nbsp;Correo de Confirmación de suscripción de contrato generado por la Dirección de Vinculación, Aseguramiento y Calidad.</t>
  </si>
  <si>
    <t>64704901</t>
  </si>
  <si>
    <t>Angela Maria Chica Zuccardi</t>
  </si>
  <si>
    <t>Dirección de Felicidad</t>
  </si>
  <si>
    <t>Subdirector de Infraestructura Física</t>
  </si>
  <si>
    <t>52191404</t>
  </si>
  <si>
    <t>Esther Julia Hernandez Lopez</t>
  </si>
  <si>
    <t>Plan de Adquisiciones</t>
  </si>
  <si>
    <t>Ejecutar para 2025 el Plan Anual de Adquisiciones aprobado para la Dirección de Felicidad.&amp;nbsp;&amp;nbsp;Su evaluación será proporcional al número de procesos aprobados y contratados para la vigencia, de acuerdo con el PAA aprobado por el Comité Institucional de Gestión y Desempeño. La evaluación iniciará a partir del Q2.&amp;nbsp;Su medición será:&amp;nbsp;No. de procesos ejecutados (contrato firmado) /No. procesos aprobados&amp;nbsp;*100Los entregables serán:Ejecución de los contratos a Q2: 30%Ejecución de los contratos a Q3: 30%Ejecución de los contratos a Q4: 40%Ruta:Publico\objetivos\2025</t>
  </si>
  <si>
    <t>Plan de Gestión Ambiental</t>
  </si>
  <si>
    <t>Lograr a 31-12-2025 el cumplimiento del Plan de Gestión Ambiental correspondientes al Decreto 612-201, el cual tiene un peso del 60% y la ejecución del proyecto ACERCAR que se desarrolla en compañía de la Secretaría Distrital de Ambiente, la cual tendrá un peso del 40%. Los entregables serán:Plan de Gestión AmbientalActa de comité Institucional de Gestión y Desempeño Q1 e Informes de ejecución trimestral Q1: 25%Acta de comité Institucional de Gestión y Desempeño Q1 e Informes de ejecución trimestral Q2: 25%Acta de comité Institucional de Gestión y Desempeño Q1 e Informes de ejecución trimestral Q3: 25%Acta de comité Institucional de Gestión y Desempeño Q1 e Informes de ejecución trimestral Q4: 25%ACERCARPresentar un informe mensual para Dirección de Felicidad sobre el avance de los entregables de la SDA, cada informe tendrá un peso de 12,5% su evaluación será desde mayo.&amp;nbsp;Presentar las matrices diligenciadas solicitadas por SDA. Matriz de Aspectos e Impactos 20%, Matriz Riesgos Oportunidades 15%, Matriz proyecto ambiental 15%.Su evaluación será proporcional al resultado obtenido en el plan.Su evaluación será:CUMPLE o NO CUMPLE de acuerdo con cada entregable.&amp;nbsp;Matriz de Aspectos e Impactos&amp;nbsp;Matriz Riesgos OportunidadesMatriz proyecto ambientalRuta: Publico\objetivos\2025</t>
  </si>
  <si>
    <t>Administración de BRDP</t>
  </si>
  <si>
    <t>Realizar durante la vigencia 2025 la administración y seguimiento de los BRDPs así:Informes trimestrales- Informes de ejecución trimestral Q1: 20%- Informes de ejecución trimestral Q2: 20%- Informes de ejecución trimestral Q3: 20%- Informes de ejecución trimestral Q4: 40%Su evaluación será:CUMPLE o NO CUMPLE de acuerdo con cada entregable.&amp;nbsp;Los entregables serán:Informes trimestrales (4 informes)Ruta: Publico\objetivos\2025</t>
  </si>
  <si>
    <t>Estudios y diseños adecuaciones Sede Principal</t>
  </si>
  <si>
    <t>Contratar y ejecutar en el año 2025 los estudios y diseños para adelantar las adecuaciones locativas de la sede principal e iniciar el proceso de contratación para la ejecución de la obra. La evaluación tendrá los siguientes entregables:El contrato suscrito de consultoría mes de junio, tendrá un peso del 20%&amp;nbsp;El contrato suscrito de Interventoría mes de junio, tendrá un peso del 20%&amp;nbsp;El Acta de inicio de consultoría, mes de&amp;nbsp;junio tendrá un peso del 10%&amp;nbsp;El Acta de inicio de Interventoría, entregado mes de junio tendrá un peso del 10%&amp;nbsp;Informe parcial de supervisión presentado a 30 de julio tendrá un peso del 10%El Acta de recibo final de los diseños, entregado el mes de octubre tendrá un peso del 15%&amp;nbsp;Presentar al comité de adquisición de Bienes y Servicios el proceso de contratación de la obra correspondiente a la ejecución del resultado de la consultoría en el mes de noviembre. El cual tendrá un peso del 15%Al tener siete entregables se obtendrá el 100%, de lo contrario será proporcional a los obtenidos según el porcentaje descrito.&amp;nbsp;Su medición sera: Al tener siete entregables se obtendrá el 100%, de lo contrario será proporcional a los obtenidos según el porcentaje descrito.&amp;nbsp;Cumplimiento de entregables, por cada mes de retardo se sancionará con un 5% del total del peso del objetivo.Se exceptuarán los casos extraordinarios, como, por ejemplo: solicitud de otro si al contrato por parte del contratista, demoras en los tiempos de ejecución por hechos atribuibles a un tercero, declaración de desierto del proceso, entre otros.&amp;nbsp;En todo caso las excepciones deberán ser autorizadas por el vicepresidente Ejecutivo.&amp;nbsp;Ruta: Publico\objetivos\2025</t>
  </si>
  <si>
    <t>Planes Institucionales Decreto 612 - 2018</t>
  </si>
  <si>
    <t>Lograr a 31-12-2025 el cumplimiento del 100% de los&amp;nbsp;planes del Decreto 612-2018, relacionados con la Dirección de Felicidad, los cuales son monitoreados por el Comité Institucional de Gestión y Desempeño.Plan Estrategico de Gestión Humana: peso 10%&amp;nbsp;Plan de Capacitación: peso 20%Plan de Bienestar :peso 20%Plan de Seguridad y Salud en el Trabajo: peso 30%Plan Institucional de Archivo 20%Su evaluación será:Proporcional al resultado obtenido en cada plan. (ejemplo: si se hace el 90% de las actividades la calificación será 90 puntos- Si la calificación es menor a 80% su calificación será cero).Los entregables seran:Acta de Comité Institucional de Gestión y Desempeño donde se evidencia el cumplimiento de los planes, presentados en cada Q.&amp;nbsp;Ruta: Publico\objetivos\2025</t>
  </si>
  <si>
    <t>Vigilancia -Mejoramiento del sistema de alarmas</t>
  </si>
  <si>
    <t>Realizar durante el 2025 la estructuración técnica de la actualización del sistema de alarmas para la sede II, con el fin de incluir en el contrato nuevo de vigilancia el servicio de monitoreo y control por parte de la empresa de Vigilancia, se entregará:&amp;nbsp;&amp;nbsp;Documentos:- Documento de justificación para el 30 septiembre tendrá un peso de 50%- Contrato vigilancia suscrito para el 30 noviembre tendrá un peso de 50%Su evaluación será:CUMPLE o NO CUMPLE de acuerdo con cada entregable.&amp;nbsp;Los entregables serán:Documento de justificaciónContrato vigilancia suscrito&amp;nbsp;</t>
  </si>
  <si>
    <t>52430063</t>
  </si>
  <si>
    <t>Angela Mercedes Rodriguez Rincon</t>
  </si>
  <si>
    <t>Dirección de Inversiones</t>
  </si>
  <si>
    <t>Especialista de Inversiones</t>
  </si>
  <si>
    <t>80226738</t>
  </si>
  <si>
    <t>Jairo Andres Vasquez Coba</t>
  </si>
  <si>
    <t>Acciones de mejora</t>
  </si>
  <si>
    <t>Lograr al 31 diciembre de 2025 lograr como mínimo el cumplimiento del 90% de las acciones formuladas durante la vigencia en los planes de acción y mejoramiento relacionados con las auditorías realizadas por la OCI, SFC, Revisoría Fiscal y CGR en las actividades relacionadas con la Dirección de Inversiones.Entregable:Correo electrónico enviado a el Director de Inversiones en los cuales se informe a la Oficina de control Interno - OCI el cumplimiento de la acción, la modificación de fecha o entregable acordado, a estos correos deben adjuntarse los soportes de evidencias que correspondan en cada caso.Ubicación de las evidencias: Carpeta en Público P:\Objetivos\2025\Angela Mercedes Rodriguez Rincon</t>
  </si>
  <si>
    <t>Desarrollo visualización de informes Power B.I</t>
  </si>
  <si>
    <t>Apoyar la implementación de dashboard en Power BI que permita visualizar información actualizada del área de inversiones, con el fin de facilitar la generación de reportes y el análisis eficiente de los datos para la toma de decisiones estratégicas.Entregables:*Correo enviado al Director de Inversiones en el mes de Julio de 2025:&amp;nbsp;20%Presentación Power BI con Informe de Curvas.&amp;nbsp;*Correo enviado al Director de Inversiones en el mes de Agosto de 2025:&amp;nbsp;20%Presentación Power BI con Informe de Liquidez.&amp;nbsp;*Correo enviado al Director de Inversiones en el mes de Agosto de 2025:&amp;nbsp;20%Presentación Power BI con Presentación Informe semanal de Portafolio.*Correo enviado al Director de Inversiones en el mes de Octubre de 2025:&amp;nbsp;20% Presentación Power BI con Ficha Técnica.&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Correo enviado al DI en el mes de Noviembre de 2025:&amp;nbsp;20%Presentación Power BI con Informe de Comité Financiero de Junta directiva.&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Evidencias: Carpeta en Público P:\Objetivos\2025\Angela Mercedes Rodriguez Rincon</t>
  </si>
  <si>
    <t>Actualización documental Dirección de Inversiones</t>
  </si>
  <si>
    <t>Actualizar la base documental (Manuales, procedimientos, matrices, indicadores) que involucren a la Dirección de Inversiones (Antes Dirección Financiera).Entregables:* Correo electrónico con informe de avance enviado al Director de Inversiones antes del 31 de julio 50%&amp;nbsp;&amp;nbsp;&amp;nbsp;&amp;nbsp;&amp;nbsp;&amp;nbsp;* Correo electrónico con informe final de la actualización enviado al Director de Inversiones antes del 31 de diciembre 50%.Evidencias: Carpeta en Público P:\Objetivos\2025\Angela Mercedes Rodriguez Rincon</t>
  </si>
  <si>
    <t>Informe de Valor Relativo Deuda Privada</t>
  </si>
  <si>
    <t>Realizar a 31 de diciembre un informe para comparar la rentabilidad de títulos de renta fija&amp;nbsp;frente a instrumentos indexados a indicadores como el IPC y el IBR, evaluando cuál representa una mejor opción de inversión bajo distintos escenarios de inflación y tasas de interés.Entregables:*Correo enviado al Director de Inversiones en el mes de Septiembre de 2025:&amp;nbsp;30%Presentación avance&amp;nbsp;Informe de Valor Relativo DP.*Correo enviado al Director de Inversiones en el mes de Octubre de 2025:&amp;nbsp;30%Presentación avance&amp;nbsp;Informe de Valor Relativo DP.&amp;nbsp;*Correo enviado al Director de Inversiones en el mes de Diciembre de 2025:&amp;nbsp;40%Presentación Informe definitivo Valor Relativo DP.&amp;nbsp;&amp;nbsp;Evidencias: Carpeta en Público P:\Objetivos\2025\Angela Mercedes Rodriguez Rincon</t>
  </si>
  <si>
    <t>Rentabilidad de portafolio</t>
  </si>
  <si>
    <t>Generar una utilidad del portafolio (PyG) para el año 2025 correspondiente a una TIR del 8%&amp;gt;=8%&amp;nbsp;&amp;nbsp;&amp;nbsp;&amp;nbsp;&amp;nbsp;&amp;nbsp;&amp;nbsp;&amp;nbsp;&amp;nbsp;&amp;nbsp;&amp;nbsp;&amp;nbsp;&amp;nbsp;&amp;nbsp;&amp;nbsp;&amp;nbsp;&amp;nbsp;&amp;nbsp;&amp;nbsp;&amp;nbsp;&amp;nbsp;&amp;nbsp;&amp;nbsp;&amp;nbsp;&amp;nbsp;&amp;nbsp;&amp;nbsp;&amp;nbsp;&amp;nbsp;&amp;nbsp;&amp;nbsp;&amp;nbsp;=100%&amp;gt;=7,5% y &amp;lt;8%&amp;nbsp;&amp;nbsp;&amp;nbsp;&amp;nbsp;&amp;nbsp;&amp;nbsp;&amp;nbsp;&amp;nbsp;&amp;nbsp;&amp;nbsp;=90%&amp;gt;=7,0% y &amp;lt;7,50%&amp;nbsp;&amp;nbsp;&amp;nbsp;&amp;nbsp;&amp;nbsp;&amp;nbsp;&amp;nbsp;&amp;nbsp;&amp;nbsp;&amp;nbsp;=80%&amp;gt;=6,50% y &amp;lt;7,00%&amp;nbsp;&amp;nbsp;&amp;nbsp;&amp;nbsp;&amp;nbsp;&amp;nbsp;&amp;nbsp;&amp;nbsp;=70%&amp;gt;=6,00% y &amp;lt;6,50%&amp;nbsp;&amp;nbsp;&amp;nbsp;&amp;nbsp;&amp;nbsp;&amp;nbsp;&amp;nbsp;&amp;nbsp;=60%&amp;gt;=5,50% y &amp;lt;6,00%&amp;nbsp;&amp;nbsp;&amp;nbsp;&amp;nbsp;&amp;nbsp;&amp;nbsp;&amp;nbsp;&amp;nbsp;=50%&amp;gt;=5,00% y &amp;lt;5,50%&amp;nbsp;&amp;nbsp;&amp;nbsp;&amp;nbsp;&amp;nbsp;&amp;nbsp;&amp;nbsp;&amp;nbsp;=40%&amp;gt;=4,50% y &amp;lt;5,00%&amp;nbsp;&amp;nbsp;&amp;nbsp;&amp;nbsp;&amp;nbsp;&amp;nbsp;&amp;nbsp;&amp;nbsp;=30%&amp;gt;=3,50% y &amp;lt;4,50%&amp;nbsp;&amp;nbsp;&amp;nbsp;&amp;nbsp;&amp;nbsp;&amp;nbsp;&amp;nbsp;&amp;nbsp;=20%&amp;gt;=3,0% y &amp;lt;3,50%&amp;nbsp;&amp;nbsp;&amp;nbsp;&amp;nbsp;&amp;nbsp;&amp;nbsp;&amp;nbsp;&amp;nbsp;&amp;nbsp;&amp;nbsp;&amp;nbsp;=10%&amp;lt;3&amp;nbsp;&amp;nbsp;&amp;nbsp;&amp;nbsp;&amp;nbsp;&amp;nbsp;&amp;nbsp;&amp;nbsp;&amp;nbsp;&amp;nbsp;&amp;nbsp;&amp;nbsp;&amp;nbsp;&amp;nbsp;&amp;nbsp;&amp;nbsp;&amp;nbsp;&amp;nbsp;&amp;nbsp;&amp;nbsp;&amp;nbsp;&amp;nbsp;&amp;nbsp;&amp;nbsp;&amp;nbsp;&amp;nbsp;&amp;nbsp;&amp;nbsp;&amp;nbsp;&amp;nbsp;&amp;nbsp;&amp;nbsp;&amp;nbsp;&amp;nbsp;&amp;nbsp;&amp;nbsp;&amp;nbsp;=0%Entregable: Informe presentado al Comité Financiero en el mes de enero de 2026 y acta de esta sesiónEvidencias: Carpeta en Público P:\Objetivos\2025\Angela Mercedes Rodriguez Rincon</t>
  </si>
  <si>
    <t>1070332636</t>
  </si>
  <si>
    <t>Angel David Torres Becerra</t>
  </si>
  <si>
    <t>Profesional Senior de Riesgos de Garantías</t>
  </si>
  <si>
    <t>11511000</t>
  </si>
  <si>
    <t>Javier Horacio Gonzalez Amortegui</t>
  </si>
  <si>
    <t>En el marco del PAI 2025, y con el propósito de abordar el Objetivo Estratégico 5: Promover el mejoramiento continuo a través del Sistema de Gestión Integral del FNG, y a su vez, contribuir a la estrategia 5.2: Búsqueda de mejores prácticas de gestión y cumplimiento normativo en cuanto a la apuesta estratégica " Fortalecimiento de los componentes asociados a los controles de la matriz de riesgos y controles de la entidad", la Dirección de Riesgo de Garantías establece el siguiente objetivo:&amp;nbsp;Diseñar e implementar una solución integral que incluya (i) una base de datos en SQL Server para consolidar y actualizar información sobre riesgos operativos del FNG proveniente de matrices en Excel y fuentes externas, con seguimiento mediante registros de cambios filtrables por código, fecha o área, y (ii) un tablero interactivo en Tableau conectado a esta base, que permita visualizar la información con filtros por área, fecha, riesgos y controles, y genere visuales tipo semáforo por niveles de criticidad.&amp;nbsp;Entrega Q2: Plan de trabajo. Diagnóstico y análisis de histórico de matrices de la 1 al 49. Script en Python para carga automática desde matrices consolidadas a una estructura de tabla en Excel. Peso: 40%&amp;nbsp;Entrega Q3: Tabla en SQL Server con datos cargados. Reporte con ejemplos de consultas por código, área o fecha. Peso:50%&amp;nbsp;Entrega Q4: Diseño del mockup del tablero con filtros definidos. Primera versión del tablero en Tableau con semáforo por criticidad y filtros operativos. Peso: 10%&amp;nbsp;&amp;nbsp;</t>
  </si>
  <si>
    <t>En el marco del PAI 2025, y con el propósito de abordar el Objetivo Estratégico 1: Promover la generación de créditos garantizados y reducir las barreras de acceso a la inclusión financiera, impactando favorablemente el tejido social y productivo del país, y a su vez, contribuir a la estrategia 1.3: Ampliación de la base de intermediarios financieros en cuanto a la apuesta estratégica "Consolidación y diversificación del portafolio de clientes canal", la Dirección de Riesgo de Garantías establece el siguiente objetivo:&amp;nbsp;Presentar ante el comité de garantías en los diferentes trimestres informes de riesgo con información exógena y endógena que permitan comparar dinámicamente los riesgos del sector financiero e internos y hacer un comparable con nuestra captura de riesgo, de esa manera se brindarán herramientas nuevas de análisis para la toma de decisiones tanto comerciales como estratégicas.&amp;nbsp;Entregable Q2: Tablero con información exógena de la Superintendencia Solidaria, haciendo uso de ella en las presentaciones de los cupos que se presentan para aprobación en las reuniones de la Vicepresidencia de Riesgos. Peso: 20%&amp;nbsp;Entregable Q3: Tabla de datos con información del FNG, SuperSolidaria y SFC, al mismo corte de reporte de la información, cargado en la partición DRIESGO, - ARTEMISAZ, Peso: 20%. Tablero con información comparativa del FNG vs. Información exógena presentado en el informe de Siniestralidad Peso:10%. Tablero con la movilización y características de los productos de cada intermediario para Garantía Global, cargado en la nuevo de Tableau Peso:10%.&amp;nbsp;&amp;nbsp;Entregable Q4: Presentación al comité de garantías de la información exógena vs interna comparada Peso: 30%. Tablero de seguimiento de flujos de entrada y salida de clientes al segmento de preferente (revisar el seguimiento de riesgo de los salientes) Peso: 10%.&amp;nbsp;&amp;nbsp;</t>
  </si>
  <si>
    <t>En el marco del PAI 2025, y con el propósito de abordar el Objetivo Estratégico 1: Promover la generación de créditos garantizados y reducir las barreras de acceso a la inclusión financiera, impactando favorablemente el tejido social y productivo del país, y a su vez, contribuir a la estrategia 1.3: Ampliación de la base de intermediarios financieros en cuanto a la apuesta estratégica "Consolidación y diversificación del portafolio de clientes canal", la Dirección de Riesgo de Garantías establece el siguiente objetivo:&amp;nbsp;Presentar ante el vicepresidente de Riesgos o el Comité de Garantías del FNG las evaluaciones de los intermediarios financieros para la asignación o renovación de cupos de Valor Máximo Discrecional y Garantía Global, midiendo este indicador en los meses en los que el volumen de evaluaciones supere la capacidad operativa de la Dirección de Riesgo de Garantías, mediante análisis financieros y de riesgos individuales por entidad, aplicando las metodologías aprobadas en el SARG&amp;nbsp;Entregable Q2: Determinación de la capacidad actual de evaluación de cupo. Peso: 40%&amp;nbsp;Entregable Q3: primer Informe de evaluación del tercer trimestre del 2025 sobre la capacidad de respuesta del equipo de riesgos de garantías en la evaluación de cupos de los intermediarios financieros asignados. En este informe se determina si el equipo cumplió con el indicador teniendo el umbral definido en Q2 y se evaluará en el mes de octubre. Evidencia: Correo de decisiones de la Vicepresidencia de riesgos o Acta del Comité Garantías. Peso: 30%&amp;nbsp;Entregable Q4: segundo Informe de evaluación del cuarto trimestre del 2025 sobre la capacidad de respuesta del equipo de riesgos de garantías en la evaluación de cupos de los intermediarios financieros asignados. En este informe se determina si el equipo cumplió con el indicador teniendo el umbral definido en Q2 y se evaluará en el mes de enero 2026. Evidencia: Correo de decisiones de la Vicepresidencia de riesgos o Acta del Comité Garantías. Peso: 30%&amp;nbsp;&amp;nbsp;</t>
  </si>
  <si>
    <t>En el marco del PAI 2025, y con el propósito de abordar el Objetivo Estratégico 5: Promover el mejoramiento continuo a través del Sistema de Gestión Integral del FNG, y a su vez, contribuir a la estrategia 5.2: Búsqueda de mejores prácticas de gestión y cumplimiento normativo en cuanto a la apuesta estratégica " Fortalecimiento de los componentes asociados a los controles de la matriz de riesgos y controles de la entidad", la Dirección de Riesgo de Garantías establece el siguiente objetivo:&amp;nbsp;Presentar ante el vicepresidente de Riesgos o el Comité de Garantías del FNG las evaluaciones de los intermediarios financieros para la asignación o renovación de cupos de Valor Máximo Discrecional y Garantía Global, garantizando la calidad de la información. Para ello, se medirá un indicador de devoluciones originadas por deficiencias en la información, el cual tendrá un umbral de cumplimiento del 10% sobre el total de evaluaciones presentadas&amp;nbsp;Entregable Q2: Definición y aceptación por la Vicepresidencia de Riesgos del indicador de devolución para la dirección de riesgos de garantías por medio de correo electrónico. Peso: 40%&amp;nbsp;Entregable Q3: primer Informe de evaluación del tercer trimestre del 2025 sobre el indicador de calidad. En este informe se determina si el equipo cumplió con el indicador teniendo el umbral definido en Q2 y se evaluará en el mes de octubre. Evidencia: Correo de decisiones de la Vicepresidencia de riesgos o Acta del Comité Garantías. Peso: 30%&amp;nbsp;Entregable Q4: segundo Informe de evaluación del tercer trimestre del 2025 sobre el indicador de calidad. En este informe se determina si el equipo cumplió con el indicador teniendo el umbral definido en Q2 y se evaluará en el mes de enero 2026. Evidencia: Correo de decisiones de la Vicepresidencia de riesgos o Acta del Comité Garantías. Peso: 30%&amp;nbsp;&amp;nbsp;</t>
  </si>
  <si>
    <t>En el marco del PAI 2025, y con el propósito de abordar el Objetivo Estratégico 3: Fortalecer la gestión y administración integral del riesgo para generar un adecuado ambiente de control, y a su vez, contribuir a la estrategia 3.1: Consolidar la gestión integral de Riesgos en cuanto a la apuesta estratégica " Aplicación de modelos prospectivos transversales a los sistemas de riesgos", la Dirección de Riesgo de Garantías establece el siguiente objetivo:&amp;nbsp;Diseñar y presentar al Comité SIAR, antes del 31 de diciembre de 2025, un modelo actualizado del Valor Máximo Discrecional (VMD) empresarial para intermediarios vigilados por la Superintendencia Financiera de Colombia, que incluya un componente prospectivo basado en variables macroeconómicas y tendencias sectoriales, con el fin de fortalecer la evaluación del Indicador Financiero (IF). Este objetivo impacta el&amp;nbsp;&amp;nbsp;Indicador: Modelo Actualizado&amp;nbsp;Entrega Q2: Entrega de la base al área de Modelos Técnicos los insumos para la construcción de los indicadores que se evalúan actualmente en el modelo. Peso: 15%&amp;nbsp;Socialización a través de reunión Teams con el equipo de Modelos Técnicos para el entendimiento del modelo VMD Vigilado Actual (Grabación Reunión). Peso: 15%&amp;nbsp;Entrega Q3: Script de Python con ajustes metodológicos. Peso: 30%. Ajuste del modelo Actual con el componente prospectivo en archivo Excel. Peso: 15% Presentación de la propuesta al comité SIAR. Peso: 25%.&amp;nbsp;&amp;nbsp;</t>
  </si>
  <si>
    <t>En el marco del PAI 2025, y con el propósito de abordar el Objetivo Estratégico 1: Promover la generación de créditos garantizados y reducir las barreras de acceso a la inclusión financiera, impactando favorablemente el tejido social y productivo del país, y a su vez, contribuir a la estrategia 1.1: Fortalecimiento del portafolio de productos y servicios del FNG en cuanto a la apuesta estratégica " Mejorar el esquema de tarifación", la Dirección de Riesgo de Garantías establece el siguiente objetivo:&amp;nbsp;Diseñar y presentar al comité SIAR del tercer trimestre una propuesta para implementar productos con control parcial de originación, basados en la evaluación de la Probabilidad de Incumplimiento mediante Score, con el fin de reducir la brecha entre los productos multipropósito y preferente.&amp;nbsp;Entrega Q2: Entrega de la base a los Buros para la revisión del Backtest. Entrega del backtest de los Buros al área de modelos Técnicos. Peso: 20%&amp;nbsp;Evaluación de la tarifa del producto alterno y presentación de la propuesta al comité SIAR, bajo la metodología operativa de Preferente. Peso: 80%&amp;nbsp;&amp;nbsp;</t>
  </si>
  <si>
    <t>En el marco del PAI 2025, y con el propósito de abordar el “Objetivo Estratégico 1: Promover la generación de créditos garantizados y reducir las barreras de acceso a la inclusión financiera, impactando favorablemente el tejido social y productivo del país” y&amp;nbsp; el “Objetivo Estratégico 6: Contar con un equipo humano competente, motivado y alineado con los valores corporativos, que impulse el crecimiento del negocio” que a su vez, contribuyen en las estrategias “1.3: Ampliación de la base de intermediarios financieros” y “6.2: Cualificación del talento humano” impactando las apuestas&amp;nbsp; estratégicas "Consolidación y diversificación del portafolio de clientes canal” y " Desarrollo de habilidades técnicas, blandas y digitales del talento humano para la transformación digital del FNG", la Dirección de Riesgo de Garantías establece el siguiente objetivo:&amp;nbsp;Fortalecer el conocimiento del equipo de la dirección comercial del FNG en temas de análisis financiero, riesgos e información exógena mediante talleres interactivos segmentados por tema y audiencia que faciliten los flujos de los procesos entre el área comercial, el Intermediarios Financieros, y el área de riesgos de garantías.&amp;nbsp;&amp;nbsp;Entregable Q2: Cronograma de capacitaciones. Presentación con el material de formación para las sesiones de fortalecimiento. Listados de asistencia. Evaluación de conocimiento. Peso: 34%&amp;nbsp;Entregable Q3: Cronograma de capacitaciones. Presentación con el material de formación para las sesiones de fortalecimiento. Listados de asistencia. Evaluación de conocimiento. Peso: 33%&amp;nbsp;Entregable Q4: Cronograma de capacitaciones. Presentación con el material de formación para las sesiones de fortalecimiento. Listados de asistencia. Evaluación de conocimiento. Peso: 33%&amp;nbsp;</t>
  </si>
  <si>
    <t>En el marco del PAI 2025, y con el propósito de abordar el Objetivo Estratégico 1: Promover la generación de créditos garantizados y reducir las barreras de acceso a la inclusión financiera, impactando favorablemente el tejido social y productivo del país, y a su vez, contribuir a la estrategia 1.1: Fortalecimiento del portafolio de productos y servicios del FNG en cuanto a la apuesta estratégica "Desarrollo y/o rediseño de productos adaptados a las dinámicas y necesidades de mercado", la Dirección de Riesgo de Garantías establece el siguiente objetivo:&amp;nbsp;Proponer al Comité SIAR en el Q4 un nuevo modelo para la asignación del Valor Máximo Discrecional Empresarial a las entidades originadoras clasificadas como Fintech, que incorpore revisiones cualitativas y cuantitativas, teniendo en cuenta las características diferenciadoras de estas entidades en comparación con otras.&amp;nbsp;Indicador: Porcentaje de avance de la entrega del Modelo.&amp;nbsp;Entregable Q3: Base de datos para el análisis del modelo depurada. Peso: 60%&amp;nbsp;Entregable Q4: Presentación propuesta Modelo Fintech para Comité SIAR Peso: 20%. Reunión evidencia presentación Comité SIAR Peso: 20%.&amp;nbsp;&amp;nbsp;</t>
  </si>
  <si>
    <t>En el marco del PAI 2025, y con el propósito de abordar el Objetivo Estratégico 1: Promover la generación de créditos garantizados y reducir las barreras de acceso a la inclusión financiera, impactando favorablemente el tejido social y productivo del país, y a su vez, contribuir a la estrategia 1.1: Fortalecimiento del portafolio de productos y servicios del FNG en cuanto a la apuesta estratégica " Creación de modelo de apoyo y análisis del riesgo de productos nuevos", la Dirección de Riesgo de Garantías establece el siguiente objetivo:&amp;nbsp;Desarrollar el perfilamiento y la tarifa de nuevos productos solicitados a lo largo del año, utilizando metodologías de riesgo alternativas a las tradicionales, que capturen de manera más precisa el riesgo, y permitan realizar comparaciones con las metodologías convencionales. Esto con el fin de ajustar las comisiones y optimizar la suficiencia tarifaria.&amp;nbsp;Entregable Q2:&amp;nbsp; Script de R para el cálculo de la probabilidad de incumplimiento del producto de empresas del sector energético. Correo con la tarifa de productos no tradicionales. Peso: 40%&amp;nbsp;Entregable Q3: Correo con la tarifa de productos no tradicionales solicitados. Comparación de los resultados de los modelos generados en una presentación para la Vicepresidencia de Riesgos en una reunión. Peso: 20%&amp;nbsp;Entregable Q4: Seguimiento de los productos nuevos generados a través de las cosechas para evaluar la pérdida esperada a través de una presentación realizada al comité de Garantías. Peso: 20%&amp;nbsp;&amp;nbsp;</t>
  </si>
  <si>
    <t>1020779913</t>
  </si>
  <si>
    <t>Angelica Ester Duarte Rojas</t>
  </si>
  <si>
    <t>Estimador Óptimo de Volatilidad</t>
  </si>
  <si>
    <t>Desarrollar y aplicar un estimador de volatilidad histórica que combine de manera óptima la información de precios de apertura, cierre, máximos y mínimos diarios, con el fin de determinar niveles de compra y venta de los activos de Deuda Pública.Entregables*Correo enviado al Director de Inversiones en el mes de Agosto de 2025:&amp;nbsp;50%*Avance* Herramienta Excel del estimador.*Correo enviado al Director de Inversiones en el mes de Noviembre de 2025:&amp;nbsp;50%Herramienta Excel del estimador definitiva.Evidencias: P:\Objetivos\2025\Dirección de Inversiones\Angelica Duarte Rojas&amp;nbsp;</t>
  </si>
  <si>
    <t>Key Rate Duration</t>
  </si>
  <si>
    <t>Implementar la herramienta de Key Rate Duration para mejorar la gestión del riesgo de tasa de interés del portafolio, permitiendo identificar con mayor precisión la sensibilidad del valor del portafolio ante cambios en la curva de rendimientos.Entregables:*Correo enviado al Director de Inversiones en el mes de Julio de 2025:&amp;nbsp;50%*Avance* Herramienta Excel.*Correo enviado al Director de Inversiones en el mes de Septiembre de 2025:&amp;nbsp;50%Herramienta Excel definitiva..&amp;nbsp;&amp;nbsp;Evidencias: P:\Objetivos\2025\Dirección de Inversiones\Angelica Duarte Rojas&amp;nbsp;</t>
  </si>
  <si>
    <t>Apoyar la implementación de dashboard en Power BI que permita visualizar información actualizada del área de inversiones, con el fin de facilitar la generación de reportes y el análisis eficiente de los datos para la toma de decisiones estratégicas.Entregables*Correo enviado al Director de Inversiones en el mes de Agosto de 2025:&amp;nbsp;50%Presentación Power BI con *Avance* Presentación con Ficha Técnica.*Correo enviado al Director de Inversiones en el mes de Octubre de 2025:&amp;nbsp;50%Presentación Power BI con Informe definitivo Ficha Técnica..&amp;nbsp;Evidencias: P:\Objetivos\2025\Dirección de Inversiones\Angelica Duarte Rojas&amp;nbsp;</t>
  </si>
  <si>
    <t>Rentabilidad del portafolio</t>
  </si>
  <si>
    <t>Generar una utilidad del portafolio (PyG) para el año 2025 correspondiente a una tir del 8%&amp;gt;=8%&amp;nbsp;&amp;nbsp;&amp;nbsp;&amp;nbsp;&amp;nbsp;&amp;nbsp;&amp;nbsp;&amp;nbsp;&amp;nbsp;&amp;nbsp;&amp;nbsp;&amp;nbsp;&amp;nbsp;&amp;nbsp;&amp;nbsp;&amp;nbsp;&amp;nbsp;&amp;nbsp;&amp;nbsp;&amp;nbsp;&amp;nbsp;&amp;nbsp;&amp;nbsp;&amp;nbsp;&amp;nbsp;&amp;nbsp;&amp;nbsp;&amp;nbsp;&amp;nbsp;&amp;nbsp;&amp;nbsp;&amp;nbsp;=100%&amp;gt;=7,5% y &amp;lt;8%&amp;nbsp;&amp;nbsp;&amp;nbsp;&amp;nbsp;&amp;nbsp;&amp;nbsp;&amp;nbsp;&amp;nbsp;&amp;nbsp;&amp;nbsp;=90%&amp;gt;=7,0% y &amp;lt;7,50%&amp;nbsp;&amp;nbsp;&amp;nbsp;&amp;nbsp;&amp;nbsp;&amp;nbsp;&amp;nbsp;&amp;nbsp;&amp;nbsp;&amp;nbsp;=80%&amp;gt;=6,50% y &amp;lt;7,00%&amp;nbsp;&amp;nbsp;&amp;nbsp;&amp;nbsp;&amp;nbsp;&amp;nbsp;&amp;nbsp;&amp;nbsp;=70%&amp;gt;=6,00% y &amp;lt;6,50%&amp;nbsp;&amp;nbsp;&amp;nbsp;&amp;nbsp;&amp;nbsp;&amp;nbsp;&amp;nbsp;&amp;nbsp;=60%&amp;gt;=5,50% y &amp;lt;6,00%&amp;nbsp;&amp;nbsp;&amp;nbsp;&amp;nbsp;&amp;nbsp;&amp;nbsp;&amp;nbsp;&amp;nbsp;=50%&amp;gt;=5,00% y &amp;lt;5,50%&amp;nbsp;&amp;nbsp;&amp;nbsp;&amp;nbsp;&amp;nbsp;&amp;nbsp;&amp;nbsp;&amp;nbsp;=40%&amp;gt;=4,50% y &amp;lt;5,00%&amp;nbsp;&amp;nbsp;&amp;nbsp;&amp;nbsp;&amp;nbsp;&amp;nbsp;&amp;nbsp;&amp;nbsp;=30%&amp;gt;=3,50% y &amp;lt;4,50%&amp;nbsp;&amp;nbsp;&amp;nbsp;&amp;nbsp;&amp;nbsp;&amp;nbsp;&amp;nbsp;&amp;nbsp;=20%&amp;gt;=3,0% y &amp;lt;3,50%&amp;nbsp;&amp;nbsp;&amp;nbsp;&amp;nbsp;&amp;nbsp;&amp;nbsp;&amp;nbsp;&amp;nbsp;&amp;nbsp;&amp;nbsp;&amp;nbsp;=10%&amp;lt;3&amp;nbsp;&amp;nbsp;&amp;nbsp;&amp;nbsp;&amp;nbsp;&amp;nbsp;&amp;nbsp;&amp;nbsp;&amp;nbsp;&amp;nbsp;&amp;nbsp;&amp;nbsp;&amp;nbsp;&amp;nbsp;&amp;nbsp;&amp;nbsp;&amp;nbsp;&amp;nbsp;&amp;nbsp;&amp;nbsp;&amp;nbsp;&amp;nbsp;&amp;nbsp;&amp;nbsp;&amp;nbsp;&amp;nbsp;&amp;nbsp;&amp;nbsp;&amp;nbsp;&amp;nbsp;&amp;nbsp;&amp;nbsp;&amp;nbsp;&amp;nbsp;&amp;nbsp;&amp;nbsp;&amp;nbsp;=0%Entregables: Informe presentado al Comité Financiero en el mes de enero de 2026 y acta de esta sesiónEvidencias: P:\Objetivos\2025\Dirección de Inversiones\Angelica Duarte Rojas&amp;nbsp;</t>
  </si>
  <si>
    <t>Optimizar el Portafolio de inversiones clasificadas al vencimiento</t>
  </si>
  <si>
    <t>(PAI - Objetivo Estratégico 2. Asegurar la sostenibilidad financiera del FNG que contribuya con el crecimiento de la operación: Optimización del Portafolio de Inversiones)Proponer alternativas de modificación del límite de inversiones clasificadas hasta el vencimiento al vencimiento, mediante un análisis integral de duración, perfil de riesgo y capital, con el fin de mejorar la eficiencia en la gestión de la administración de las inversiones, alineada con los principios de seguridad, liquidez y rentabilidad del Portafolio de Inversiones.indicador:Informe de evaluación de alternativas de estructura de inversiones al vencimiento por duración, flujos contractuales de liquidez y desviación vs mercadoHasta el 31 de Agosto de 2025Peso 100%&amp;nbsp;&amp;nbsp;EntregableCorreo enviado al Director de Inversiones con el Informe de evaluación de alternativas de estructura de inversiones al vencimiento por duración, flujos contractuales de liquidez y desviación vs mercadoHasta el 31 de Agosto de 2025Evidencias: P:\Objetivos\2025\Dirección de Inversiones\Angelica Duarte Rojas&amp;nbsp;</t>
  </si>
  <si>
    <t>52898383</t>
  </si>
  <si>
    <t>Angelly Bibiana Rojas Castellanos</t>
  </si>
  <si>
    <t>Profesional Senior de Compensación y Beneficios</t>
  </si>
  <si>
    <t>Indicadores Créditos</t>
  </si>
  <si>
    <t>Diligenciar el cargue de los indicadores de Créditos del FNG en la herramienta Isolución durante los primeros tres días hábiles siguientes del mes en que termina cada Q.&amp;nbsp;Nota: El indicador de Q4 se medirá en enero 2025, con la información del último trimestre 2025.Indicador o Formula con la que se va a Realizar la Medición:Q2: 33,3%Q3: 33,3%Q4: 33,4%Entregables:Las evidencias de cumplimiento será la medición del indicador en Isolución.Ubicación:Isolución</t>
  </si>
  <si>
    <t>Fortalecimiento del Programa de Créditos para Funcionarios</t>
  </si>
  <si>
    <t>Realizar la ejecución de las actividades del Plan de Fortalecimiento de Créditos para Funcionarios así:Q2:* Socializar las diferentes líneas de Créditos y sus beneficios para todos los colaboradores del FNG bajo la Campaña FNG Lovers = 40%* Informe de créditos desembolsados en primer semestre 2025 al comité directivo = 10%Q3:Realizar Vitrina Comercial para incentivar el uso de las líneas de Crédito con presencia de: Caja de Compensación, Inmobiliarias y Concesionarios de Vehículos = 40%Q4:Informe de créditos desembolsados en segundo semestre 2025 al comité directivo =&amp;nbsp;10%Indicador o Formula con la que se va a Realizar la Medición:La medición será la sumatoria de los pesos para cada entregable.De no cumplir con un entregable su calificación será "0" en ese entregableEntregables:Q2:VideoActualización de la Intranet&amp;nbsp;Informe/PresentaciónActa de comité_____________________________Q3 =Lista de AsistenciaQ4=Informe/PresentaciónActa de comitéUbicación:P:\Objetivos\2025\Direccion de Felicidad\angelly.rojas\programa créditos.</t>
  </si>
  <si>
    <t>Actualización Normativa de Créditos y Documental</t>
  </si>
  <si>
    <t>A 30 de julio de 2025, realizar la actualización de la normatividad de los créditos en lo correspondiente a las prorrogas, actualización de cargos&amp;nbsp;involucrados en el proceso de acuerdo con la planta vigente y eliminación de documentos relacionados en los procedimientos, según lo requerido por la Dirección de Cumplimiento. Peso 70%&amp;nbsp;&amp;nbsp;Actualizar los documentos que están asociados al proceso de créditos en el segundo semestre de 2025 (procedimiento, caracterización, formatos y ANS). 30%Indicador o Formula con la que se va a Realizar la Medición:Actualización de 5 resolucionesNumero de documentos actualizados del proceso de créditos / total de documentos que requieren actualización del proceso de créditos * 100%Entregables:La evidencia de cumplimientos será el listado de documentos a actualizar y aprobación en Isolución por parte de la Subdirectora o Directora de la Dirección de FelicidadUbicación:Isolución</t>
  </si>
  <si>
    <t>Nómina Electrónica</t>
  </si>
  <si>
    <t>Durante el año 2025, realizar la revisión de la nómina electrónica de la entidad al Analista de Compensación antes de ser reportada a la DIAN, este cargue es mes vencido, es decir, los primeros 10 días hábiles del mes. La formula será la siguiente:De enero a mayo: 6 puntos por cada mes. (total 30 puntos)De junio de diciembre de 2025: 10 puntos por cada mes.&amp;nbsp;La calificación será la sumatoria del cumplimiento de cada uno de los meses.&amp;nbsp;(Para los resultados del cumplimiento de este objetivo se exceptuarán las situaciones administrativas - vacaciones, licencias, incapacidades, etc.).Indicador o Formula con la que se va a Realizar la Medición:La formula será la siguiente:De enero a mayo: 6 puntos por cada mes. Total 30 puntos(El informe podrá ser presentado los primeros diez 10&amp;nbsp;días del mes de junio de 2025)De junio de diciembre de 2025 10 puntos por cada mes. Total 70 puntosSi el envío de la nómina es recibido por el área tributaria sin novedad: 10 puntos al mesSi se requiere un 2do envío por correcciones:9 puntos al mesSi se requiere un 3er envío por correcciones: 7 puntos al mesDespués de un 3er envío la calificación será "0"Entregables:Reporte emitido por la DIAN&amp;nbsp;Ubicación:P:\Objetivos\2025\Direccion de Felicidad\angelly.rojas\nómina electrónica.</t>
  </si>
  <si>
    <t>Arqueo Garantías Créditos</t>
  </si>
  <si>
    <t>Mantener actualizada la base de garantías que respaldan los créditos otorgados por el FNG a 31 de diciembre de 2025.&amp;nbsp;La evaluación se realizará con: Un informe con corte a 30 de Junio de 2025&amp;nbsp;con la actualización de la base de datos y arqueo a la totalidad de las garantías (50 puntos), los cuales serán presentados a la Subdirectora o Directora de la Dirección de Felicidad los diez (10) primeros días hábiles del mes de julio.Un segundo informe con corte a 30 de diciembre de 2025 con la actualización de la base de datos y arqueo a la totalidad de las garantías (50 puntos), los cuales serán presentados a la Subdirectora o Directora de la Dirección de Felicidad los diez (10) primeros días hábiles del mes de enero de 2026.La frecuencia de monitoreo para este objetivo es semestral. Calificación: % cumplimiento.&amp;nbsp;Indicador o Formula con la que se va a Realizar la Medición:Un informe con la actualización de la base de datos y arqueo a la totalidad de las garantías (50 puntos)Un segundo informe con la actualización de la base de datos y arqueo a la totalidad de las garantías (50 puntos)Entregables:Las evidencias será el informe presentado a la Subdirectora o Directora del Departamento de Felicidad dentro de las fechas establecidas en el objetivoUbicación:P:\Objetivos\2025\Direccion de Felicidad\angelly.rojas\garantías créditos.</t>
  </si>
  <si>
    <t>Cronograma de Nómina Créditos 2025</t>
  </si>
  <si>
    <t>Cumplir con las actividades del cronograma de nómina correspondiente a los créditos de la entidad para el año 2025&amp;nbsp;(su evaluación será desde el mes de febrero 2025, donde las actividades descritas en el cronograma para los meses febrero a noviembre equivalen a 8 puntos cada mes. Las actividades del cronograma de diciembre que incluye el cierre del año equivale a 20 puntos.)Se exceptuará de la medición las actividades del cronograma que sean incumplidas a causa de terceros (subdirección de servicios administrativos (factura seguros) y contabilidad (cierre partidas seguros)).&amp;nbsp;Indicador o Formula con la que se va a Realizar la Medición:La fórmula de medición será desde febrero 2025, donde las actividades descritas en el cronograma para los meses febrero a noviembre equivalen a 8 puntos cada mes. Las actividades del cronograma de diciembre que incluye el cierre del año equivale a 20 puntos.Entregables:La evidencia de cumplimiento será el cronograma de nóminaCorreos electrónicos que evidencien el cumplimiento de las actividadesUbicación de las Evidencias:P:\Objetivos\2025\Direccion de Felicidad\angelly.rojas\cronograma nómina&amp;nbsp;</t>
  </si>
  <si>
    <t>Revisión Novedades Prenómina 2025</t>
  </si>
  <si>
    <t>Realizar la revisión de la prenomina de la entidad al Analista de Compensación antes de la aprobación por parte de la Subdirectora o Directora del Departamento de Felicidad, a partir del mes de febrero de 2025. La evidencia será el correo enviado a la Subdirectora o Directora de la Dirección de Felicidad con el resumen de las novedades presentadas en cada mes.&amp;nbsp;El objetivo inicia en el mes de Febrero 2025, donde las nóminas de febrero a noviembre equivalen a 8 puntos cada una, la prima de servicios 5 puntos, la prima de navidad 5 puntos. La nómina de diciembre que incluye el cierre del año equivale a 10 puntos.(Para los resultados del cumplimiento de este objetivo se exceptuarán las situaciones administrativas - vacaciones, licencias etc.).Indicador o Formula con la que se va a Realizar la Medición:La formula de medición será la siguiente: De febrero a noviembre equivalen a 8 puntos cada una, la prima de servicios 5 puntos , la prima de navidad 5 puntos. La nómina de diciembre que incluye el cierre del año equivale a 10 puntos.Su evaluación será la suma del porcentaje mensual obtenidoEntregables:La evidencia será el correo enviado a la Subdirectora o Directora del Departamento de Felicidad de Felicidad con el resumen de las novedades presentadas en cada mes.Ubicación:P:\Objetivos\2025\Dirección de Felicidad\angelly.rojas\PRENOMINA</t>
  </si>
  <si>
    <t>Planes Institucionales Decreto  612 - 2018</t>
  </si>
  <si>
    <t>Lograr a 31-12-2025 el cumplimiento de los planes del Decreto 612-2018, relacionados con Gestión Humana así:Plan Estratégico de Gestión Humana: peso 30%&amp;nbsp;Plan de Capacitación: peso 30%Plan de Bienestar :peso 30%Plan de Seguridad y Salud en el Trabajo: peso 10%Su evaluación será proporcional al resultado obtenido en cada plan.Indicador o Formula con la que se va a Realizar la Medición:Su evaluación será proporcional al resultado obtenido en cada plan. (ejemplo: si se hace el 90% de las actividades la calificación será 90 puntos- Si la calificación es menor a 80% su calificación será cero).Entregables:Acta de Comité Institucional de Gestión y Desempeño donde se evidencia el cumplimiento de los planes, presentados en cada Q.&amp;nbsp;Ubicación:P:\Objetivos\2025\Dirección de Felicidad&amp;nbsp;</t>
  </si>
  <si>
    <t>Evaluación Asesoría y Trámite de Créditos</t>
  </si>
  <si>
    <t>Aplicar durante el 2025 una encuesta de satisfacción del servicio de asesoría y acompañamiento a los trámites de desembolsos de las líneas de Crédito de la entidad.Indicador o Formula con la que se va a Realizar la Medición:La medición será la sumatoria de los entregables.Para el caso de las encuestas la medición será, así:* Si el índice de satisfacción es superior a 95 puntos tendrá 100 puntos*Si el índice es entre 92 y 94, 9 tendrá 90 puntos*Si el índice es entre 90 y 91, 9 tendrá 80 puntos*Si la calificación es igual a menor a 80 puntos su calificación "0"Nota: La encuesta evaluará los servicios prestados por Felicidad y Jurídico. Para efectos de la evaluación del objetivo se tendrá en cuenta la calificación obtenida por el área de Felicidad.Entregables:1. Diseño de la Encuesta&amp;nbsp;a 10 de Julio de 2025Peso: 30 %&amp;nbsp;2. Aplicación de la encuesta de Satisfacción a 30 de Julio de 2025 -&amp;nbsp;Los resultados serán remitidos a la Dirección y Subdirección de felicidad la 1ra semana de agostoPeso: 35 %3. Aplicación de la encuesta de Satisfacción del 2do Semestre 202530 de Diciembre de 2025 -&amp;nbsp;Los resultados serán remitidos a la Dirección y Subdirección de felicidad la 1ra semana de enero de 2026Peso: 35%</t>
  </si>
  <si>
    <t>1030661099</t>
  </si>
  <si>
    <t>Angie Alejandra Contreras Benavides</t>
  </si>
  <si>
    <t>Profesional de Operaciones</t>
  </si>
  <si>
    <t>52717990</t>
  </si>
  <si>
    <t>Sonia Milena Monroy Rodriguez</t>
  </si>
  <si>
    <t>Historia de usuario</t>
  </si>
  <si>
    <t>Al 31 de julio de 2025 elaborar y radicar historia de usuario para crear una transacción en SAP que permita realizar la confirmacion masiva de proyectos, del proceso de liquidación de comisiones de los productos de VIS. 50% (Cumple/No cumple)  Al 31 de agosto de 2025 elaborar y radicar historia de usuario para crear una transacción en SAP que permita crear proyectos independientes para un listado de garantías de los productos de VIS&amp;nbsp;50% (Cumple/No cumple)   ENTREGABLES / EVIDENCIA: Historias de usuario radicadas en el aplicativo Aranda.&amp;nbsp;</t>
  </si>
  <si>
    <t>Curso de Inteligencia Artificial Generativa</t>
  </si>
  <si>
    <t>Al 31 de diciembre de 2025, haber cursado y aprobado el curso de Inteligencia Artificial Generativa del BIDINDICADORCumple/ No CumpleENTREGABLE/EVIDENCIA : Certificado de aprobación ubicado en la ruta P:\Objetivos\2025\Direccion de Operaciones\.</t>
  </si>
  <si>
    <t>Universidad de la Garantía_Nivel Básico</t>
  </si>
  <si>
    <t>Dictar y evaluar el módulo básico de la Universidad de la Garantía en el 2Q de 2025INDICADOR:Cumple / No cumpleENTREGABLES / EVIDENCIA: Listado de asistencia y encuestas ubicadas en la Ruta:P:\Objetivos\2025\Direccion de Operaciones\OBJETIVOS COMUNES</t>
  </si>
  <si>
    <t xml:space="preserve">Garantía Global </t>
  </si>
  <si>
    <t>"Garantía Global Reclamación y recuperación de cartera"</t>
  </si>
  <si>
    <t>A 31/08/25 realizar y certificar pruebas integrales de los servicios expuestos en el canal digital (Apertura de Cupo, Reserva, Registro Gtia tradicional, Registro Gtia Global, Cancelación de Reservas, Modificación Cupos ) una vez configurados en la plataforma Integration Suite , por parte de la VP de TD e innovación  CRITERIOS DE MEDICIÓN El objetivo será medible&amp;nbsp;así: Pruebas integrales a satisfacción: 100% - Cumple / no cumple   ENTREGABLES / EVIDENCIA La evidencia de cumplimiento será el correo enviado a la Vp de Operaciones y/o Vp de TD e Innovación en el que se certifiquen las pruebas integrales realizadas</t>
  </si>
  <si>
    <t xml:space="preserve">Generación Herramienta (Macro en Excel) </t>
  </si>
  <si>
    <t>Al 30 de septiembre de 2025, elaborar una Macro en Excel que separe la información de acuerdo a las validaciones propias del proceso de liquidación de comisiones de garantías registradas.INDICADOR:Diseñar la herramienta 70% (Cumple/No cumple)Documenta la herramienta 30% (Cumple/No cumple)ENTREGABLE/EVIDENCIA. La evidencia se dejará en la ruta ubicado en la ruta P:\Objetivos\2025\Direccion de Operaciones\. Correo dirigido a la subdirectora de operaciones donde se informe la ubicación de la herramienta. Documentación de herramienta en el instructivo IN-AGA-088 - Validaciones Proceso de Liquidación y cobro de comisiones publicado en ISOlución</t>
  </si>
  <si>
    <t>1032484530</t>
  </si>
  <si>
    <t>Angie Catherin Arguello Porras</t>
  </si>
  <si>
    <t>Gerente de Cuenta Dirección General Bogotá - Norte</t>
  </si>
  <si>
    <t>1088266590</t>
  </si>
  <si>
    <t>Daniel Vasquez Alzate</t>
  </si>
  <si>
    <t>Movilización</t>
  </si>
  <si>
    <t>Lograr al 31 de Diciembre de 2025 un cumplimiento del presupuesto de movilización sobre el 101% de ejecución correspondiente al presupuesto asignado del 1ro de Enero de 2025 al 31 de Diciembre de 2025.Calificación proporcionalCalificación proporcional mínima 85%Lograr un cumplimiento del 101% o mas permitirá obtener un puntaje del 100%.Un resultado inferior al 85% resultará en un puntaje de 0%.Formula: (Vr.obtenido - Vr. minimo)/(Vr.maximo-Vr. minimoo)*100La calificacion se mide con tabla proporcional.Portafolio: El portafolio asignado y distribución del presupuesto para cada subdirección comercial de la Dirección General estará aprobado previamente por el Director Comercial a través de correo electrónico. La evidencia se encuentra en la ruta P:\Objetivos.</t>
  </si>
  <si>
    <t>Visitas Intermediarios financieros (individual)</t>
  </si>
  <si>
    <t>Realizar 216 visitas a contactos de Direcciones Generales de los intermediarios financieros asignados en el portafolio, durante el periodo comprendido entre el 01 de Enero de 2025 y el 31 de Diciembre de 2025.Calificación EquitativaMínimo el 80%.&amp;nbsp;Realizar 216 visitas o más obtendrá un puntaje de 100%.&amp;nbsp;Mínimo 173 visitas, realizar menos de 173&amp;nbsp;visitas obtendrá un puntaje de 0.&amp;nbsp;Se medirá de acuerdo a la tabla equitativa: donde al sacar un puntaje del 80% el puntaje será 80% y así hasta llegar a 100%.Evidencia: Correo electrónico de la analista de datos de la dirección de estrategiaPortafolio: El portafolio asignado y distribución del presupuesto para cada subdirección comercial de la Dirección General estará aprobado previamente por el Director Comercial a través de correo electrónico. La evidencia se encuentra en la ruta P:\Objetivos.</t>
  </si>
  <si>
    <t>Créditos garantizados</t>
  </si>
  <si>
    <t>Lograr al 31 de Diciembre de 2025 un total de 800.000 en número de créditos garantizados, durante el periodo comprendido entre el 01 de Enero de 2025 hasta el 31 de Diciembre del 2025.Calificación EquitativaMínimo el 725.000.&amp;nbsp;Realizar 800.000 créditos garantizados o más obtendrá un puntaje de 100%.&amp;nbsp;Mínimo 725.000 créditos garantizados, realizar menos de 725.000 créditos garantizados obtendrá un puntaje de 0.&amp;nbsp;Se medirá de acuerdo a la tabla equitativa: donde al sacar un puntaje del 91% el puntaje será 91% y así hasta llegar a 100%.Evidencia: Correo electrónico de la analista de datos de la dirección de estrategia en la ruta P:\Objetivos</t>
  </si>
  <si>
    <t>Capacitaciones novaciones y prórrogas</t>
  </si>
  <si>
    <t>Realizar capacitación de novaciones y prórrogas al 50% de los intermediarios financieros asignados con presupuesto entre el 01 de Enero de 2025 hasta el 31 de Diciembre del 2025.Mínimo el 50%. Realizar el 50% de las capacitaciones o más obtendrá un puntaje de 100. Mínimo capacitar al 50% de los intermediarios, realizar menos del 50% obtendrá un puntaje de 0. Se medirá de acuerdo a la tabla equitativa: donde al sacar un puntaje del 50% el puntaje será 50% y así hasta llegar a 100%.&amp;nbsp;Evidencia: Evidencia: Plan de cuenta de CRM con asunto Capacitación Novaciones y prórrogas, herramientas de normalización o similares. Correo electrónico de la analista de datos de la dirección de estrategia.Portafolio: El portafolio asignado y distribución del presupuesto para cada subdirección comercial de la Dirección General estará aprobado previamente por el Director Comercial a través de correo electrónico. La evidencia se encuentra en la ruta P:\Objetivos.</t>
  </si>
  <si>
    <t>Visitas intermediarios financieros</t>
  </si>
  <si>
    <t>Realizar&amp;nbsp;576 visitas a contactos de Direcciones Generales de la subdirección desde el 01 de Enero de 2025 hasta el 31 de Diciembre del 2025.&amp;nbsp;Tabla EquitativaMínimo el 80%.Realizar 576 visitas o más obtendrá un puntaje de 100. Mínimo 461 visitas, realizar menos de 461 visitas obtendrá un puntaje de 0. Se medirá de acuerdo a la tabla equitativa: donde al sacar un puntaje del 80% el puntaje será 80% y así hasta llegar a 100%.&amp;nbsp;Evidencia: Correo electrónico de la analista de datos de la dirección de estrategiaPortafolio: El portafolio asignado y distribución del presupuesto para cada subdirección comercial de la Dirección General estará aprobado previamente por el Director Comercial a través de correo electrónico. La evidencia se encuentra en la ruta P:\Objetivos</t>
  </si>
  <si>
    <t>1018487791</t>
  </si>
  <si>
    <t>Angie Paola Ospina Bedoya</t>
  </si>
  <si>
    <t>Subdirector de Fondos Regionales</t>
  </si>
  <si>
    <t xml:space="preserve">Vinculaciones de IF para Global </t>
  </si>
  <si>
    <t>Lograr la vinculación de 2 entidades por cada regional para el producto de Garantía Global en el año 2025, la meta será 16 entidades vinculadas (2 por cada región, en 8 regionales con el producto asignado).Donde 16 corresponde a 100%, 15 corresponde al 93,8%, 14 corresponde a 87,5% y 13 corresponde a&amp;nbsp;81,3%, y menos a 13 corresponderá al 0% del cumplimiento del objetivo.Nota: Es de aclarar si un fondo hace más vinculaciones de las establecidas, no contaran más de 2 por regional para el objetivo.Evidencia: Correo del área de estrategia comercial, informando el No. de entidades Vinculadas a cierre de 2025.</t>
  </si>
  <si>
    <t>Eventos</t>
  </si>
  <si>
    <t>Lograr a 31 de diciembre de 2025 un No. de 204 eventos en los territorios según los Fondos Asignados (6 Fondos Regionales) apoyados de la fuerza comercial en cada región.. Mínimo 170 eventos.Formula: Calificación proporcional entre&amp;nbsp;(Donde menos a 170&amp;nbsp;es 0 puntos y 204 es 100 puntos)La fórmula de medición del Rango: = (Resultado Indicador – Cumplimiento Mínimo) / (Meta – Cumplimiento Mínimo) x 100.Evidencia: Correo de indicadores MAC enviado por el Área de Arquitectura de Datos.&amp;nbsp;</t>
  </si>
  <si>
    <t>No. de Créditos desembolsados Fondos Regionales</t>
  </si>
  <si>
    <t>Lograr a 31 de diciembre de 2025 un número de créditos 305,694 con garantía de Calificación proporcional entre 275.124, créditos y 305.694 CréditosFormula: Donde menor a 275.124, créditos es 0 puntos y 305.694 Créditos es 100 puntos; La fórmula de medición del Rango: = (Resultado Indicador – Cumplimiento Mínimo) / (Meta – Cumplimiento Mínimo) x 100.Evidencia: Archivo de Datos con la información de cada mes,</t>
  </si>
  <si>
    <t xml:space="preserve">Devoluciones de vinculaciones de IF </t>
  </si>
  <si>
    <t>Mitigar las devoluciones en los formatos de riesgo durante el proceso de Vinculación, donde se busca disminuir los reprocesos y tiempos en la asignación del VMD, con el fin de agilizar tiempos en el estudio de riesgo para el segundo semestre del año, donde el mínimo será 80% y será evaluado con tabal equitativa, donde obtener menos de 80% la calificación será 0, sacar 80% la calificación será 80% y así hasta el 100%.Formula: No de IF devueltos/No If Evaluados *100Evidencia: Correo al jefe inmediato con el informe mensual de las devoluciones realizadas por riesgo a la subdirección.</t>
  </si>
  <si>
    <t xml:space="preserve"> Evaluación del negocio de Agenciamiento Comercial</t>
  </si>
  <si>
    <t>Realizar propuestas&amp;nbsp;para evaluar durante el año 2025 los esquemas de atención comercial, teniendo en cuenta la finalización de los contratos de Agencia Comercial en las 6 regionales.La presentación de los esquemas debe presentarse al Comité Directivo a más tardar el 31 de octubre de 2025.Las actividades y entregables serán las siguientes:*Primer entregable Q2 (Correo a la VP Comercial con el avance de las etapas establecidas en el PAI para el Q2)&amp;nbsp;Peso = 20%*Segundo entregable Q3 (Correo a la VP Comercial con el avance de las etapas establecidas en el PAI para el Q3)&amp;nbsp;Peso = 40%*Tercer entregable, fecha máxima: 31 de octubre de 2025 (acta de Comité Directivo con la presentación del esquema para tomar la decisión.)Peso = 40%</t>
  </si>
  <si>
    <t>1019118105</t>
  </si>
  <si>
    <t>Anyi Yaritza Barreto Arana</t>
  </si>
  <si>
    <t>Profesional Liquidación de Comisiones</t>
  </si>
  <si>
    <t>Al 31 de diciembre de 2025, haber cursado y aprobado el curso de Inteligencia Artificial Generativa del BIDINDICADORCumple/ No CumpleENTREGABLE/EVIDENCIA : Certificado de aprobación ubicado en la ruta   P:\Objetivos\2025\Direccion de Operaciones\</t>
  </si>
  <si>
    <t>Universidad de la Garantía_Avanzado</t>
  </si>
  <si>
    <t>En 4Q del 2025, asistir y aprobar el Nivel Avanzado de la Universidad de la Garantía con un porcentaje mínimo del 85% en la evaluación final tanto la teórica como la práctica.  INDICADOR: Evaluación práctica 50% - puntaje mínimo del 85% (Cumple/No cumple) Evaluación teórica 50% - puntaje mínimo del 85% (Cumple/No cumple)  EVIDENCIA ENTREGABLES / EVIDENCIA: Lista de asistencia a la capacitación y la evaluación evidencias ubicadas en la Ruta: P:\Objetivos\2025\Direccion de Operaciones\</t>
  </si>
  <si>
    <t>Dictar y evaluar el módulo básico de la Universidad de la Garantía en el 2Q de 2025INDICADOR:Cumple / No cumpleENTREGABLES / EVIDENCIA: Listado de asistencia y encuestas ubicadas en la Ruta:P:\Objetivos\2024\Direccion de Operaciones\OBJETIVOS COMUNES</t>
  </si>
  <si>
    <t>Capacitaciones</t>
  </si>
  <si>
    <t>Al 31 de agosto&amp;nbsp;de 2025, realizar una capacitación presencial del proceso de liquidación de comisiones del producto FNG Territorios y Garantía Global a la Dirección de Vinculación, Aseguramiento y Calidad.INDICADOR:Cumple / No cumpleENTREGABLES / EVIDENCIA: Listado de asistencia y encuestas ubicados en la ruta  Ruta: P:\Objetivos\2025\Direccion de Operaciones\</t>
  </si>
  <si>
    <t>Dashboard</t>
  </si>
  <si>
    <t>Al 30 de noviembre de 2025, diseñar y documentar un DashBoard en Excel para la generación e interpretación de las estadísticas mensuales del proceso de liquidación de comisiones.INDICADOR:Diseño del DashBoard en Excel - 70% (Cumple/No cumple)Documentación de la herramienta&amp;nbsp;- 30% (Cumple/No cumple)ENTREGABLES / EVIDENCIA:  La evidencia se dejará en la ruta  Ruta: P:\Objetivos\2025\Direccion de Operaciones: Correo electrónico dirigido a la Subdirectora de Operaciones donde se informe la ubicación de la herramienta y documentación de la herramienta en el instructivo IN-AGA-097 Generación y análisis de estadísticas mensuales de la Dirección de Operaciones publicado en ISOlución</t>
  </si>
  <si>
    <t xml:space="preserve">Actualización Documental - Esquema Garantía Global </t>
  </si>
  <si>
    <t>1032469629</t>
  </si>
  <si>
    <t>Brayan Alejandro Rangel Correa</t>
  </si>
  <si>
    <t>Subdirector de Modelos Técnicos</t>
  </si>
  <si>
    <t>Rediseñar, antes del 30 de octubre de 2025, la metodología actual de muestreo periódico. La metodología debe ser presentada al Comité SIAR y socializada con las áreas involucradas.&amp;nbsp;&amp;nbsp;&amp;nbsp;&amp;nbsp;&amp;nbsp;&amp;nbsp;&amp;nbsp;&amp;nbsp;&amp;nbsp;&amp;nbsp;&amp;nbsp;&amp;nbsp;&amp;nbsp;&amp;nbsp;&amp;nbsp;&amp;nbsp;&amp;nbsp;&amp;nbsp;&amp;nbsp;&amp;nbsp;&amp;nbsp;&amp;nbsp;&amp;nbsp;&amp;nbsp;&amp;nbsp;&amp;nbsp;&amp;nbsp;&amp;nbsp;&amp;nbsp;&amp;nbsp;&amp;nbsp;&amp;nbsp;&amp;nbsp;&amp;nbsp;&amp;nbsp;&amp;nbsp;&amp;nbsp;&amp;nbsp;Entregable 1: Revisar conjuntamente con el equipo de vinculación, aseguramiento y calidad la propuesta de rediseño de la metodología a más tardar el 31 de julio de 2025 y como evidencia se registrará un acta de la sesión.&amp;nbsp;Evidencia: acta de la sesión.&amp;nbsp;Porcentaje: 50% Entregable 2: Presentar la versión final de la metodología del modelo de muestreo periódico a más tardar el 30 de octubre al comité SIAR.&amp;nbsp;Evidencia: Presentación de la propuesta al Vicepresidente de Riesgos - Comité SIAR&amp;nbsp;Porcentaje: 50%&amp;nbsp;&amp;nbsp;&amp;nbsp;&amp;nbsp;&amp;nbsp;&amp;nbsp;&amp;nbsp;&amp;nbsp;&amp;nbsp;&amp;nbsp;&amp;nbsp;&amp;nbsp;&amp;nbsp;&amp;nbsp;&amp;nbsp;&amp;nbsp;&amp;nbsp;&amp;nbsp;&amp;nbsp;&amp;nbsp;Indicador de medición: Suma de porcentaje de cumplimiento de los entregables</t>
  </si>
  <si>
    <t>Actualizar y presentar ante el comité SIAR, a mas tardar el 30 de Junio de 2025, los cálculos de la metodología para la estimación de tarifas a nivel deudor para el producto Multipropósito que permita cuantificar el valor de la tarifa cobrada y que incorpore el score crediticio de las centrales de información. Esté objetivo se alinea con el objetivo estratégico "1. Promover la generación de créditos garantizados y reducir las barreras de acceso a la inclusión financiera, impactando favorablemente el tejido social y productivo del país" del PAI con la estrategia 1.1 Fortalecimiento del portafolio de productos y servicios del FNG, bajo la apuesta Mejorar el esquema de tarifación.&amp;nbsp;&amp;nbsp;&amp;nbsp;&amp;nbsp;&amp;nbsp;&amp;nbsp;&amp;nbsp;&amp;nbsp;&amp;nbsp;&amp;nbsp;&amp;nbsp;&amp;nbsp;&amp;nbsp;&amp;nbsp;&amp;nbsp;&amp;nbsp;&amp;nbsp;&amp;nbsp;&amp;nbsp;&amp;nbsp;&amp;nbsp;&amp;nbsp;&amp;nbsp;&amp;nbsp;&amp;nbsp;&amp;nbsp;&amp;nbsp;&amp;nbsp;&amp;nbsp;&amp;nbsp;&amp;nbsp;&amp;nbsp;&amp;nbsp;&amp;nbsp;&amp;nbsp;&amp;nbsp;&amp;nbsp;&amp;nbsp;Entregable 1: Actualizar y presentar ante el comité SIAR, a mas tardar el 30 de Junio de 2025, los cálculos de la metodología para la estimación de tarifas a nivel deudor para el producto Multipropósito que permita cuantificar el valor de la tarifa cobrada y que incorpore el score crediticio de las centrales de información. Esté objetivo se alinea con el objetivo estratégico "1. Promover la generación de créditos garantizados y reducir las barreras de acceso a la inclusión financiera, impactando favorablemente el tejido social y productivo del país" del PAI con la estrategia 1.1 Fortalecimiento del portafolio de productos y servicios del FNG, bajo la apuesta Mejorar el esquema de tarifación.&amp;nbsp;Evidencia: Presentación de la propuesta al Vicepresidente de Riesgos - Comité SIAR&amp;nbsp;Porcentaje: 100%&amp;nbsp;&amp;nbsp;&amp;nbsp;&amp;nbsp;&amp;nbsp;&amp;nbsp;&amp;nbsp;&amp;nbsp;&amp;nbsp;&amp;nbsp;&amp;nbsp;&amp;nbsp;&amp;nbsp;&amp;nbsp;&amp;nbsp;&amp;nbsp;&amp;nbsp;&amp;nbsp;&amp;nbsp;Indicador de medición: Suma de porcentaje de cumplimiento de los entregables</t>
  </si>
  <si>
    <t>Participar en el Proyecto Modelo de Gobierno de Datos, con la transferencia de conocimiento y el acompañamiento en la aplicación de pruebas para la migración del segundo caso de uso sobre el proceso del cálculo de reservas en la nube Azure. Dicha acompañamiento&amp;nbsp;se debe ajustar al cronograma del contratista DataKnow y deberá realizarse antes del 30 de noviembre. Esté objetivo se alinea con el "IT015: Modelo de Gobierno de Datos" del PETI.&amp;nbsp;&amp;nbsp;&amp;nbsp;&amp;nbsp;&amp;nbsp;&amp;nbsp;&amp;nbsp;&amp;nbsp;&amp;nbsp;&amp;nbsp;&amp;nbsp;&amp;nbsp;&amp;nbsp;&amp;nbsp;&amp;nbsp;&amp;nbsp;&amp;nbsp;&amp;nbsp;&amp;nbsp;&amp;nbsp;&amp;nbsp;&amp;nbsp;&amp;nbsp;&amp;nbsp;&amp;nbsp;&amp;nbsp;&amp;nbsp;&amp;nbsp;&amp;nbsp;&amp;nbsp;&amp;nbsp;&amp;nbsp;&amp;nbsp;&amp;nbsp;&amp;nbsp;&amp;nbsp;&amp;nbsp;&amp;nbsp;Entregable 1: Realizar el entendimiento con el proveedor del proceso de reservas y la ejecución de los códigos. Las reuniones realizadas debe quedar como evidencia y se realizara grabación de las sesiones y se dejara como entregable. Este entendimiento debe realizarse a más tardar el 31 de Agosto de 2025.&amp;nbsp;Evidencia: Grabación de la sesiones.&amp;nbsp;Porcentaje: 53% Entregable 2: Verificar la funcionalidad de la migración realizada por el proveedor en la nube con un set de pruebas acordado entre el proveedor y el FNG. El set de pruebas y la verificación deberá ser presentada antes del 30 de Noviembre de 2025.&amp;nbsp;Evidencia: Set de pruebas&amp;nbsp;&amp;nbsp;Porcentaje: 47%&amp;nbsp;&amp;nbsp;&amp;nbsp;&amp;nbsp;&amp;nbsp;&amp;nbsp;&amp;nbsp;&amp;nbsp;&amp;nbsp;&amp;nbsp;&amp;nbsp;&amp;nbsp;&amp;nbsp;&amp;nbsp;&amp;nbsp;&amp;nbsp;&amp;nbsp;&amp;nbsp;&amp;nbsp;Indicador de medición: Suma de porcentaje de cumplimiento de los entregables</t>
  </si>
  <si>
    <t>Capacitación en herramientas de Azure</t>
  </si>
  <si>
    <t>Realizar una ruta de aprendizaje de Microsoft Learn para aprender a utilizar los servicios en la nube de Azure enfocados en Ciencia de Datos, Machine Learning o IA. Esta ruta de aprendizaje debe realizarse antes de 30 de septiembre y se debe presentar el certificado generado por la pagina.&amp;nbsp;&amp;nbsp;&amp;nbsp;&amp;nbsp;&amp;nbsp;&amp;nbsp;&amp;nbsp; https://learn.microsoft.com/es-es/training/paths/build-operate-machine-learning-solutions-azure-databricks/&amp;nbsp;&amp;nbsp;&amp;nbsp;&amp;nbsp;&amp;nbsp;&amp;nbsp;&amp;nbsp;&amp;nbsp;&amp;nbsp;&amp;nbsp;&amp;nbsp;&amp;nbsp;&amp;nbsp;&amp;nbsp;&amp;nbsp;&amp;nbsp;&amp;nbsp;&amp;nbsp;&amp;nbsp;&amp;nbsp;&amp;nbsp;&amp;nbsp;&amp;nbsp;&amp;nbsp;&amp;nbsp;&amp;nbsp;&amp;nbsp;&amp;nbsp;&amp;nbsp;&amp;nbsp;Entregable:&amp;nbsp;Certificado de la pagina&amp;nbsp;&amp;nbsp;&amp;nbsp;&amp;nbsp;&amp;nbsp;&amp;nbsp;&amp;nbsp;&amp;nbsp;&amp;nbsp;&amp;nbsp;&amp;nbsp;&amp;nbsp;&amp;nbsp;&amp;nbsp;&amp;nbsp;&amp;nbsp;&amp;nbsp;&amp;nbsp;&amp;nbsp;Indicador de medición: # Modulo a cursar / # certificados obtenidos</t>
  </si>
  <si>
    <t>Implementar la integración del modelo prospectivo al VMD Empresarial Vigilados, esta integración debe contemplar las etapas de Desarrollo de la propuesta, Actualización documental, Desarrollo de Aplicativos. La integración deberá realizarse antes del 30 de Diciembre de 2025. Esté objetivo se alinea con el objetivo estratégico "3. Fortalecer la gestión y administración integral del riesgo para generar un adecuado ambiente de control" del PAI con la estrategia 3.1 Consolidar la gestión integral de riesgos, bajo la apuesta Aplicación de modelos prospectivos transversales a los sistemas de riesgos.&amp;nbsp;&amp;nbsp;&amp;nbsp;&amp;nbsp;&amp;nbsp;&amp;nbsp;&amp;nbsp;&amp;nbsp;&amp;nbsp;&amp;nbsp;&amp;nbsp;&amp;nbsp;&amp;nbsp;&amp;nbsp;&amp;nbsp;&amp;nbsp;&amp;nbsp;&amp;nbsp;&amp;nbsp;&amp;nbsp;&amp;nbsp;&amp;nbsp;&amp;nbsp;&amp;nbsp;&amp;nbsp;&amp;nbsp;&amp;nbsp;&amp;nbsp;&amp;nbsp;&amp;nbsp;&amp;nbsp;&amp;nbsp;&amp;nbsp;&amp;nbsp;&amp;nbsp;&amp;nbsp;&amp;nbsp;&amp;nbsp;Entregable 1: Implementar un análisis descriptivo y estadístico sobre los indicadores Financieros utilizados para la estimación del VMD empresarial vigilados, a más tardar 30 de Junio de 2025. El análisis debe ser socializado con el Director de Modelos Técnicos y/o Vicepresidente de Riesgos.&amp;nbsp;&amp;nbsp;Evidencia: Presentación en PPT con el análisis realizado.&amp;nbsp;Porcentaje: 25% Entregable 2: Desarrollar una propuesta metodológica para la inclusión de un componente prospectivo en la metodología actual de VMD Empresarial Vigilados. La propuesta deberá ser socializada a más tarde el 31 de Agosto de 2025, la propuesta deberá ser discutida en el Comité SIAR.&amp;nbsp;Evidencia: Presentación de la propuesta al Comité SIAR&amp;nbsp;Porcentaje: 25% Entregable 3: Actualizar la documentación relacionada a la estimación del VMD empresarial Vigilados para integrar el componente prospectivo en la metodología de estimación del VMD Empresarial Vigilados. La documentación debe ser actualizada antes del 30 de Septiembre de 2025. Los documentos deberán estar publicados en Isolución.&amp;nbsp;Evidencia: Documentación con el ajuste realizado&amp;nbsp;Porcentaje: 25% Entregable 4: Diseñar códigos de ejecución para la implementación del componente prospectivo en la estimación del VMD empresarial Vigilados. Los códigos deberán ser actualizados antes del 30 de septiembre de 2025.&amp;nbsp;&amp;nbsp;Evidencia: Instructivo donde se especifique la ejecución del componente prospectivo&amp;nbsp;Porcentaje: 25%&amp;nbsp;&amp;nbsp;&amp;nbsp;&amp;nbsp;&amp;nbsp;&amp;nbsp;&amp;nbsp;&amp;nbsp;&amp;nbsp;&amp;nbsp;&amp;nbsp;&amp;nbsp;&amp;nbsp;&amp;nbsp;&amp;nbsp;&amp;nbsp;&amp;nbsp;&amp;nbsp;&amp;nbsp;Indicador de medición: Suma de porcentaje de cumplimiento de los entregables</t>
  </si>
  <si>
    <t>Atender oportunamente las recomendaciones por parte de la SFC en el proceso de No Objeción metodología de estimación de Pérdidas y Reservas VIS e Institucional, a más tardar el 31 de diciembre de&amp;nbsp;2025. Esté objetivo se alinea con el objetivo estratégico "3. Fortalecer la gestión y administración integral del riesgo para generar un adecuado ambiente de control" del PAI con la estrategia 3.1 Consolidar la gestión integral de riesgos, bajo la apuesta Modelos No Objetados.&amp;nbsp;&amp;nbsp;&amp;nbsp;&amp;nbsp;&amp;nbsp;&amp;nbsp;&amp;nbsp;&amp;nbsp;&amp;nbsp;&amp;nbsp;&amp;nbsp;&amp;nbsp;&amp;nbsp;&amp;nbsp;&amp;nbsp;&amp;nbsp;&amp;nbsp;&amp;nbsp;&amp;nbsp;&amp;nbsp;&amp;nbsp;&amp;nbsp;&amp;nbsp;&amp;nbsp;&amp;nbsp;&amp;nbsp;&amp;nbsp;&amp;nbsp;&amp;nbsp;&amp;nbsp;&amp;nbsp;&amp;nbsp;&amp;nbsp;&amp;nbsp;&amp;nbsp;&amp;nbsp;&amp;nbsp;&amp;nbsp;Entregable 1: Atender oportunamente las recomendaciones por parte de la SFC en el proceso de No Objeción metodología de estimación de Pérdidas y Reservas VIS e Institucional, a más tardar el 31 de diciembre de&amp;nbsp;2025. Esté objetivo se alinea con el objetivo estratégico "3. Fortalecer la gestión y administración integral del riesgo para generar un adecuado ambiente de control" del PAI con la estrategia 3.1 Consolidar la gestión integral de riesgos, bajo la apuesta Modelos No Objetados.&amp;nbsp;Evidencia: Comunicaciones de respuesta a requerimientos de la SFC en el proceso de solicitud de concepto de no objeción&amp;nbsp;&amp;nbsp;Porcentaje: 100%&amp;nbsp;&amp;nbsp;&amp;nbsp;&amp;nbsp;&amp;nbsp;&amp;nbsp;&amp;nbsp;&amp;nbsp;&amp;nbsp;&amp;nbsp;&amp;nbsp;&amp;nbsp;&amp;nbsp;&amp;nbsp;&amp;nbsp;&amp;nbsp;&amp;nbsp;&amp;nbsp;Indicador de medición: Suma de porcentaje de cumplimiento de los entregables</t>
  </si>
  <si>
    <t>Realizar y presentar las calibraciones para la metodología de estimación de pérdidas y reservas de la línea empresarial ante el Comité SIAR, en un plazo máximo a 30 de Septiembre de 2025. Esté objetivo se alinea con el objetivo estratégico "3. Fortalecer la gestión y administración integral del riesgo para generar un adecuado ambiente de control" del PAI con el indicador de Cobertura de reservas.&amp;nbsp;&amp;nbsp;&amp;nbsp;&amp;nbsp;&amp;nbsp;&amp;nbsp;&amp;nbsp;&amp;nbsp;&amp;nbsp;&amp;nbsp;&amp;nbsp;&amp;nbsp;&amp;nbsp;&amp;nbsp;&amp;nbsp;&amp;nbsp;&amp;nbsp;&amp;nbsp;&amp;nbsp;&amp;nbsp;&amp;nbsp;&amp;nbsp;&amp;nbsp;&amp;nbsp;&amp;nbsp;&amp;nbsp;&amp;nbsp;&amp;nbsp;&amp;nbsp;&amp;nbsp;&amp;nbsp;&amp;nbsp;&amp;nbsp;&amp;nbsp;&amp;nbsp;&amp;nbsp;&amp;nbsp;&amp;nbsp;Entregable 1: Realizar y presentar la estimación de los nuevos puntos de Default para las metodología de estimación de pérdidas y reservas de la línea empresarial ante el Comité SIAR, en un plazo máximo a 31 de Julio de 2025.&amp;nbsp;&amp;nbsp;Evidencia: Presentación de resultados al Comité SIAR&amp;nbsp;Porcentaje: 16% Entregable 2: Realizar y presentar la estimación de los limites de suficiencia por asimilable y global para la línea empresarial ante el Comité de SIAR, en un plazo máximo a 31 de Julio de 2025.&amp;nbsp;&amp;nbsp;Evidencia: Presentación de resultados al Comité SIAR&amp;nbsp;Porcentaje: 16% Entregable 3: Realizar la calibración de los modelos prospectivos para la línea empresarial. Se debe presentar en el Comité de SIAR, en un plazo máximo a 30 de Septiembre de 2025.&amp;nbsp;&amp;nbsp;Evidencia: Presentación de resultados al Comité SIAR&amp;nbsp;Porcentaje: 20% Entregable 4: Incluir en el proceso de Calibración del componente prospectivo variables extranjeras relevantes. Estas variables deberán ser incluidas en la base de variables Macroeconómicas y deberán ser consideradas en el proceso de Calibración semestral, en un plazo máximo a 30 de Septiembre de 2025.&amp;nbsp;Evidencia: Base actualizada de variables Macroeconómicas&amp;nbsp;Porcentaje: 16% Entregable 5: Desarrollar una propuesta para la proyección de Siniestros. La propuesta deberá ser socializada a mas tardar el 31 de Agosto de 2025, la propuesta deberá ser discutida en el Comité SIAR.&amp;nbsp;Evidencia: Presentación de la propuesta al Vicepresidente de Riesgos - Comité SIAR&amp;nbsp;Porcentaje: 16% Entregable 6: Desarrollar una propuesta para la proyección de Coberturas de Reservas. La propuesta deberá ser socializada a mas tardar el 31 de Agosto de 2025, la propuesta deberá ser discutida en el Comité SIAR.&amp;nbsp;Evidencia: Presentación de la propuesta al Vicepresidente de Riesgos - Comité SIAR&amp;nbsp;Porcentaje: 16%&amp;nbsp;&amp;nbsp;&amp;nbsp;&amp;nbsp;&amp;nbsp;&amp;nbsp;&amp;nbsp;&amp;nbsp;&amp;nbsp;&amp;nbsp;&amp;nbsp;&amp;nbsp;&amp;nbsp;&amp;nbsp;&amp;nbsp;&amp;nbsp;&amp;nbsp;&amp;nbsp;&amp;nbsp;Indicador de medición: Suma de porcentaje de cumplimiento de los entregables</t>
  </si>
  <si>
    <t>1015433376</t>
  </si>
  <si>
    <t>Brayan Medardo Ruiz Bonilla</t>
  </si>
  <si>
    <t>Gerente de Cuenta Dirección General Bogotá -  Sur</t>
  </si>
  <si>
    <t>31447715</t>
  </si>
  <si>
    <t>Diana Alexandra Vasquez Gonzalez</t>
  </si>
  <si>
    <t>Cantidad de Créditos Garantizados</t>
  </si>
  <si>
    <t>Capacitaciones Novaciones y Prórrogas</t>
  </si>
  <si>
    <t>Visitas</t>
  </si>
  <si>
    <t>Realizar 216 visitas a contactos de Direcciones Generales de los intermediarios financieros asignados en el portafolio, durante el periodo comprendido entre el 01 de Enero de 2025 y el 31 de Diciembre de 2025.Calificación EquitativaMínimo el 80%.&amp;nbsp;Realizar 216 visitas o más obtendrá un puntaje de 100%.&amp;nbsp;Mínimo 173 visitas, realizar menos de 173&amp;nbsp;visitas obtendrá un puntaje de 0.&amp;nbsp;Se medirá de acuerdo a la tabla equitativa: donde al sacar un puntaje del 80% el puntaje será 80% y así hasta llegar a 100%.Evidencia: Correo electrónico de la analista de datos de la dirección de estrategiaPortafolio: El portafolio asignado y distribución del presupuesto para cada subdirección comercial de la Dirección General estará aprobado previamente por el Director Comercial a través de correo electrónico. La evidencia se encuentra en la ruta P:\Objetivos.&amp;nbsp;&amp;nbsp;&amp;nbsp;</t>
  </si>
  <si>
    <t>Visitas Subdirección</t>
  </si>
  <si>
    <t>Realizar&amp;nbsp;360 visitas a contactos de Direcciones Generales de la subdirección desde el 01 de Enero de 2025 hasta el 31 de Diciembre del 2025.&amp;nbsp;Tabla EquitativaMínimo el 80%.Realizar 360 visitas o más obtendrá un puntaje de 100. Mínimo 288 visitas, realizar menos de 288 visitas obtendrá un puntaje de 0. Se medirá de acuerdo a la tabla equitativa: donde al sacar un puntaje del 80% el puntaje será 80% y así hasta llegar a 100%.&amp;nbsp;Evidencia: Correo electrónico de la analista de datos de la dirección de estrategiaPortafolio: El portafolio asignado y distribución del presupuesto para cada subdirección comercial de la Dirección General estará aprobado previamente por el Director Comercial a través de correo electrónico. La evidencia se encuentra en la ruta P:\Objetivos</t>
  </si>
  <si>
    <t>Lograr al 31 de Diciembre de 2025 un cumplimiento del presupuesto de movilización sobre el 101% de ejecución correspondiente al presupuesto asignado del 1ro de Enero de 2025 al 31 de Diciembre de 2025.Calificación proporcionalCalificación proporcional mínima 85%Lograr un cumplimiento del 101% o mas permitirá obtener un puntaje del 100%.Un resultado inferior al 85% resultará en un puntaje de 0%.Formula: (Vr.obtenido - Vr. minimo)/(Vr.maximo-Vr. minimo)*100La calificacion se mide con tabla proporcional.Portafolio: El portafolio asignado y distribución del presupuesto para cada subdirección comercial de la Dirección General estará aprobado previamente por el Director Comercial a través de correo electrónico. La evidencia se encuentra en la ruta P:\Objetivos.</t>
  </si>
  <si>
    <t>1032496198</t>
  </si>
  <si>
    <t>Brian Alonso Gonzalez Olivera</t>
  </si>
  <si>
    <t>Profesional Senior de Gobierno Corporativo</t>
  </si>
  <si>
    <t>Actualizar el Código de Ética y Buen Gobierno Corporativo</t>
  </si>
  <si>
    <t>Descripción del objetivoActualizar y presentar, para consideración del Comité de Gobierno Corporativo, Nominación, Remuneración y Sostenibilidad y la Junta Directiva durante el 2025, el Código de Ética y Buen Gobierno Corporativo teniendo en cuenta los estatutos vigentes.&amp;nbsp;Indicador o FórmulaPorcentaje de cumplimiento al 100%:Q2: 40%Q3: 25%&amp;nbsp;Q4: 35%EntregablesActividad 1: Q2 a Q3 preparar una versión del Código en control de cambios, con los ajustes pertinentes a Gobierno Corporativo.&amp;nbsp;Entregable 1: primer borrador del Código realizado por el Profesional Senior de Gobierno Corporativo, remitido al correo electrónico de la Directora de Asuntos Corporativos, quien deberá validarlo 40%.&amp;nbsp;Actividad 2: Q3 a Q4 enviar la versión validada del Código por la Directora de Asuntos Corporativos a la Dirección de Felicidad y la Dirección de Cumplimiento quienes deberán ajustar y consolidar los ajustes pertinentes.&amp;nbsp;Entregable 2: segundo borrador del Código con los ajustes de la Directora de Cumplimiento y la Directora de Felicidad, validado por la Directora de Asuntos Corporativos 25%.Actividad 3: Q4 presentar para consideración del Comité de Gobierno Corporativo y la Junta Directiva los ajustes al Código.Entregable 3: presentación al Comité de Gobierno de la versión final del Código (documento y presentación) 35%.Ubicación﻿Z:\Objetivos\2025\Dirección de Asuntos Corporativos</t>
  </si>
  <si>
    <t>Gestionar la Junta Directiva del FNG</t>
  </si>
  <si>
    <t>Descripción del objetivoGestionar el funcionamiento de la Junta Directiva durante el 2025, promover la comunicación activa con sus miembros y diseñar el protocolo de expedición de extractos y certificados de la Junta Directiva. Además, diseñar la autoevaluación de la Junta Directiva, conforme la Política aprobada por la Junta.Indicador o FórmulaPorcentaje de cumplimiento al 100%Q1: 14%Q2: 14%Q3: 49%Q4: 23%EntregablesActividad 1: Q1 a Q4 cumplir el cronograma de actividades aprobado por la junta directiva.Entregable 1: Cronograma de la Junta Directiva, actas de las sesiones de la Junta Directiva y comprobante de pago de honorarios 40%.Actividad 2: Q1 a Q4 hacer seguimiento de los compromisos con la Junta Directiva. A medida que se vayan adelantando las sesiones de juntas, se van adquiriendo nuevos compromisos.Entregable 2: Matriz de compromisos de la Junta Directiva y su estado de cumplimiento remitida por correo electrónico al Vicepresidente Ejecutivo 15%.Actividad 3: Q3 diseñar el protocolo de expedición de extractos y certificados de la Junta Directiva.Entregable 3: Protocolo de expedición de extractos y certificados de la Junta Directiva presentado al Vicepresidente Ejecutivo 35%.Actividad 4: Q4 diseñar el cuestionario de Autoevaluación de la Junta Directiva.Entregable 4: Cuestionario de Autoevaluación presentado al Vicepresidente Ejecutivo 10%.Ubicación entregables﻿ Z:\Objetivos\2025\Dirección de Asuntos Corporativos</t>
  </si>
  <si>
    <t>Gestión de la Asamblea General de Accionistas del FNG</t>
  </si>
  <si>
    <t>Descripción del objetivoGestionar el funcionamiento de la asamblea general de accionistas durante el año 2025 y la comunicación con los accionistas para el cumplimiento de la misión estratégica del FNG.Indicador o fórmulaPorcentaje de cumplimiento al 100%:Q1: 60%Q2 a Q4: 40%EntregablesActividad 1: Q1 realizar la asamblea general de accionistas ordinaria del FNG, de conformidad con la legislación societaria.Entregable 1: Convocatoria y acta de la reunión 60%.Actividad 2: Q2 a Q4 realizar las reuniones extraordinarias de la asamblea general de accionistas que solicite la administración o los accionistas, de conformidad con la legislación societaria.Entregable 2: Convocatorias y actas de las reuniones 40%.Ubicación﻿Z:\Objetivos\2025\Dirección de Asuntos Corporativos</t>
  </si>
  <si>
    <t>Descripción del objetivoDurante 2025, fortalecer la comunicación de la administración del FNG con la Junta Directiva mediante (1) la actualización y rediseño de la línea gráfica de las presentaciones realizadas a la Junta Directiva, y (2) la elaboración y entrega de un paper de gobierno corporativo para sus miembros.Indicador o FórmulaPorcentaje de cumplimiento 100%:Q3: 35%Q4: 65%EntregablesActividad 1: Q3 Rediseñar la línea gráfica de las presentaciones para la Junta Directiva, en conjunto con la Dirección de Marca Institucional. Validarla con la Directora de Asuntos Corporativos y el Vicepresidente Ejecutivo.Entregable 1: Muestra del rediseño gráfico validada con la Directora de Asuntos Corporativos y el Vicepresidente Ejecutivo 15%.Actividad 2: Q3 a Q&amp;nbsp;Diseñar un lineamiento para la elaboración de los papers de preparación para las sesiones de Junta Directiva. Validarlo con la Directora de Asuntos Corporativos y el Vicepresidente Ejecutivo.Entregable 2: Lineamiento presentado y validado con la Directora de Asuntos Corporativos y el Vicepresidente Ejecutivo 40%.Actividad 3: Q4 Elaborar y entregar un paper de gobierno corporativo a los miembros de la Junta Directiva que integran el Comité de Gobierno Corporativo, Nominación, Remuneración y Sostenibilidad.Entregable 3: Paper de gobierno corporativo remitido a través de email a los miembros de la Junta Directiva por parte de la Directora de Asuntos Corporativos o el Vicepresidente Ejecutivo 45%.Ubicación﻿Z:\Objetivos\2025\Dirección de Asuntos Corporativos</t>
  </si>
  <si>
    <t>Diseñar el Manual de Gobierno Corporativo</t>
  </si>
  <si>
    <t>Descripción del objetivoDiseñar el Manual de Gobierno Corporativo para incluir las principales actividades de la Entidad en esta materia. El Manual deberá contar con su objetivo general y lineamientos en la materia, durante 2025.&amp;nbsp;&amp;nbsp;Indicador o FórmulaPorcentaje de cumplimiento al 100%Q3: 85%Q4: 15%EntregablesActividad 1: Q3 diseñar el manual con su objetivo y lineamientos.Entregable 1: Documento Manual de Gobierno Corporativo presentado al Vicepresidente Ejecutivo 85%.Actividad 2: Q4 formalizar el documento en la herramienta definida por la entidad para su formalización.Entregable 2: Cargue del documento en la herramienta definida por la entidad 15%.Ubicación﻿Z:\Objetivos\2025\Dirección de Asuntos Corporativos</t>
  </si>
  <si>
    <t>Gestión y liderazgo del Comité de Gobierno Corporativo</t>
  </si>
  <si>
    <t>Descripción del objetivoGestionar la realización de las reuniones ordinarias del comité de gobierno corporativo durante el año 2025, con el propósito de que el FNG continúe fortaleciendo su gobierno corporativo:Indicador o FórmulaPorcentaje de cumplimiento al 100%:Q1: 14%Q2: 14%Q3: 49%Q4: 23%EntregablesActividad 1: Q1 a Q4 cumplir el cronograma de reuniones del Comité de Gobierno Corporativo.Entregable 1: Cronograma de reuniones de la Junta Directiva 30%.Actividad 2: Q1 a Q4 realizar las actas del Comité de Gobierno Corporativo, que serán validadas por la Directora de Asuntos Corporativos y el Vicepresidente Ejecutivo.Entregable 2: Actas del Comité 70%.Ubicación﻿Z:\Objetivos\2025\Dirección de Asuntos Corporativos</t>
  </si>
  <si>
    <t>1026300060</t>
  </si>
  <si>
    <t>Camila Andrea Ceballos Vaca</t>
  </si>
  <si>
    <t>Dirección de Marca Institucional</t>
  </si>
  <si>
    <t>Profesional de Estrategia de Mercadeo</t>
  </si>
  <si>
    <t>1018471416</t>
  </si>
  <si>
    <t>Juan Sebastian Holguin Cardona</t>
  </si>
  <si>
    <t>Plan de comunicaciones estratégicas</t>
  </si>
  <si>
    <t>Descripción:Para el Q2, definir, implementar y ejecutar el plan de comunicaciones estratégicas que contribuyan a reforzar el posicionamiento del FNG, el cual debe incluir:- Plan de relacionamiento con medios- Plan de pauta en mediosIndicador:Q2 (50%): plan de comunicaciones estratégicas que incluya plan de relacionamiento con medios y&amp;nbsp;plan de pauta en mediosQ4 (50%): informe de la implementación del planEntregables:﻿Q2: presentar al VP ejecutivo, en reunión de avances del área, el plan de comunicaciones estratégicasQ4: enviar un informe al VP ejecutivo con las evidencias de la implementación del plan</t>
  </si>
  <si>
    <t>Encuesta de cliente interno</t>
  </si>
  <si>
    <t>Descripción:Para el 2025, lograr una califación de 9,45 en la encuesta de satisfacción de cliente interno, manteniendo el resultado obtenido en 2024.Indicador:Calificación del áreaQ4 (100%) Obtener una medición de 9,45 en la encuesta de satisfacción del cliente interno equivale al 100% de la calificación, 9,40 equivaldrá al 90%, 9,30 al 80% y 9,20 al 0%.Entregable:Q4: resultado de la encuesta</t>
  </si>
  <si>
    <t>Contratación Mercadeo y Comunicaciones</t>
  </si>
  <si>
    <t>Descripción:Para la vigencia 2025 lograr que el 100% de los contratos sean realizados de acuerdo con la fecha programada en el Plan Anual de Adquisiciones (PAA)Indicador:Q4 (100%): contratos firmados en línea con lo estipulado en el PAAEntregable:﻿Q4: informe que contenga los contratos firmados en la vigencia, junto con la fecha estipulada en el PAA, enviado al subdirector de mercadeo y comunicaciones y la directora de marca institucional</t>
  </si>
  <si>
    <t>Rediseño de la intranet</t>
  </si>
  <si>
    <t>Descripción:Rediseñar la interfaz de la Intranet a 31 de julio de 2025&amp;nbsp;Indicador:% de avance de las actividadesQ2 (50%) Presentar, en reunión de avances del área, el prototipo de rediseño de la Intranet al vicepresidente ejecutivo para su aprobación&amp;nbsp;Q3 (50%) Realizar la divulgación de la nueva interfaz de la Intranet en los canales internosEntregable:﻿Q2: Correo del vicepresidente ejecutivo dando su aprobación al rediseño de la Intranet.Q3: Informe que incluya:&amp;nbsp;- Evidencias del rediseño de la Intranet&amp;nbsp;- Evidencias de divulgación del rediseño de la Intranet en canales internos</t>
  </si>
  <si>
    <t>Cobranding</t>
  </si>
  <si>
    <t>Descripción:Para la vigencia 2025, realizar 4 acciones de cobranding con gremios, intermediarios financieros o aliados estratégicos que contengan:- Piezas de comunicación (reels, piezas, comunicados, infografía, entre otros)- Objetivos y beneficios mutuos- Contenidos multiplataforma y espacios de colaboraciónIndicador:Septiembre: (50%) publicación de dos acciones de cobrandingNoviembre: (50%) publicación de dos acciones de cobrandingEntregable:﻿Septiembre: evidencia de la publicación en las redes del aliado de las dos acciones de cobrandingNoviembre: evidencia de la publicación en las redes del aliado de las dos acciones de cobranding</t>
  </si>
  <si>
    <t>Estrategia de eventos</t>
  </si>
  <si>
    <t>Descripción:Para la vigencia 2025, definir la estrategia de participación en eventos y asegurar su implementación. La estrategia debe incluir:&amp;nbsp;- Concepto creativo- Propuesta de esquema de divulgación en redes- Merchandising&amp;nbsp;- Activación de marcaIndicador:Q2: (50%) presentación de la estrategia&amp;nbsp;Q4: (50%) informe final con resultados de la ejecución de la estrategiaEntregable:﻿Q2: presentación de la estrategiaQ4: informe final con resultados de la ejecución de la estrategia, presentado al subdirector de mercadeo y comunicaciones y la directora de marca institucional</t>
  </si>
  <si>
    <t>Refuerzo de posicionamiento</t>
  </si>
  <si>
    <t>Descripción:Al cierre del Q4, realizar una investigación de posicionamiento de la marca, que permita generar contenidos para comunicaciones externas contribuyendo a fortalecer la imagen del FNG como facilitador de acceso al crédito, que contenga:&amp;nbsp;- Análisis del discurso de la competencia, clientes y potenciales clientes- Territorios de marca- Aspectos clave que debe contener la narrativa del FNG, con base en los resultados obtenidosIndicador:Q3 (50): metodología de la investigación&amp;nbsp;Q4 (50%): resultados de la investigación&amp;nbsp;Entregable:﻿Q3: correo de aprobación de la metodología por parte del VP EjecutivoQ4: presentación de los resultados de la investigación</t>
  </si>
  <si>
    <t>Vicepresidencia de Riesgos</t>
  </si>
  <si>
    <t>Vicepresidente de Riesgos</t>
  </si>
  <si>
    <t>35478032</t>
  </si>
  <si>
    <t>Piedad Muñoz Rojas</t>
  </si>
  <si>
    <t>Diseño de herramienta interna para la gestión del SARO según plan de trabajo</t>
  </si>
  <si>
    <t>Tarifación por Deudor</t>
  </si>
  <si>
    <t>Actualización del Modelo de VMD Empresarial SFC con Componente Prospectivo</t>
  </si>
  <si>
    <t>Evaluar el límite de clasificación hasta el vencimiento de las inversiones del portafolio</t>
  </si>
  <si>
    <t>1030527520</t>
  </si>
  <si>
    <t>Carlos Andres Rodriguez Rodriguez</t>
  </si>
  <si>
    <t>Profesional de Seguimiento a la Gestion</t>
  </si>
  <si>
    <t>Documentación de metodología de etapas del módulo de Mejora Continua de Isotools</t>
  </si>
  <si>
    <t>Descripción del Objetivo:Lograr a más tardar el 30-09-2025 la actualización y publicación del instructivo para la mejora continua en Isotools, que describa de forma práctica la gestión cada etapa en Isotools (campos, flujos, responsables), asegurando el cumplimiento del 100 % de las actividades definidas a continuación:Indicador: Su evaluación será proporcional a la suma de los porcentajes relacionados a cada entregable completado a satisfacción.Actividades:1. Dirigir la configuración del módulo de mejora continua en Isotools y validar de funcionalidad: Peso 40 % – Entrega Q3-20252. Informar la puesta en producción el módulo Mejora Contínua: Peso 20 % – Entrega Q3-20253. Capacitar al funcional de seguimiento a la gestión sobre el manejo y gestión del módulo (sesión Teams): Peso 40 % – Entrega Q3-2025Entregables: Informe de avance de las actividades relacionadas para entrega en Q3, formalizado mediante correo electrónico al Subdirector de Planeación Estratégica y Gestión de Procesos.&amp;nbsp;El objetivo esta alineado a la apuesta estratégica del PAI: Puesta en producción del Software del SGIUbicación: P:\Objetivos\2025\Dirección de Planeación y Gestión Integral\Carlos Andrés Rodríguez Rodríguez</t>
  </si>
  <si>
    <t>Cargue de auditorías realizadas y resultados en el módulo de Auditoría de Isotools</t>
  </si>
  <si>
    <t>Descripción del Objetivo:Lograr a más tardar el 30-09-2025 el cargue completo en Isotools de los informes de auditoría interna efectuadas hasta el 31-05-2025 incluidos hallazgos, observaciones, oportunidades de mejora, planes de acción y estados de avance, dejando la trazabilidad de cada auditoría asociada a su proceso y cronograma, cumpliendo el 100 % de las actividades que se detallan a continuación:﻿Indicador: Su evaluación será proporcional a la suma de los porcentajes relacionados a cada entregable completado a satisfacción. Actividades:1. Inventariar auditorías internas con resultados hasta 31-05-2025 (lista validada con OCI): Peso 20 % – Entrega Q3-2025. 2. Parametrizar el módulo de Auditoría en Isotools (procesos, tipos de hallazgo, estados): Peso 20 % – Entrega Q3-2025.3. Cargar informes, hallazgos y planes de acción; asociar responsables y fechas compromiso: Peso 20 % – Entrega Q3-2025. 4. Formalizar la entrega del módulo de auditorías a la Oficina de Control Interno: Peso 20 % – Entrega Q3-2025.Entregables: Informe de avance de las actividades relacionadas para entrega en Q3, formalizado mediante correo electrónico al Subdirector de Planeación Estratégica y Gestión de Procesos.El objetivo esta alineado a la apuesta estratégica del PAI: Puesta en producción del Software del SGIUbicación: P:\Objetivos\2025\Dirección de Planeación y Gestión Integral\Carlos Andrés Rodríguez Rodríguez</t>
  </si>
  <si>
    <t>Migración y puesta en producción del Gestor Documental en Isotools</t>
  </si>
  <si>
    <t>Descripción del Objetivo:Lograr a más tardar el 30-09-2025 la migración de la totalidad de los documentos oficializados en Isolución en su versión vigente (manuales, instructivos, procedimientos, reglamentos, formatos, planes, notas técnicas y anexos), validación de funcionamiento y puesta en producción del módulo Gestor Documental de Isotools, asegurando el cumplimiento del 100% de las actividades necesarias que se describen a continuación:Indicador: Su evaluación será proporcional a la suma de los porcentajes relacionados a cada entregable completado a satisfacción.Actividades:1. Definir inventario de documentos vigentes a migrar: Peso 20 % – Entrega Q3-20252. Ejecutar migración del 100% de los documentos a Isotools y validación de visualización de documentos: Peso 40 % – Entrega Q3-20253. Validar funcionamiento del flujo de documentación: Peso 20 % – Entrega Q3-20254. Informar la puesta en producción el módulo Gestor Documental: Peso 20 % – Entrega Q3-2025Entregables: Informe de avance de las actividades relacionadas para entrega en Q3, formalizado mediante correo electrónico al Subdirector de Planeación Estratégica y Gestión de Procesos.&amp;nbsp;El objetivo esta alineado a la apuesta estratégica del PAI: Puesta en producción del Software del SGIUbicación: P:\Objetivos\2025\Dirección de Planeación y Gestión Integral\Carlos Andrés Rodríguez Rodríguez</t>
  </si>
  <si>
    <t>Documentación para el Caso de Negocio y Factibilidad de Puesta en Producción del Módulo CO</t>
  </si>
  <si>
    <t>Descripción del Objetivo:Lograr a más tardar el 31 de diciembre de 2025, la generación, consolidación y entrega de la documentación que respalde el desarrollo del caso de negocio del módulo CO para que sea considerada su puesta en producción en la vigencia 2026, cumpliendo el 100 % de las actividades que se detallan a continuación:Indicador: Su evaluación será proporcional a la suma de los porcentajes relacionados a cada entregable completado a satisfacción.Actividades:- Documentación del diagnóstico funcional y técnico del módulo CO. Peso 25 % – Entrega Q3-2025. Entregables: Documento del diagnóstico funcional y técnico del módulo CO, formalizado mediante correo electrónico al Director de Planeación Estratégica y Gestión de Integral.- Documentación del desarrollo del caso de negocio, incluyendo análisis de beneficios y costos esperados. Peso 25 % – Entrega Q3-2025. Entregables:&amp;nbsp;Documento del desarrollo del caso de negocio, formalizado mediante correo electrónico al Director de Planeación Estratégica y Gestión de Integral.- Redacción del informe de revisión normativa y operativa, que permita identificar requisitos legales y procedimientos necesarios para la implementación contable. Peso 35 % – Entrega Q4-2025. Entregables:&amp;nbsp;Informe de revisión normativa y operativa, formalizado mediante correo electrónico al Director de Planeación Estratégica y Gestión de Integral.- Elaboración del documento de concepto de factibilidad, el cual deberá consignar de manera clara la viabilidad (favorable o desfavorable) de la puesta en producción del módulo para 2026, basándose en la información recopilada en los documentos anteriores. Peso 15 % – Entrega Q4-2025. Entregables:&amp;nbsp;Documento de concepto de factibilidad, formalizado mediante correo electrónico al Director de Planeación Estratégica y Gestión de Integral.El objetivo esta alineado a la apuesta estratégica del PAI: Servicios de actualización del sistema SAP ERP&amp;nbsp;Ubicación: P:\Objetivos\2025\Dirección de Planeación y Gestión Integral\Carlos Andrés Rodríguez Rodríguez</t>
  </si>
  <si>
    <t>78747564</t>
  </si>
  <si>
    <t>Carlos Enrique Luna Lopez</t>
  </si>
  <si>
    <t>Gerente de Cuenta Huila</t>
  </si>
  <si>
    <t>1121822635</t>
  </si>
  <si>
    <t>Juan Sebastian Sanchez Galindo</t>
  </si>
  <si>
    <t xml:space="preserve">Participación en eventos en la zona de atención comercial </t>
  </si>
  <si>
    <t>Participar en diez (10) eventos o más durante el año 2025 en la zona de atención comercial departamentos del Huila y Caquetá, dando a conocer las generalidades y portafolio del FNG como un aliado estratégico de los colombianos, haciendo presencia en espacios y/o eventos coordinados con las diferentes entidades aliadas en la región. % CumplimientoParticipar en diez (10) eventos o más obtendrá un puntaje de 100%. Se medirá de acuerdo a la formula: #eventos año 2025/10 y el resultado obtenido será la calificación final del objetivo, según la formula; ejemplo 5/10=50%</t>
  </si>
  <si>
    <t>Resultado Encuesta de satisfaccion de cliente externo zona de ventas FNG S.A Y FNG TOLIMA</t>
  </si>
  <si>
    <t>Obtener al 31 de diciembre de 2025 un resultado ponderado en la Encuesta de Satisfacción del Cliente Externo para las zonas de venta FNG S.A Y FNG TOLIMA, mayor o igual a 9.1 (Donde menor a 8.6 es 0 puntos y 9.1 es 100 puntos), Rango: &amp;gt; o = 8.6 Pts &amp;lt; 9.1 Pts La fórmula de medición del Rango: = (Resultado Indicador – Cumplimiento Mínimo) / (Meta – Cumplimiento Mínimo) x 100.Evidencia: Resultado encuesta de cliente Externo&amp;nbsp;</t>
  </si>
  <si>
    <t>Vinculacion de nuevos intermediarios financieros y/o reactivaciones en la regional Bogotá-Centro</t>
  </si>
  <si>
    <t>Lograr la vinculación y/o reactivación durante el año 2025, de catorce (14) intermediarios financieros en la regional Bogotá-Centro (la cual comprende los departamentos de: Bogotá, Cundinamarca, Tolima, Huila, Caquetá, Meta, Guainia, Guaviare, Vaupes, Vichada y Amazonas). % Cumplimiento.# de vinculaciones año 2025/14 y el resultado obtenido será la calificación final del objetivo según la formula, ejemplo: 7 vinculaciones/14 = 50%</t>
  </si>
  <si>
    <t>Visitas a sucursales de Intermediarios Financieros de la base asignada</t>
  </si>
  <si>
    <t>Visitar 346 sucursales activas gestionables de Intermediarios Financieros del FNG, durante el año 2025 en la zona de atención comercial departamentos del Huila y Caquetá, (base asignada por el subdirector comercial Bogotá Centro la cual puede estar sujeta a cambios). % Cumplimiento.Realizar 346 visitas o más obtendrá un puntaje de 100%, realizar menos de 312 visitas (equivalente al 90%) obtendrá un puntaje de 0%. Se medirá de acuerdo a la tabla equitativa: donde al sacar un puntaje del 90% el puntaje será 90%, y así hasta llegar al 100%</t>
  </si>
  <si>
    <t>Movilización de creditos con garantías del FNG de la base asignada</t>
  </si>
  <si>
    <t>Lograr al 31 de diciembre del año 2025 una movilización de créditos con garantías del FNG igual o superior al 100% de la meta asignada por la vicepresidencia comercial, en la zona de atención comercial departamentos del Huila y Caquetá, (base asignada por el subdirector comercial Bogotá Centro la cual puede estar sujeta a cambios).% Cumplimiento.Calificación proporcional entre la meta asignada por la vicepresidencia comercial en la zona de atención comercial departamentos del Huila y Caquetá y&amp;nbsp;$626.297.155.768 (donde menor a $626.297.155.768 es 0% y la meta signada&amp;nbsp;por la vicepresidencia comercial o superior es el 100%)&amp;nbsp;La fórmula de medición del Rango: = (Resultado Indicador – Cumplimiento Mínimo) / (Meta – Cumplimiento Mínimo) x 100.</t>
  </si>
  <si>
    <t>1018431496</t>
  </si>
  <si>
    <t>Carmen Viviana Quitian Moreno</t>
  </si>
  <si>
    <t>Dirección de Estrategia Comercial</t>
  </si>
  <si>
    <t>Profesional de Estrategia Comercial</t>
  </si>
  <si>
    <t>91290542</t>
  </si>
  <si>
    <t>Oscar Fernando Sanchez Lizarazo</t>
  </si>
  <si>
    <t>Estrategia sector solidario</t>
  </si>
  <si>
    <t>Diseñar e implementar durante el año 2025 una estrategia integral orientada a fortalecer el relacionamiento con el sector solidario, con el propósito de incrementar la movilización de la cartera cooperativa. Esta estrategia estará fundamentada en la caracterización de la vocación crediticia de las cooperativas, en un plan de abordaje estructurado, en una atención personalizada alineada con sus necesidades específicas, en el desarrollo de atributos diferenciadores para el sector, y en un sistema de seguimiento y control que permita monitorear su evolución comercial. » Entregable 1: Correo de aprobación de la Vicepresidenta Comercial. Fecha máxima de entrega 15 de julio de 2025. » Entregable 2: Correo de aprobación de la Vicepresidenta Comercial. Fecha máxima de entrega 15 de octubre de 2025. » Entregable 3: Correo de aprobación de la Vicepresidenta Comercial. Fecha máxima de entrega 23 de enero de 2026.MÉTRICA: » Primer entregable: Presentación con el diagnóstico inicial del uso de las garantías del sector solidario, el planteamiento de la estrategia&amp;nbsp;y el plan de trabajo a realizar. Peso: 20% » Segundo entregable: Informe de avance de la estrategia al cierre del Q3. Peso: 40% » Tercer entregable: Informe final y resultados de la estrategia al cierre del Q4. Peso: 40%</t>
  </si>
  <si>
    <t>Tablero para visitas comerciales a sucursales</t>
  </si>
  <si>
    <t>Implementar durante el año 2025 un tablero en línea, con actualización diaria (corte al día anterior) y opción de descarga, que sirva como herramienta de consulta y apoyo estratégico para las visitas comerciales a las sucursales de los intermediarios financieros (IF). El tablero integrará información clave como presupuesto asignado por oficina, nivel de ejecución, indicadores de siniestralidad, cartera en mora, portafolio de productos vigentes, circulares aplicables, nuevos programas y productos especiales, así como novedades relevantes del entorno comercial, con el fin de facilitar una gestión más informada, proactiva y alineada con los objetivos institucionales.  » Entregable: Correo de entrega del diseño y/o tablero funcionando, con la aprobación de la dirección de estrategia comercial. Fecha máxima de entrega 15 de octubre de 2025.MÉTRICA:  » Primer entregable: Correo de aprobación del diseño del tablero por parte la dirección comercial. Peso = 40%  » Segundo entregable: Correo de aprobación del tablero probado y funcionando por parte de la dirección comercial. Peso = 60%</t>
  </si>
  <si>
    <t>Seguimiento a intermediarios financieros con baja movilización o con cero movilización</t>
  </si>
  <si>
    <t>Implementar un informe de seguimiento y control mensual que proporcione información de los Intermediarios Financieros que no presentan movilización, o que disminuyeron la utilización de garantías, con el fin de identificar factores subsanables mediante&amp;nbsp;gestión comercial e identificar las entidades que definitivamente no están interesadas y&amp;nbsp;proceder a depurarlos de la base de clientes.   » Entregable 1: Correo de entrega a la dirección de estrategia comercial. Fecha máxima de entrega 15 de julio de 2025.  » Entregable 2: Correo de entrega a la dirección de estrategia comercial. Fecha máxima de entrega 15 de octubre de 2025.  » Entregable 3: Correo de entrega a la dirección de estrategia comercial. Fecha máxima de entrega 23 de enero de 2026. MÉTRICA:  » Primer entregable: Informe de seguimiento junio 2025. Peso: 20%  » Segundo entregable: Informe de seguimiento julio-agosto-septiembre 2025. Peso: 40%  » Tercer entregable: Informe de seguimiento octubre-noviembre-diciembre 2025. Peso: 40%</t>
  </si>
  <si>
    <t>Tableros MAC (MODELO DE ACTUACIÓN COMERCIAL) para la dirección general y gestión empresarial.</t>
  </si>
  <si>
    <t>Diseñar, desarrollar e implementar durante el año 2025 dos tableros de control del Modelo de Actuación Comercial (MAC): uno orientado a medir la gestión de la fuerza comercial de las Direcciones Generales (MAC DNIF), y otro enfocado en la medición de la gestión empresarial (MAC Gestión Empresarial).Ambos tableros deberán reflejar de manera precisa y oportuna los resultados de los indicadores definidos en el MAC correspondiente, garantizando la actualización de los datos al cierre de cada trimestre. Para ello, se establecerá un proceso sistemático de verificación de información y se automatizará la carga de datos, con el fin de asegurar calidad, eficiencia y confiabilidad en la gestión de la información.  » Entregable: Correo de entrega de los tableros MAC publicados, con la aprobación de la dirección de estrategia comercial. Fecha máxima de entrega 15 de octubre de 2025. MÉTRICA:  » 1 tablero entregado. Peso = 50%  » 2 tableros entregados. Peso = 100%</t>
  </si>
  <si>
    <t>Estrategia Garantía Global</t>
  </si>
  <si>
    <t>Diseñar e implementar durante el año 2025 una estrategia integral orientada a incrementar la movilización del producto "Garantía Global". Esta estrategia se basará en la ejecución de jornadas grupales de socialización del producto en alianza con Colombia Fintech y los gremios cooperativos, en el abordaje individual y personalizado de entidades interesadas, y en la atención integral (comercial y operativa) de los clientes vinculados que actualmente operan de manera exclusiva con esta garantía, con el fin de fortalecer su experiencia y fomentar su continuidad y expansión.  » Entregable 1: Correo de aprobación de la Vicepresidenta Comercial. Fecha máxima de entrega 15 de julio de 2025.  » Entregable 2: Correo de aprobación de la Vicepresidenta Comercial. Fecha máxima de entrega 15 de octubre de 2025.  » Entregable 3: Correo de aprobación de la Vicepresidenta Comercial. Fecha máxima de entrega 23 de enero de 2026.MÉTRICA:  » Primer entregable: Presentación con el diagnóstico inicial del uso del producto de "garantía global", el planteamiento de la estrategia&amp;nbsp;y el plan de trabajo a realizar. Peso: 20%  » Segundo entregable: Informe de avance de la estrategia al cierre del Q3. Peso: 40%  » Tercer entregable: Informe final y resultados de la estrategia al cierre del Q4. Peso: 40%</t>
  </si>
  <si>
    <t>24340654</t>
  </si>
  <si>
    <t>Carolina Botero Ossa</t>
  </si>
  <si>
    <t>Dirección de Soluciones y Soporte Comercial</t>
  </si>
  <si>
    <t>Director de Soluciones y Soporte Comercial</t>
  </si>
  <si>
    <t>Indicador calidad en las respuestas de PQRFSD de la Dirección de Soluciones y Soporte Comercial</t>
  </si>
  <si>
    <t>Resolver oportunamente el 100% de los casos de PQRS atendidos en el 2025 en la entidad</t>
  </si>
  <si>
    <t>Disminución en el tiempo de respuesta de los casos excepcionales radicados</t>
  </si>
  <si>
    <t>Análisis de viabilidad de Centro de Experiencia Propio</t>
  </si>
  <si>
    <t>Elaborar el estudio de factibilidad y viabilidad de contar con un Centro de Experiencia propio, el cual contiene las siguientes fases y entregables:1. Diagnóstico del Centro de Experiencia actual y variables a considerar en el estudio de factibilidad, fecha entrega: 15/05/25.2. Un informe que contenga las necesidades de la organización, fecha entrega: 01/07/253. Estructuración del anexo técnico del Centro de experiencia, fecha entrega: 11/07/254. Elaboración de la matriz y análisis de riesgos,fecha entrega: 31/07/255. Estudio de Mercado para el Centro de Experiencia, fecha entrega: 15/08/25Los entregables del 1 al 5 tendrán un peso individual del 15% y los mismos deberán ser cargados en la carpeta P:\Gestion Estratégica, dentro de los tiempos estipulados en la ficha.Nota: Si se presenta retraso en el cargue de los entregables se realizará una penalización del 1% por día de retraso.Informe final de Viabilidad del Centro de Experiencia Propio. Entregable: Número de Acta del Comité Directivo en el que se presentó el Informe final de Viabilidad del Centro de Experiencia Propio, presentado a Comité Directivo a más tardar el 15 de septiembre de 2025La suma de los entregables del 1 al 5 suman 75% y el informe final tiene un peso del 25% lo que equivale al 100% del objetivo.Frecuencia monitoreo: anualFecha de inicio y fin:01-05-2025 / 15-09-2025</t>
  </si>
  <si>
    <t xml:space="preserve"> FASE I del plan de mejoras al ciclo operativo de la garantía</t>
  </si>
  <si>
    <t>52271801</t>
  </si>
  <si>
    <t>Cecilia Del Rocio Gomez Romero</t>
  </si>
  <si>
    <t>Presidencia</t>
  </si>
  <si>
    <t>Asistente de Presidencia</t>
  </si>
  <si>
    <t xml:space="preserve">Seguimiento a los desplazamientos del vehículo de Presidencia </t>
  </si>
  <si>
    <t>Administración de Archivo, Control de Resoluciones, Circulares</t>
  </si>
  <si>
    <t xml:space="preserve">Gestión de Viajes y Comisiones </t>
  </si>
  <si>
    <t>Seguimiento Tareas Presidencia</t>
  </si>
  <si>
    <t>Subdirector de Aplicaciones SAP</t>
  </si>
  <si>
    <t>79294049</t>
  </si>
  <si>
    <t>Fernando Arciniegas Masmela</t>
  </si>
  <si>
    <t>Gestión tecnológica para nuevos productos y servicios</t>
  </si>
  <si>
    <t>Gestionar durante el 2025 los desarrollos y/o configuraciones de los sistemas de información que soporten la gestión de nuevos productos y servicios, como:&amp;nbsp;- Factoring Q2- Gran empresa&amp;nbsp;Q3- Unificación de Anexos 14 y 21 Q4- Garantía Global Q4Formula:Cumplimiento Q2 (30%) Desarrollo de FactoringCumplimiento Q3 (30%) Desarrollo Gran empresaCumplimiento Q4 (40%) Desarrollo Unificación de Anexos 14 y 21 y Garantía GlobalEntregables:RFC aprobado en Comité de Cambios de cada uno de los desarrollos en el trimestre correspondiente.</t>
  </si>
  <si>
    <t>Lograr durante el 2025 un 100% de cumplimiento en la ejecución y finalización de los proyectos estratégicos de tecnologías de la información que han sido ejecutados y finalizados según la hoja de ruta del Plan Estratégico de Tecnologías de la Información (PETI) del FNG programados para el año 2025, de acuerdo con el alcance, cronogramas y resultados esperados.&amp;nbsp;Formula:(# Proyectos finalizados / Total proyectos programados para finalizar en el&amp;nbsp;2025) * 100&amp;nbsp;&amp;nbsp;Total proyectos programados 2025 = 9Entregables:Q2• Informe de avance&amp;nbsp;(número de proyectos completados hasta la fecha).Q3• Informe de avance intermedio (número de proyectos en fase final).Q4• Informe de finalización de todos los proyectos del PETI 2025.</t>
  </si>
  <si>
    <t>Optimización de performance de los querys y programas con mas alto consumo SQL y ABAP</t>
  </si>
  <si>
    <t>Realizar durante 2025 la optimización para el mejoramiento del performance (mejora en tiempo de ejecución), aplicado a los programas que se relacionan a continuacion:&amp;nbsp;ZSD008ASAPLZFGCML_SALDOS_CONCEPTOSZSD010AZMPCML001ZRPCML035Formula:Optimización (desarrollo y despliegue en QAS) = 95% que se calcula con&amp;nbsp;proporcionalidad a la cantidad total programas a intervenirTotal programas: 5Formula para calcular % de cumplimiento:&amp;nbsp;(# optimizados / 5) * 100Optimización = 95%Salida a PRD = 5%Entregables:Q3:1. Evidencia de despliegue en ambiente QAS y notificación por correo electrónico de solicitud de pruebas integrales.2. Documento técnico de la solución implementada donde se evidencie los tiempos de mejora en la ejecución del programa.Q4:&amp;nbsp;3. RFC aprobado en comité de cambios para despliegue en ambiente productivo.&amp;nbsp;</t>
  </si>
  <si>
    <t>Implementación de Intregation Suite - Servicios de Canal Digital</t>
  </si>
  <si>
    <t>Configurar durante 2025 los tenant de QAS y PRD de Integration Suite y exponer los servicios web de canal digital (Reserva, Registro, Apertura de Cupo, Modificación de Cupos, Registro GG, Cancelación de Reserva, Consulta VMD y Consulta Cliente Preferente) con soporte de autenticación Auth2.0Formula:Se loga un 100% del objetivo si se cumple la siguiente formula&amp;nbsp;(# de servicios desplegados/# total de servicios de canal digital relacionados)*100≥95%Entregables:Q2: Tenant del ambiente QAS configurado, Documento técnico de la configuración del tenant de QAS, Documentos técnicos de cada servicio migrado, Evidencia de servicios desplegados en el tenant de QAS de Integration Suite con prueba unitaria de consumo para cada uno.&amp;nbsp;Q3: Tenant del ambiente PRD configurado, Documento técnico de la configuración del tenant de PRD, Guías técnicas de consumo de cada servicio, RFC aprobado en comité de cambios de salida a PRD de los servicios en Integration Suite.&amp;nbsp;</t>
  </si>
  <si>
    <t>Desplegar durante el 2025 en ambiente PRD de SAP ECC la matriz de roles y perfiles para las siguientes áreas, Dirección&amp;nbsp;de Estructuración e Innovación de Productos y Gestión, Dirección de Experiencia ,Dirección de Estrategia Comercial, Dirección de Microfinanzas y Programas Especiales, Dirección Comercial Nacional ,Dirección de cumplimiento ,Dirección Asuntos Corporativos, Dirección de Felicidad, Planeación y Gestión Integral ,Oficina de Control Interno, Dirección de Aplicaciones, Dirección Tributaria, Dirección Jurídica.Formula:Se obtiene un 100% del objetivo si se cumple la siguiente formula:((Sumatoria de porcentaje de avance de las áreas implementadas))/(13-areas planificadas)≥95%Se obtiene un&amp;nbsp;90% del objetivo si se cumple la siguiente formula 90%&amp;gt;(Sumatoria de porcentaje de avance de las áreas implementadas ))/(13-areas planificadas-))/(13 )≥85%Se obtiene un&amp;nbsp;80% del objetivo si el despliegue es menor al 70%.Entregable:Q4: 1. Actas de entrega de la nueva matriz de roles y perfiles firmada por el subdirector y director de cada área.2. RFC aprobado en el comité de cambios para paso a PRD y despliegue a PRD de roles y perfiles&amp;nbsp;cada área.</t>
  </si>
  <si>
    <t>Contribuir durante el 2025 a la automatización y digitalización de tres procesos institucionales mediante el diseño, desarrollo e implementación de aplicaciones, utilizando las herramientas tecnológicas definidas por la entidad. Los procesos priorizados para automatizar y digitalizar son:- Automatización del cruce de listas restrictivas para optimizar el proceso de gestión de Sarlaft. Q2-Q4- Automatización de la consolidación de las bases de información de Reservas del FNG, para el análisis de las cifras insumo para la elaboración de la provisión de renta del FNG.Q2-Q4- Digitalización y automatización de información de potenciales clientes en el marco de el proceso de generación de demanda. Q2-Q4Las automatizaciones dependerán de los requerimientos funcionales definidos y aprobados en las historias de usuario.&amp;nbsp;Formula:(# automatizaciones finalizadas / Total automatizaciones planificadas 2025) * 100Total automatizaciones planificadas 2025 = 3Entregables:Q2- Documento de diseño técnico y estimación de las automatizaciones para cruce en Listas Restrictivas remitido a la Oficina de Cumplimiento.- Documento de diseño técnico y estimación de la Automatización de información de Reservas remitido al Departamento Financiero.- Aprobación de pruebas integrales por parte de la Vicepresidencia Comercial / Dirección de Microfinanzas y RFC aprobado en Comité de Cambios para la puesta en producción de digitalización y automatización de información de potenciales clientes del proceso de generación de demanda.&amp;nbsp;Q3- Despliegue (orden de transporte) de la solución en QA para pruebas integrales para cruce en Listas Restrictivas.- Aprobación de Pruebas integrales para digitalización y Automatización de información de Reservas por parte de la Vicepresidencia Comercial / Dirección de Microfinanzas.Q4- RFC aprobado en Comité de Cambios para la puesta en producción de&amp;nbsp;cruce en Listas Restrictivas&amp;nbsp;- Documento RFC de la Automatización de información de Reservas presentado y aprobado en Comité de Cambios</t>
  </si>
  <si>
    <t>1010237562</t>
  </si>
  <si>
    <t>Cesar Camilo Garcia Pardo</t>
  </si>
  <si>
    <t>Cientifico de Datos</t>
  </si>
  <si>
    <t>1014266486</t>
  </si>
  <si>
    <t>Johan Felipe Cortes Cediel</t>
  </si>
  <si>
    <t>Tablero de control para el seguimiento de la movilización de garantías</t>
  </si>
  <si>
    <t>Lograr a 31 de diciembre de 2025, un tablero de control en Tableau que consolide las principales métricas e indicadores clave (KPIs) para el seguimiento estratégico de la movilización de garantías, permitiendo la visualización oportuna y centralizada de los datos relevantes que faciliten la toma de decisiones informadas por parte de las áreas responsables. (Este objetivo se encuentra alineado con el objetivo estratégico: 4. Evolucionar los sistemas de información y aplicaciones del FNG; Apuesta estratégica, Automatizaciones 5.0):•&amp;nbsp;Modelo visual del diseño del tablero: peso 45% - Entrega Q3• Tablero de control operativo implementado en Tableau: peso 55% - Entrega Q4Indicador o Formula con la que se va a Realizar la Medición.Su evaluación será proporcional a la suma de los porcentajes relacionados a cada entregable completado a satisfacciónEntregablesInforme de avance de las actividades relacionadas para entrega en Q3 y Q4 respectivamenteUbicación de las EvidenciasZ:\Objetivos\2025\Dirección de Planeación</t>
  </si>
  <si>
    <t>Capacitación Cloud</t>
  </si>
  <si>
    <t>Presentar antes del 31 de diciembre una certificación oficial en alguna ruta de formación de Microsoft o Databricks, que fortalezca las capacidades técnicas internas del equipo y esté en concordancia con la infraestructura de datos que se está implementando (Este objetivo se encuentra alineado con el objetivo estratégico: 6.2. Cualificación del talento humano; Apuesta estratégica, Desarrollo de habilidades técnicas, blandas y digitales del talento humano para la transformación digital del FNG):• Evidencia del certificado o insignia: peso 100% - Entrega Q4Indicador o Formula con la que se va a Realizar la Medición.Cumple/No CumpleEntregablesCertificado expedido o insigniaUbicación de las EvidenciasZ:\Objetivos\2025\Dirección de Planeación</t>
  </si>
  <si>
    <t>Estudio de Caracterización y Comportamiento de Clientes del FNG</t>
  </si>
  <si>
    <t>Lograr a 31 de diciembre de 2025, un estudio integral sobre los clientes del FNG, utilizando las fuentes de información disponibles, con el fin de caracterizar sus principales atributos sociodemográficos y analizar su comportamiento en relación con el uso de las garantías. El estudio permitirá generar conocimiento útil para orientar decisiones estratégicas. (Este objetivo se encuentra alineado con el objetivo estratégico 2. Optimización Financiera; Apuesta estratégica, Fortalecimiento de modelo de proyección y planeación financiera, mediante herramienta tecnológica estructuración y visualización):•&amp;nbsp;Word con la propuesta metodológica aprobada por subdirector de arquitectura de datos: peso 35% - Entrega Q3• Informe sobre la caracterización histórica de los clientes y patrones: peso 40% - Entrega Q4• Hoja de ruta de los siguientes estudios: peso 25% - Entrega Q4Indicador o Formula con la que se va a Realizar la Medición.Su evaluación será proporcional a la suma de los porcentajes relacionados a cada entregable completado a satisfacciónEntregables&amp;nbsp;Informe de avance de las actividades relacionadas para entrega en Q3 y Q4 respectivamenteUbicación de las EvidenciasZ:\Objetivos\2025\Dirección de Planeación</t>
  </si>
  <si>
    <t>Análisis Descriptivo y Modelo analítico para la Recuperación de Cartera</t>
  </si>
  <si>
    <t>Lograr a 31-12-2025, el desarrollo del módulo descriptivo de recuperación de cartera mediante la construcción de un Tablero interactivo y un modelo analítico relacionado con la recuperación de cartera, asegurando el cumplimiento del 100% de los componentes técnicos, analíticos y operativos definidos a continuación (Este objetivo se encuentra alineado con el objetivo estratégico 2. Optimización Financiera; Apuesta estratégica, Diseño de estrategia de recuperación de cartera):• Tablero descriptivo: peso 50% - Entrega en Q3• Diseño metodológico del modelo analítico para cartera: peso 15% - Entrega en Q4• Socialización y recibo de retroalimentación por parte de las áreas responsables de recuperación de cartera: peso 10% - Entrega en Q4• Desarrollo del informe final y su viabilidad de aplicación en las estrategias de recuperación de cartera: peso 25% - Entrega Q4Indicador o Formula con la que se va a Realizar la Medición.Su evaluación será proporcional a la suma de los porcentajes relacionados a cada entregable completado a satisfacciónEntregables&amp;nbsp;Informe de avance de las actividades relacionadas para entrega en Q3 y Q4 respectivamenteUbicación de las EvidenciasZ:\Objetivos\2025\Dirección de Planeación</t>
  </si>
  <si>
    <t>Integración modelo SARG con LakeHouse FNG</t>
  </si>
  <si>
    <t>Lograr a 31-12-2025 la integración del proceso SARG con la arquitectura Lakehouse, asegurando el cumplimiento del 100% de los componentes técnicos y funcionales definidos, los cuales se describen a continuación (Este objetivo se encuentra alineado con el objetivo estratégico 4.2. Proyectos de transformación digital e innovación; Apuesta estratégica, Gestión de proyectos estratégicos de innovación y transformación con base tecnológica (DIRECTRIZ)):• Diagnóstico de requerimientos del proceso SARG: peso 25% - Entrega Q3• Diseño de la arquitectura de integración con Lakehouse: peso 25% - Entrega Q3• Desarrollo y prueba del flujo de integración de datos: peso 25% - Entrega Q4• Validación y puesta en marcha del proceso integrado: peso 25% - Entrega Q4Indicador o Formula con la que se va a Realizar la Medición.Su evaluación será proporcional a la suma de los porcentajes relacionados a cada entregable completado a satisfacciónEntregablesInforme de avance de las actividades relacionadas para entrega en Q3 y Q4 respectivamente, revisados y aprobados por el Director de PlaneaciónUbicación de las EvidenciasZ:\Objetivos\2025\Dirección de Planeación</t>
  </si>
  <si>
    <t>Desarrollo asistente IA</t>
  </si>
  <si>
    <t>Lograr a 31-12-2025 la puesta en producción del asistente de inteligencia artificial para la lectura de circulares u otro componente definido por la alta gerencia del FNG, asegurando el cumplimiento del 100% de los componentes relacionados a continuación&amp;nbsp;(Este objetivo se encuentra alineado con el objetivo estratégico 5.1. Consolidación de la Arquitectura Empresarial; Apuesta estratégica, Solución operativa usando tecnología de inteligencia artificial (IA chat bot)):• Catálogo documental del corpus de conocimiento (Listado de circulares, manuales y/o anexos): peso 30% - Entrega Q2• Arquitectura de despliegue y configuración de servicios en el LakeHouse: peso 40% - Entrega Q3• Integración del agente en la plataforma corporativa Microsoft Teams: peso 30% - Entrega Q4Indicador o Formula con la que se va a Realizar la Medición.Su evaluación será proporcional a la suma de los porcentajes relacionados a cada entregable completado a satisfacciónEntregables&amp;nbsp;Acta de recibido a satisfacción por parte del Director de planeación de los componentes de la apuesta de asistente IA para entrega en Q4.Ubicación de las EvidenciasZ:\Objetivos\2025\Dirección de Planeación</t>
  </si>
  <si>
    <t>1015445230</t>
  </si>
  <si>
    <t>Cindy Jhoanna Hernandez Ortiz</t>
  </si>
  <si>
    <t>Oficina de Control Interno</t>
  </si>
  <si>
    <t>Auditor Senior de Control Interno</t>
  </si>
  <si>
    <t>52718694</t>
  </si>
  <si>
    <t>Maria Angelica Bulla Torres</t>
  </si>
  <si>
    <t>Cumplimiento Cronograma Plan Anual de Auditoría 2025</t>
  </si>
  <si>
    <t>Al 31 de diciembre de 2025, ejecutar el 100% de las actividades programadas en el Cronograma del Plan Anual de Auditoría para la vigencia 2025.Indicador: Cumple o no cumple.Entregable:Soporte de la medición del indicador "Cumplimiento del plan integral de auditorías" del cuarto trimestre de 2025 publicado en ISOlución.Reporte del estado y porcentaje de ejecución del Plan anual de Auditoría 2025 en el Comité de Auditoría de febrero de 2026. El soporte será la presentación y el acta del Comité supeditada a la firma del presidente del Comité.</t>
  </si>
  <si>
    <t>Encuentros Un Café con la OCI</t>
  </si>
  <si>
    <t>A partir de junio de 2025, la Oficina de Control Interno iniciará una serie de encuentros con las diferentes direcciones, mediante la estrategia denominada "Un café con la OCI". Estos espacios están pensados como momentos de diálogo y acercamiento, en los que se abordarán temas relacionados con los controles administrativos y se promoverá una cultura de control y enfoque hacia la prevención.&amp;nbsp;Indicador: Cumple o no cumple.&amp;nbsp;Entregable:Se presentará un resumen ejecutivo de las presentaciones realizadas por la Oficina de Control Interno (OCI) en las sesiones del Comité Primario durante junio a diciembre de 2025, con base en las fechas en que se llevaron a cabo dichas intervenciones con la aprobación de la subdirección.Listado de asistentes en formato Excel, material utilizado y/o capturas de pantalla de las citaciones realizadas a través de Microsoft Teams, correspondientes a las sesiones desarrolladas y presentadas ante el Comité Primario en enero de 2026.</t>
  </si>
  <si>
    <t xml:space="preserve">Propuesta de Aplicación de las Normas Globales de Auditoría en la Documentación de la Oficina de Control Interno. </t>
  </si>
  <si>
    <t>Presentar en el mes de Noviembre 2025, una propuesta para la aplicación de las Normas Globales de Auditoría a la documentación de la Oficina de Control Interno, que contemple la revisión, adecuación y alineación con el Manual de Auditoría, el Estatuto de Auditoría Interna y el Código de Ética de la Auditoría Interna, con el fin de garantizar la conformidad con los estándares internacionales, fortalecer el marco normativo de la función de auditoría y mejorar la eficacia en el ejercicio del control.Indicador: Cumple o no CumpleEntregable:Presentación en el Comité Primario OCI de noviembre, la propuesta de aplicación de las Normas Globales de Auditoría en el Manual de Auditoría, el Estatuto de Auditoría Interna y Código de Ética de la Auditoría.</t>
  </si>
  <si>
    <t>39544978</t>
  </si>
  <si>
    <t>Claudia Esther Tafur Alarcon</t>
  </si>
  <si>
    <t>Profesional de Servicios Administrativos</t>
  </si>
  <si>
    <t>52872500</t>
  </si>
  <si>
    <t>Paola Fernanda Yate Parra</t>
  </si>
  <si>
    <t>Presentación a los funcionarios de los beneficios de las pólizas de Vida - Amit y Vehículo del FNG</t>
  </si>
  <si>
    <t>Realizar la socialización a los funcionarios a través de los medios de comunciación del&amp;nbsp;Fondo, los beneficios de adquirir las pólizas de Vida, Incendio y Vehículo, para sollicitar crédito con el entidad y la diferencia con las pólizas de Foncomex:•Junio a Diciembre de 2025: Enviar una capsula por cada Q, con los beneficios de las pólizas •</t>
  </si>
  <si>
    <t>Inclusión y Exclusión de los funcionarios en las pólizas de vida y exequias del FNG</t>
  </si>
  <si>
    <t>De junio a diciembre de 2025: Lograr el cumplimiento del 95 al 100%, en la inclusión de los funcionarios en las pólizas de vida y exequias del FNG.&amp;nbsp;Una vez recibido el correo del departamento de Felicidad con el&amp;nbsp;reporte de ingreso del nuevo funcionario a la planta del FNG, máximo al día siguiente, se debe programar la capacitación por Teams, al funcionario realizando la presentación de la cobertura de las pólizas y&amp;nbsp;el acompañamiento para el diligenciamiento de los formularios, realizar el seguimiento para que el funcionario entregue los formularios diligenciados correctamente de ingreso a las mismas. La medición sera el número de capacitaciones que realice durante el año versus los correos enviados a la aseguradora con el ingreso del funcionario, ojala dentro del mismo mes que ingrese al FNG. En caso de que el funcionario una vez diligenciados los formulario no haga entrega dentro de los 5 días siguientes a la capacitación, se realizarn dos seguimientos durante el mes de ingreso para corroborar si está interesado en tomar las pólizas, de lo contrario se entenderá que no está interesado, lo cual se registrará el informe de excel correspondiente al mes de ingreso.</t>
  </si>
  <si>
    <t>Separación Auditorio para realizar reuniones del FNG</t>
  </si>
  <si>
    <t>Una vez las diferentes áreas de la entidad, solicitan el auditorio del piso 26, para realizar las reuniones del Fondo, solicitar máximo al día siguiente mediante correo la disponibilidad a la Administración con el requerimiento, revisar la cotización que este de acuerdo con la solicitud. Gestionar y hacer seguimiento de que todo este organizado y dispuesto para la realización de la reunión dentro del tiempo establecido, coordinar con los departamentos de Infraestructura Tecnológica los equipos audiovisuales y con el departamento de Servicios Administrativos la atención del personal de cafetería de la reunión.&amp;nbsp;Junio-Diciembre de 2025:&amp;nbsp;</t>
  </si>
  <si>
    <t>Ejecución del Plan de Adquisiciones</t>
  </si>
  <si>
    <t>Ejecutar para 2025 el Plan Anual de Adquisiciones aprobado para la Dirección de Felicidad.&amp;nbsp;&amp;nbsp;Su evaluación será proporcional al numero de procesos aprobados y contratados para la vigencia, de acuerdo con el PAA aprobado por el Comité Institucional de Gestión y Desempeño. La evaluación iniciará a partir del Q2.&amp;nbsp;</t>
  </si>
  <si>
    <t>Lograr a 31-12-2025 el cumplimiento del 100% de los&amp;nbsp;planes del Decreto 612-2018, relacionados con la Dirección de Felicidad, los cuales son monitoreados por el Comité Institucional de Gestión y Desempeño.Plan Estratégico de Gestión Humana: peso 10%&amp;nbsp;Plan de Capacitación: peso 20%Plan de Bienestar :peso 20%Plan de Seguridad y Salud en el Trabajo: peso 20%Plan de Gestión Ambiental 10%Plan Institucional de Archivo 20%</t>
  </si>
  <si>
    <t xml:space="preserve">Solicitud de gaseosas Sede I y II del FNG </t>
  </si>
  <si>
    <t>Con el fin de brindar cada vez un mejor servicio a los funcionarios del FNG al tomar los alimentos en las cafeterías de la entidad, dentro de los 10 primeros días del mes, realizar el pédido de gaseosas, revisando cual es la preferencia de acuerdo con el consumo mensual, para colaborar en la austeridad del gasto de la entidad, solicitando solo los productos que consuman en las dos sedes.&amp;nbsp;Este objetivo se medirá con una encuentas de satisfacción que se realice a los funcionarios que toman sus alimentos en la entidad (cafetería) y la tabulación de la misma en preferencia y obtención del producto a tiempo.&amp;nbsp;&amp;nbsp;&amp;nbsp;&amp;nbsp;&amp;nbsp;&amp;nbsp;&amp;nbsp;&amp;nbsp;&amp;nbsp;&amp;nbsp;&amp;nbsp;&amp;nbsp;&amp;nbsp;&amp;nbsp;&amp;nbsp;&amp;nbsp;Junio-Diciembre de 2025:&amp;nbsp;</t>
  </si>
  <si>
    <t>52533799</t>
  </si>
  <si>
    <t>Claudia Marcela Quintero Rodriguez</t>
  </si>
  <si>
    <t>Gerente de Cuenta Dirección General Bogotá - Antioquia</t>
  </si>
  <si>
    <t>1032421856</t>
  </si>
  <si>
    <t>Yuly Viviana Lopez Vargas</t>
  </si>
  <si>
    <t>MOVILIZACIÓN DE CRÉDITOS</t>
  </si>
  <si>
    <t>VISITAS PORTAFOLIO</t>
  </si>
  <si>
    <t>Realizar 216 visitas a contactos de Direcciones Generales de los intermediarios financieros asignados en el portafolio, durante el periodo comprendido entre el 01 de Enero de 2025 y el 31 de Diciembre de 2025.Calificación EquitativaMínimo el 90%.&amp;nbsp;Realizar 216 visitas o más obtendrá un puntaje de 100%.&amp;nbsp;Mínimo 173 visitas, realizar menos de 173&amp;nbsp;visitas obtendrá un puntaje de 0.&amp;nbsp;Se medirá de acuerdo a la tabla equitativa: donde al sacar un puntaje del 90% el puntaje será 90% y así hasta llegar a 100%.Evidencia: Correo electrónico de la analista de datos de la dirección de estrategiaPortafolio: El portafolio asignado y distribución del presupuesto para cada subdirección comercial de la Dirección General estará aprobado previamente por el Director Comercial a través de correo electrónico. La evidencia se encuentra en la ruta P:\Objetivos.&amp;nbsp;&amp;nbsp;&amp;nbsp;</t>
  </si>
  <si>
    <t xml:space="preserve">VISITAS </t>
  </si>
  <si>
    <t>Realizar&amp;nbsp;792 visitas a contactos de Direcciones Generales de la subdirección desde el 01 de Enero de 2025 hasta el 31 de Diciembre del 2025. Mínimo el 80%. Realizar 634 visitas o más obtendrá un puntaje de 100. Mínimo 634 visitas, realizar menos de 634 visitas obtendrá un puntaje de 0. Se medirá de acuerdo a la tabla equitativa: donde al sacar un puntaje del 80% el puntaje será 80% y así hasta llegar a 100%. Evidencia: Correo electrónico del área de experiencia o arquitectura de datos.Evidencia: Correo electrónico de la analista de datos de la dirección de estrategiaPortafolio: El portafolio asignado y distribución del presupuesto para cada subdirección comercial de la Dirección General estará aprobado previamente por el Director Comercial a través de correo electrónico. La evidencia se encuentra en la ruta P:\Objetivos</t>
  </si>
  <si>
    <t>NÚMERO DE CREDITOS GARANTIZADOS</t>
  </si>
  <si>
    <t>Lograr al 31 de Diciembre de 2025 un total de 800.000 en número de créditos garantizados entre los Intermediarios Financieros asignados a la Dirección Nacional de Intermediarios Financieros, durante el periodo comprendido entre el 01 de Enero de 2025 hasta el 31 de Diciembre del 2025.Calificación EquitativaMínimo el 90%.&amp;nbsp;Realizar 800.000 visitas o más obtendrá un puntaje de 100%.&amp;nbsp;Mínimo 725.000 visitas, realizar menos de 725.000&amp;nbsp;visitas obtendrá un puntaje de 0.&amp;nbsp;Se medirá de acuerdo a la tabla equitativa: donde al sacar un puntaje del 90% el puntaje será 90% y así hasta llegar a 100%.Evidencia: Correo electrónico de la analista de datos de la dirección de estrategia en la ruta P:\ObjetivosPortafolio: El portafolio asignado y distribución del presupuesto para cada subdirección comercial de la Dirección General estará aprobado previamente por el Director Comercial a través de correo electrónico. La evidencia se encuentra en la ruta P:\Objetivos.</t>
  </si>
  <si>
    <t>CAPACITACIONES NOVACIONES Y PRORROGAS</t>
  </si>
  <si>
    <t>Realizar capacitación de novaciones y prórrogas al 50% de los intermediarios financieros asignados con presupuesto entre el 01 de Enero de 2025 hasta el 31 de Diciembre del 2025.Mínimo el 50%. Realizar el 50% de las capacitaciones o más obtendrá un puntaje de 100. Mínimo capacitar al 50% de los intermediarios, realizar menos del 50% obtendrá un puntaje de 0. Se medirá de acuerdo a la tabla equitativa: donde al sacar un puntaje del 50% el puntaje será 50% y así hasta llegar a 100%.&amp;nbsp;Evidencia: Plan de cuenta de CRM con asunto Capacitación Novaciones y prórrogas, herramientas de normalización o similaresPortafolio: El portafolio asignado y distribución del presupuesto para cada subdirección comercial de la Dirección General estará aprobado previamente por el Director Comercial a través de correo electrónico. La evidencia se encuentra en la ruta P:\Objetivos.</t>
  </si>
  <si>
    <t>1024532381</t>
  </si>
  <si>
    <t>Cristian Camilo Herrera Cascavita</t>
  </si>
  <si>
    <t>Profesional de Caja y Bancos</t>
  </si>
  <si>
    <t>Lograr al 31 de diciembre de 2025, el cumplimiento del porcentaje establecido como meta para los indicadores relacionados a continuación, los cuales integran el Índice de Eficiencia Operativa - IEO para la Dirección de Tesorería así:&amp;nbsp;&amp;nbsp;GESTION PARTIDAS CONCILIATORIAS: Meta 95%Evaluación: de acuerdo con la siguiente tabla métrica, con base en el porcentaje de cumplimiento de cada indicador:&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Gestión Partidas conciliatorias&amp;gt;=95,00% = 100%entre el 84,99% y el 94,99% = 70%&amp;lt; 84,98% = 0%&amp;nbsp;&amp;nbsp;&amp;nbsp;&amp;nbsp;&amp;nbsp;&amp;nbsp;&amp;nbsp;&amp;nbsp;&amp;nbsp;&amp;nbsp;&amp;nbsp;&amp;nbsp;&amp;nbsp;&amp;nbsp;&amp;nbsp;&amp;nbsp;&amp;nbsp;&amp;nbsp;&amp;nbsp;&amp;nbsp;&amp;nbsp;&amp;nbsp;&amp;nbsp;&amp;nbsp;&amp;nbsp;&amp;nbsp;&amp;nbsp;&amp;nbsp;&amp;nbsp;CRITERIO DE MEDICION:El objetivo será calificable de acuerdo con la tabla métrica.ENTREGABLES / EVIDENCIA: Resultado de los indicadores, publicados en Isolución.</t>
  </si>
  <si>
    <t>Indicador de anulaciones</t>
  </si>
  <si>
    <t>Obtener al 31 de diciembre de 2025 un porcentaje de anulaciones inferior o igual al 0,5%, sobre los documentos contabilizados por concepto de Ingresos, notas debito, notas credito, traslados y pagos automáticos para el FNG y Mandatos,a partir del 1 de enero hasta el 31 de diciembre de 2025.EVALUACION: Se realizara el descargue de los documentos contabilizados (FNG y Mandatos) / sobre el total de los documentos de anulacion ZM, si la calificacion&amp;nbsp;es inferior o igual a 0,5%, cumple con el objetivo, si es superior a este no cumple.EVIDENCIA:Archivo en excel descargado por el sudirector de tesoreria validando cada uno de la clase de documento a tener en cuenta para calcular dicho porcentaje. Las evidencias se guardarán en la carpeta de público designada para tal fin.</t>
  </si>
  <si>
    <t>A 30 de septiembre de 2025 actualizar el 100% de los documentos propios de la Dirección de Tesorería y vigentes a esa fecha de corte.&amp;nbsp;CRITERIO DE MEDICION:El objetivo será calificable en forma proporcional al número de documentos actualizados, a partir de un cumplimiento del 95%, donde 94,99% equivale a 0 puntos.ENTREGABLES / EVIDENCIA: Documentos actualizados en ISOlución&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t>
  </si>
  <si>
    <t>Elaboracion cartas para pagos de la tesoreria</t>
  </si>
  <si>
    <t>Realizar a 30 de septiembre de 2025 una herramienta ofimatica que permita elaborar las cartas de forma automática, correspondientes a pagos y traslados en los diferentes intermediarios financieros que así lo requieran, de acuerdo con los flujos de pago y traslados remitidos por el Departamento de Inversiones.EVALUACIÓN: Cumple o no cumpleEVIDENCIA: Entrega de la herramienta ofimatica a través de un correo electrónico al subdirector de tesorería informando la ruta en la cual queda:•	La herramienta&amp;nbsp;•	Pruebas realizadas•	Actualización de la documentación y publicación en Isolucion.</t>
  </si>
  <si>
    <t>Clasificacion soportes Sistema de Gestion Documental - Mercurio</t>
  </si>
  <si>
    <t>A partir del 1 de Enero de 2025 finalizar máximo a los 4 días habiles, los flujos de pago en la herramienta Mercurio, realizados durante la semana , en caso de presentarse alguna novedad debe informar mediente correo eletrconico al Subdirector de Tesoreria la causa que origina el retraso.&amp;nbsp;EVALUACIÓN: Este objetivo sera evaluado de forma semanal de acuerdo con el reporte que se genera en Mercurio contra el consolidado de pagos diarios. Será calificable a partir del 95% de acuerdo con la siguiente tabla métrica:&amp;nbsp;&amp;gt;=95 % = 100%&amp;lt; 94.99 % = 0%&amp;nbsp;&amp;nbsp;&amp;nbsp;EVIDENCIA: Reportes generados hasta el 31 de diciembre de 2025.</t>
  </si>
  <si>
    <t>Realizar a 30 de septiembre de 2025 la entrega del instructivo donde describa cada uno de los&amp;nbsp;tipos de pagos que se realizan en la Dirección de Tesorería. (Proveedores - Nómina - Garantias - Devolucion de Comisiones - Servicios Publicos - Desembolso Credito Funcionarios - Vacaciones - Impuestos, etc). Este documento reemplazará el procedimiento PD-GFN-038 Control de Egresos.EVALUACIÓN: Cumple o no cumpleEVIDENCIA: Publicación del documento en Isolucion o aplicativo vigente.&amp;nbsp;Las evidencias se guardarán en la carpeta de público designada para tal fin.</t>
  </si>
  <si>
    <t>1233492934</t>
  </si>
  <si>
    <t>Cristian Camilo Montoya Gonzalez</t>
  </si>
  <si>
    <t>Dirección de Contabilidad y Presupuesto</t>
  </si>
  <si>
    <t>Profesional de Gestión Contable</t>
  </si>
  <si>
    <t>22515983</t>
  </si>
  <si>
    <t>Marilyn Del Carmen Avendaño Armenta</t>
  </si>
  <si>
    <t>Matriz de insumos</t>
  </si>
  <si>
    <t>Realizar actualización de matriz de insumos y productos contables en los meses de julio y noviembre del año 2025,se deberán enviar dentro de los cinco días hábiles siguientes de la transmisión de los estados financieros.</t>
  </si>
  <si>
    <t xml:space="preserve">Actualizacion de Planillas Mensuales </t>
  </si>
  <si>
    <t>Realizar las planillas de las cuentas contables de enero a noviembre de 2025 deben quedar elaboradas el día 10 del mes siguiente al corte o el día hábil siguiente si este es fin de semana o festivo.INDICADOR(Cantidad de planillas realizadas dentro del plazo establecido / Total de planillas en el año)ENTREGABLESCorreo al subdirector o director de contabilidad, evidenciando el cumplimiento de la generación de las planillas contables.&amp;nbsp;&amp;nbsp;&amp;nbsp;&amp;nbsp;EVIDENCIAP:\Objetivos\2025\Dirección de Contabilidad y Presupuesto\Cristian Camilo Montoya González</t>
  </si>
  <si>
    <t xml:space="preserve">Validación mensual de asignación y texto </t>
  </si>
  <si>
    <t>Realizar revisión mensual&amp;nbsp;de los campos de asignación y texto de los documentos contables, validando que se encuentren diligenciados. Los meses de enero a abril del año 2025 se deberán enviar máximo el 30 junio, los meses de junio a noviembre&amp;nbsp;dentro de los cinco días hábiles siguientes de la transmisión de los estados financieros.&amp;nbsp;INDICADOR(Cantidad de informes realizados dentro del plazo establecido / Total de informes en el año)ENTREGABLES﻿ 1. Correo al subdirector o director de contabilidad indicando la finalización de la tarea&amp;nbsp;y&amp;nbsp;la ruta en donde se dispuso el informe.2. Correos de solicitud de explicaciones a las áreas, en caso de requerirse.EVIDENCIAP:\Objetivos\2025\Dirección de Contabilidad y Presupuesto\Cristian Camilo Montoya González</t>
  </si>
  <si>
    <t xml:space="preserve">Validación mensual consecutivo de documentos </t>
  </si>
  <si>
    <t>Realizar revisión mensual&amp;nbsp;de consecutivos de documentos&amp;nbsp;contables, validando que no se salten los consecutivos. Los meses de enero a mayo del año 2025 se deberán enviar máximo el 30 junio, los meses de junio a noviembre&amp;nbsp;dentro de los cinco días hábiles siguientes de la transmisión de los estados financieros.&amp;nbsp;INDICADOR(Cantidad de informes realizados dentro del plazo establecido / Total de informes en el año)ENTREGABLES﻿ 1. Correo al subdirector o director de contabilidad indicando la finalización de la tarea&amp;nbsp;y&amp;nbsp;la ruta en donde se dispuso el informe.2. Correos de solicitud de explicaciones a las áreas , en caso de requerirse.EVIDENCIAP:\Objetivos\2025\Dirección de Contabilidad y Presupuesto\Cristian Camilo Montoya González</t>
  </si>
  <si>
    <t>Transmisión del PUC financiero mensual a la SFC</t>
  </si>
  <si>
    <t>Realizar el cierre y la transmisión del PUC financiero mensual a la SFC un día hábil antes del vencimiento del plazo formal para transmitir, iniciando con la transmisión a realizarse en el mes de enero de 2025 hasta la transmisión a realizarse en el mes de diciembre de 2025.INDICADOR(Cantidad de informes reportados con un día de antelación al vencimiento legal / Total de reportes en el año)&amp;nbsp;ENTREGABLES﻿Se evaluará por cada mes con el cumplimiento del Calendario Financiero 2025.EVIDENCIAP:\Objetivos\2025\Dirección de Contabilidad y Presupuesto\Cristian Camilo Montoya González</t>
  </si>
  <si>
    <t>Reporte registro Facturas radicadas en Contabilidad.</t>
  </si>
  <si>
    <t>Realizar el registro contable de las cuentas por pagar correspondientes a los bienes y servicios adquiridos por el FNG, dentro de un plazo máximo de dos (2) días hábiles siguientes a su radicación en el departamento de contabilidad, a través del sistema de gestión documental. Para las facturas radicadas después del día 25 de cada mes, el registro contable deberá efectuarse en un plazo máximo de cuatro (4) días hábiles, sin exceder los cuatro (4) primeros días hábiles del mes siguiente.Durante las&amp;nbsp;vacaciones del otro funcionario que realiza cuentas por pagar, el plazo máximo será de 3 días hábiles.El cumplimiento de este objetivo se medirá del 1 de enero al 15 de diciembre, tomando como referencia las fechas registradas en el sistema de gestión documental: la fecha de entrada a la etapa 4 (Contabilidad) y la fecha de salida correspondiente al envío a la siguiente etapa posterior al registro contable.INDICADOR(Cantidad de flujos gestionados en los tiempos establecidos/ Total de flujos asignados)ENTREGABLESInforme de cumplimiento generado por el aplicativo mercurioEVIDENCIAP:\Objetivos\2025\Dirección de Contabilidad y Presupuesto\Cristian Camilo Montoya González</t>
  </si>
  <si>
    <t>A 31 diciembre de 2025 lograr como mínimo el cumplimiento del 90% de las acciones formuladas durante la vigencia en los planes de acción y mejoramiento relacionados con las auditorias realizadas por la OCI, SFC, Revisoria Fiscal y CGR en las actividades relacionadas con la Dirección de Contabilidad y Presupuesto.INDICADORCantidad de actividades de planes de mejoramiento cumplidas (# acciones ejecutadas) / # total de acciones incluidas en los planes a ser ejecutados al 31/12/2025ENTREGABLESCorreo electrónico enviado en el cual se informe a la Oficina de control Interno - OCI el cumplimiento de la acción, la modificación de fecha o entregable acordado, a estos correos deben adjuntarse los soporte de evidencias que correspondan en cada caso.EVIDENCIAP:\Objetivos\2025\Dirección de Contabilidad y Presupuesto\Cristian Camilo Montoya González</t>
  </si>
  <si>
    <t>Mejora en la precisión del registro contable de CxP</t>
  </si>
  <si>
    <t>Mitigar las anulaciones generadas por errores atribuibles directamente al funcionario. No se considerarán aquella anulaciones originadas por causas externas, las cuales deberán estar debidamente justificadas mediante correo electrónico que respalde la anulación.El seguimiento de este objetivo se iniciará a partir del mes de junio. Se utilizará como insumo un reporte de anulaciones y uno de documentos elaborados por el funcionario, generados desde SAP,&amp;nbsp;este reporte deberá elaborarse y almacenarse en la carpeta de evidencias a más tardar el día 30 de cada mes posterior al cierre contable.&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Se establece un margen mensual máximo de anulaciones del 4% que se evaluará por cada mes. Se considera cumplido el mes si el resultado es ≤ 4%.FORMULA(Número de meses con cumplimiento /Total meses) x 100Métrica de calificación de la fórmula de medición:Cumplimiento 100% = 100%Cumplimiento &amp;lt;99% y ≥85% = 90%Cumplimiento &amp;lt;85% = 0%ENTREGABLESInformes mensuales en Excel y los correos de justificación correspondientes a cada una de las anulaciones excluidas.Los informes deben incluir: número total de pagos realizados en el mes, número total de anulaciones generadas, porcentaje de anulación, reporte de documentos elaborados y de anulaciones generadas desde SAP, clasificadas en internas (errores atribuibles al funcionario) y externas (justificadas con correo de respaldo).EVIDENCIA﻿P:\Objetivos\2025\Dirección de Contabilidad y Presupuesto\Cristian Camilo Montoya González"</t>
  </si>
  <si>
    <t>1010238319</t>
  </si>
  <si>
    <t>Daniela Rivera Joya</t>
  </si>
  <si>
    <t>Analista de Estructuracion y Gestión Empresarial</t>
  </si>
  <si>
    <t>Metodología de calidad productos</t>
  </si>
  <si>
    <t>Diseñar, antes del 31 de diciembre de 2025, una metodología para la revisión de la calidad de la parametrización del portafolio de productos vigentes, que permita establecer criterios claros y replicables de validación, con el fin de mejorar la consistencia en los procesos de control de calidad.Fórmula: El objetivo se cumple al 100 % con la ejecución de la totalidad de las actividades planteadas. Mínimo se debe cumplir con la ejecución del 80% de las actividades. Se medirá mediante tabla equitativa, en la cual alcanzar el 80% de las actividades representará un puntaje de 80 y así respectivamente. Menos del 80% de ejecución el puntaje será de 0Entregables: Cronograma de aplicación correspondiente y Documento con la descripción de la metodología.</t>
  </si>
  <si>
    <t>Automatización de Simuladores de comisión de Productos</t>
  </si>
  <si>
    <t>Diseñar e implementar un sistema que permita la automatización de los simuladores de comisión para todos los productos vigentes del FNG, al 31 de diciembre de 2025, con el fin de reducir en al menos un 50% el tiempo de respuesta a las solicitudes realizadas por las diferentes áreas a nivel interno.Fórmula: Tiempo promedio de respuesta actual - Tiempo promedio de respuesta posterior a la implementación / Tiempo promedio de respuesta actual × 100Entregables: Macro en Excel como prototipo funcional del simulador automatizado y su correspondiente Manual de usuario.</t>
  </si>
  <si>
    <t xml:space="preserve">Calidad de la parametrización </t>
  </si>
  <si>
    <t>Realizar, al 31 de diciembre de 2025, una revisión profunda y detallada de la parametrización en SAP de 18 productos activos del portafolio del FNG, con el fin de verificar su alineación con las condiciones establecidas en la documentación aplicable y asegurar su correcta parametrización.Fórmula: (Número de productos revisados/ Número de productos a revisar) ×100Entregable: 18 informes en Word por cada producto, con la verificación de la parametrización y su certificación de buena parametrización.</t>
  </si>
  <si>
    <t>Revisión portafolio de productos</t>
  </si>
  <si>
    <t>Realizar, al 31 de diciembre de 2025, una revisión detallada de 18 productos del portafolio del FNG para elaborar un análisis que permita determinar si se requiere su depuración o la definición de estrategias de mejora en comunicación y/o enfoque comercial.Fórmula: (Número de productos revisados y analizados / Número de productos a revisar) ×100Entregable: 18 informes en Word por cada producto con su análisis, conclusiones, recomendaciones y plan de trabajo, con aprobación del Director de estructuración, innovación y gestión empresarial.</t>
  </si>
  <si>
    <t>Director de Infraestructura Tecnológica</t>
  </si>
  <si>
    <t>30689073</t>
  </si>
  <si>
    <t>Katty Eljach Martinez</t>
  </si>
  <si>
    <t>Actualización de sistemas de video conferencia y comunicaciones</t>
  </si>
  <si>
    <t>Actualización Infraestructura On-Premise</t>
  </si>
  <si>
    <t>Actualización elementos tecnológicos mesa de dinero</t>
  </si>
  <si>
    <t>Modernización de infraestructura tecnológica y comunicaciones para soportar procesos de negocio</t>
  </si>
  <si>
    <t>1015467307</t>
  </si>
  <si>
    <t>Daniel Felipe Suarez Paez</t>
  </si>
  <si>
    <t>Profesional Senior de Garantías</t>
  </si>
  <si>
    <t>Automatización cuadro - Programación pago de Garantías</t>
  </si>
  <si>
    <t>Al 31/12/2025 Automatizar en Python/Excel la programación semanal para pago de garantías con el fin de mejorar los tiempos y evitar errores en la generación del cuadro de pagosIndicador: Cumple 100% / No cumple 0%&amp;nbsp;&amp;nbsp;Evidencia: Herramienta en Python</t>
  </si>
  <si>
    <t>Al 16 de junio del 2025 cursar y aprobar los cinco (5) módulos del curso de Inteligencia Artificial Generativa (IAGen): Fundamentos para la función pública de América Latina y el Caribe - Edición Colombia (BID).&amp;nbsp;Indicador: Cumple 100% / No cumple 0%&amp;nbsp;&amp;nbsp;Evidencia: Certificados de aprobación en la ruta O:\Objetivos\2025\Direccion de Operaciones</t>
  </si>
  <si>
    <t>Automatización Informe SFC - Saldos de cartera garantízada</t>
  </si>
  <si>
    <t>Al 30/09/2025 Automatizar en Python, el informe de la Superintendecia Financiera de saldos de Cartera con el fin de mejorar y facilitar la transmisión de la información a dicho ente de control.&amp;nbsp;Indicador: Cumple 100% / No cumple 0%&amp;nbsp;&amp;nbsp;Evidencia: Herramienta en Python</t>
  </si>
  <si>
    <t>En el 4Q de 2025Dictar y evaluar el módulo avanzado de la Universidad de la Garantía&amp;nbsp;INDICADOR:Cumple / No cumpleENTREGABLES / EVIDENCIA: Listado de asistencia y encuestas ubicadas en la Ruta:P:\Objetivos\2025\Direccion de Operaciones\</t>
  </si>
  <si>
    <t xml:space="preserve">Garantía Global Reclamación y recuperación de cartera </t>
  </si>
  <si>
    <t>A 31/08/25 realizar y certificar pruebas integrales de los servicios expuestos en el canal digital (Apertura de Cupo, Reserva, Registro Gtia tradicional, Regsitro Gtia Global, Cancelación de Reservas, Modificación Cupos ) una vez configurados en la plataforma Integration Suite , por parte de la VP de TD e innovaciónCRITERIOS DE MEDICIÓNEl objetivo será medible&amp;nbsp;así:Pruebas integrales a satisfacción: 100% - Cumple / no cumpleENTREGABLES / EVIDENCIALa evidencia de cumplimiento será el correo enviado a la Vp de Operaciones y/o Vp de TD e Innovación en el que se certifiquen las pruebas integrales realizadas</t>
  </si>
  <si>
    <t>Diseñar e incorporar al menos 2 recursos interactivos (digitales o físicos) en cada uno de los módulos que conforman los cursos básico y avanzado de la Universidad de la Garantía (Calidad de datos, liquidación de comisiones, devolución de comisiones, reclamación de garantía, garantía global y casos excepcionales), que serán dictados por funcionarios de la Dirección de Operaciones durante el año 2025&amp;nbsp;CRITERIO DE MEDICIÓN&amp;nbsp;Cumple o no cumpleENTREGABLES / EVIDENCIA- Documento donde se recopile el diseño de cada recurso con fotografías y/o pantallazos de las diferentes actividades, por módulo: Calidad de datos, liquidación de comisiones, devolución de comisiones, reclamación de garantía, garantía global y casos excepcionales. El documento deberá remitirse por correo electrónico a la Directora de Operaciones a más tardar el día&amp;nbsp;30 de noviembre de 2025.- Encuesta de satisfacción del curso</t>
  </si>
  <si>
    <t>A 30 de septiembre de 2025, generar o actualizar los 20 documentos asociados a la administración del esquema de garantía global (manual, procedimientos, instructivos, formatos), conforme al inventario y cronograma establecidos para tal finCRITERIO DE MEDICIÓNEl objetivo será evaluado en forma proporcional al número de documentos actualizados, siendo necesario un cumplimiento mínimo del 90%. Un cumplimiento inferior al 90%, es decir, 89,99% o menos, será calificado con 0 puntos.FÓRMULA DE CÁLCULO(Número de documentos actualizados / 20) * 100ENTREGABLES / EVIDENCIADocumentos actualizados y aprobados en el aplicativo ISOlución o el aplicativo vigente a la fecha de cargue</t>
  </si>
  <si>
    <t>Vicepresidencia Jurídica</t>
  </si>
  <si>
    <t>Vicepresidente Jurídico</t>
  </si>
  <si>
    <t xml:space="preserve">4.	PROPUESTA DE VALOR EN LOS TIEMPOS DE RESPUESTA EN LA REVISIÓN Y ELABORACIÓN DE LOS INSTRUMENTOS CONTRACTUALES “CORE DE NEGOCIO” EXCEPTUADOS DEL MANUAL DE CONTRATACIÓN </t>
  </si>
  <si>
    <t>3.	ESTUDIO DE FACTABILIDAD Y VIABILIDAD DEL PAGO DE GARANTIAS SIN MANDAMIENTO DE PAGO</t>
  </si>
  <si>
    <t xml:space="preserve">5.	PLAN DE FORMACIÓN MARCARIO INSTITUCIONAL </t>
  </si>
  <si>
    <t>1.	PRESUPUESTO DE INGRESOS POR RECUPERACIÓN DE CARTERA</t>
  </si>
  <si>
    <t>2.	DIAGNÓSTICO DE LA GESTIÓN DE COBRANZA POR LOS FRG</t>
  </si>
  <si>
    <t>1015448240</t>
  </si>
  <si>
    <t>Daniel Nicolas Aleman Bernal</t>
  </si>
  <si>
    <t>Profesional de Gestión Jurídica del Negocio</t>
  </si>
  <si>
    <t>1075628724</t>
  </si>
  <si>
    <t>Natalia Andrea Perez Mancera</t>
  </si>
  <si>
    <t>Ruta Legal</t>
  </si>
  <si>
    <t>OBJETIVO: Diseñar e implementar, a 31 de octubre de 2025, un recorrido de atención legal, que permita mapear y optimizar la experiencia de las áreas del FNG frente a la atención de sus consultas legales. Se propiciaran espacios de consulta y/o mesas de trabajo con las diferentes dependencias del FNG, que buscará identificar puntos de fricción, oportunidades de mejora y momentos clave de valor en la interacción jurídica, con el fin de abordar proactivamente las inquietudes jurídicas de manera clara, oportuna y alineada con la misión institucional; visibilizar el rol estratégico de la Dirección Jurídica como aliada en la toma de decisiones; incorporar criterios de priorización, complejidad y urgencia que permitan ajustar los tiempos de respuesta bajo un enfoque de servicio con ANS.La ruta legal contendrá varias etapas, incluyendo una franja mensual destinada a la atención y resolución de consultas jurídicas formuladas por las distintas áreas del FNG, con el fin de abordar de manera oportuna las inquietudes relacionadas con el objeto social y funcionamiento del FNG. Así mismo, la ruta legal se apoyará en datos que sean recopilados en los espacios de consulta y/o mesas de trabajo, así como en la retroalimentación continua de las diferentes áreas (cliente interno) para fortalecer el relacionamiento, identificar patrones de consulta y anticipar necesidades.ENTREGABLES: ·&amp;nbsp;&amp;nbsp;&amp;nbsp;&amp;nbsp;&amp;nbsp;&amp;nbsp;Etapa 1:Al 31 de julio de 2025, realizar mesas de trabajo con las diferentes áreas del FNG, las cuales se han identificado como consultantes recurrentes en la Dirección Jurídica. Peso 30%&amp;nbsp;·&amp;nbsp;&amp;nbsp;&amp;nbsp;&amp;nbsp;&amp;nbsp;&amp;nbsp;Etapa 2:Al 30 de septiembre de 2025, presentar a la Vicepresidencia Jurídica un borrador de modelo de atención al cliente, teniendo en cuenta el insumo recolectado en las mesas de trabajo.&amp;nbsp;Peso: 30%&amp;nbsp;·&amp;nbsp;&amp;nbsp;&amp;nbsp;&amp;nbsp;&amp;nbsp;&amp;nbsp;Etapa 3: Al 31 de octubre, presentar la documentación que soporte la versión final ruta legal, debidamente aprobada por la Vicepresidencia Jurídica, el cual será formalizado en la Plataforma ISolución, y socializado con las diferentes áreas para su correcta aplicación y ejecución. Peso: 40%&amp;nbsp;EVIDENCIAS DE CUMPLIMIENTO:1.&amp;nbsp;&amp;nbsp;&amp;nbsp;&amp;nbsp;Evidencia soporte reuniones de mesas de trabajo, con las conclusiones de cada sesión de las mesas de trabajo.2.&amp;nbsp;&amp;nbsp;&amp;nbsp;&amp;nbsp;Correo electrónico con la evidencia de la entrega del borrador de modelo 3.&amp;nbsp;&amp;nbsp;&amp;nbsp;&amp;nbsp;Soporte documental de la versión final del proceso de modelo de atención al cliente / ruta legal.&amp;nbsp;EVALUACIÓN:El porcentaje de cumplimiento del objetivo será la sumatoria del peso asignado a cada hito/etapa, que se cumpla al 100%. Los soportes se resguardarán en la siguiente ruta: P:\Objetivos\2025\Direccion Juridica\Daniel Aleman</t>
  </si>
  <si>
    <t>OBJETIVO: Realizar al 30 de noviembre de 2025, un ejercicio de exploración e innovación en los departamentos legales de entidades financieras, que podrán ser intermediarios financieros vinculados al FNG, mediante visitas presenciales, o reuniones virtuales, con el fin de identificar, analizar y documentar las mejores prácticas de innovación legal, que podrán incluir el uso de herramientas de tecnología aplicadas al desarrollo y ejecución de su objeto social y/o cumplimiento de obligaciones dado su rol en el sistema financiero. A partir de este análisis, se busca evaluar su viabilidad al interior del FNG y diseñar una hoja de ruta que permita identificar aquellas prácticas que puedan resultar aplicables en la VP Jurídica. ENTREGABLES:-&amp;nbsp;&amp;nbsp;&amp;nbsp;&amp;nbsp;&amp;nbsp;&amp;nbsp;&amp;nbsp;&amp;nbsp;&amp;nbsp;Etapa 1.Al 31 de julio de 2025, presentar a la Vicepresidencia Jurídica una base de datos en formato Excel que contenga el cronograma de entidades con las cuales se llevará a cabo el ejercicio de exploración e innovación en sus Departamentos legales durante el segundo semestre de 2025. &amp;nbsp;-&amp;nbsp;&amp;nbsp;&amp;nbsp;&amp;nbsp;&amp;nbsp;&amp;nbsp;&amp;nbsp;&amp;nbsp;&amp;nbsp;Etapa 2. Al 01 de septiembre de 2025, presentar a la Vicepresidencia Jurídica una base de datos en formato Excel que contenga un resumen de las visitas realizadas a la fecha, incluyendo: &amp;nbsp;·&amp;nbsp;&amp;nbsp;&amp;nbsp;&amp;nbsp;&amp;nbsp;&amp;nbsp;Nombre de la entidad financiera·&amp;nbsp;&amp;nbsp;&amp;nbsp;&amp;nbsp;&amp;nbsp;&amp;nbsp;Persona que la atendió·&amp;nbsp;&amp;nbsp;&amp;nbsp;&amp;nbsp;&amp;nbsp;&amp;nbsp;Descripción de las herramientas innovadoras y/o tecnológicas observadas.·&amp;nbsp;&amp;nbsp;&amp;nbsp;&amp;nbsp;&amp;nbsp;&amp;nbsp;Establecer los beneficios que representaría su adopción para la gestión jurídica. ·&amp;nbsp;&amp;nbsp;&amp;nbsp;&amp;nbsp;&amp;nbsp;&amp;nbsp;Identificar los principales retos técnicos, jurídicos, financieros y operativos.·&amp;nbsp;&amp;nbsp;&amp;nbsp;&amp;nbsp;&amp;nbsp;&amp;nbsp;Posibilidad de aplicación en la VP Jurídica &amp;nbsp;-&amp;nbsp;&amp;nbsp;&amp;nbsp;&amp;nbsp;&amp;nbsp;&amp;nbsp;&amp;nbsp;&amp;nbsp;&amp;nbsp;Etapa 3.Al 30 de noviembre de 2025, presentar a la Vicepresidencia Jurídica un informe final en formato Word que, con base en las visitas realizadas a dicho corte, donde se identifique y analice las herramientas tecnológicas observadas, evaluando su aplicabilidad en el entorno jurídico del FNG. En todo caso, el informe final deberá contener, además de los criterios establecidos en la etapa 2:&amp;nbsp;·&amp;nbsp;&amp;nbsp;&amp;nbsp;&amp;nbsp;&amp;nbsp;&amp;nbsp;La priorización de aquellas herramientas con mayor potencial de implementación.·&amp;nbsp;&amp;nbsp;&amp;nbsp;&amp;nbsp;&amp;nbsp;&amp;nbsp;Incluir recomendaciones estratégicas para su adopción futura. EVIDENCIAS DE CUMPLIMIENTO:·&amp;nbsp;&amp;nbsp;&amp;nbsp;&amp;nbsp;&amp;nbsp;&amp;nbsp;Base de datos en formato Excel.·&amp;nbsp;&amp;nbsp;&amp;nbsp;&amp;nbsp;&amp;nbsp;&amp;nbsp;Informe en formato Word. ·&amp;nbsp;&amp;nbsp;&amp;nbsp;&amp;nbsp;&amp;nbsp;&amp;nbsp;El soporte de la presentación de cada etapa será la remisión de un correo electrónico dirigido al VP jurídico.EVALUACIÓN:El porcentaje de cumplimiento del objetivo será el cumplimiento de las 3 etapas, lo cual dará una calificación del 100% En caso de depender de factores o actores externos ajenos a la Dirección Jurídica, tales como disponibilidad de las entidades financieros, acceso a información confidencial, o restricciones operativas, dichos aspectos deberán ser documentados en el informe final. Se entenderá cumplido la etapa/hito si la Dirección Jurídica lo justifica debidamente en los informes. Los soportes se resguardarán en la siguiente ruta: P:\Objetivos\2025\Direccion Juridica\Daniel Aleman</t>
  </si>
  <si>
    <t>Visualización Grafica del Producto de Garantía Global</t>
  </si>
  <si>
    <t>OBJETIVO: Durante al año 2025 diseñar y desarrollar de forma gráfica el procedimiento del producto de Garantía Global de conformidad con lo establecido en el Reglamento de Garantía Global y sus anexos. Esta herramienta deberá facilitar la comprensión del producto de garantía por parte de las diferentes áreas del FNG y contribuir a la optimización de los tiempos de respuesta a las consultas emitidas a la Subdirección de Gestión Jurídica del Negocio.El cumplimiento será evaluado según la aprobación en tiempo y forma de ambos entregables, garantizando la claridad y pertinencia. ENTREGABLES:-&amp;nbsp;&amp;nbsp;&amp;nbsp;&amp;nbsp;&amp;nbsp;&amp;nbsp;&amp;nbsp;A 30 de septiembre de 2025 tener aprobado por parte de la Subdirección de Gestión Jurídica del Negocio mediante correo electrónico la estructura del procedimiento. Peso 50%-&amp;nbsp;&amp;nbsp;&amp;nbsp;&amp;nbsp;&amp;nbsp;&amp;nbsp;&amp;nbsp;A 30 de noviembre de 2025 tener aprobado por parte de la Subdirección de Gestión Jurídica del Negocio mediante correo electrónico la versión final del procedimiento del producto de Garantía Global representado de forma gráfica. Peso 50%EVIDENCIAS DEL CUMPLIMIENTO:-&amp;nbsp;&amp;nbsp;&amp;nbsp;&amp;nbsp;&amp;nbsp;&amp;nbsp;&amp;nbsp;Aprobación de la estructura del producto por parte de la Subdirección de gestión jurídica del Negocio.-&amp;nbsp;&amp;nbsp;&amp;nbsp;&amp;nbsp;&amp;nbsp;&amp;nbsp;&amp;nbsp;Aprobación de la versión final del procedimiento del producto de Garantía Global representado de forma gráfica por parte de la Subdirección de gestión jurídica del Negocio.-&amp;nbsp;&amp;nbsp;&amp;nbsp;&amp;nbsp;&amp;nbsp;&amp;nbsp;&amp;nbsp;Procedimiento del producto de Garantía Global representado de forma gráfica.EVALUACIÓN:-&amp;nbsp;&amp;nbsp;&amp;nbsp;&amp;nbsp;&amp;nbsp;&amp;nbsp;&amp;nbsp;El porcentaje de cumplimiento del objetivo será la sumatoria del peso asignado a cada hito/etapa, que se cumpla al 100%. Los soportes se resguardarán en la siguiente ruta: P:\Objetivos\2025\Direccion Juridica\Daniel Aleman</t>
  </si>
  <si>
    <t xml:space="preserve">Plan de formación marcario institucional </t>
  </si>
  <si>
    <t>OBJETIVO: Desarrollar durante el año 2025 una campaña de formalización institucional en el FNG que facilite el uso de las marcas institucionales que gozan de registro y protección marcaria por parte de la Superintendencia de Industria y Comercio y así permita contribuir con el objeto de posicionamiento de marca del FNG en el mercado local. &amp;nbsp;ENTREGABLES: Este objetivo tendrá los siguientes hitos y entregables: 1.&amp;nbsp;&amp;nbsp;&amp;nbsp;&amp;nbsp;Al 30 de junio de 2025 realizar un levantamiento de Inventario de Marcas registradas y las que se encuentran en proceso de registro marcario por parte del FNG ante la SIC.&amp;nbsp;Peso 10%2.&amp;nbsp;&amp;nbsp;&amp;nbsp;&amp;nbsp;Al 30 de julio de 2025 se deber realizar una presentación ante el Comité Directivo del FNG del Inventario realizado. Peso 20%.3.&amp;nbsp;&amp;nbsp;&amp;nbsp;&amp;nbsp;Al 30 de agosto de 2025 se deberá realizar una capacitación Interna dirigida a la Vicepresidencia Ejecutiva y la Vicepresidencia Comercial, que tendrá como objetivo sensibilizar a los colaboradores sobre la relevancia de las marcas y lemas comerciales en el contexto actual, los riesgos asociados a su uso inadecuado o desuso, y las recomendaciones específicas para su correcta aplicación. Peso 20% 4.&amp;nbsp;&amp;nbsp;&amp;nbsp;&amp;nbsp;Entre el 1º de septiembre al 31 de diciembre, realizar un informe mensual de monitoreo del uso de la marca en redes sociales y página web. Peso 20% 5.&amp;nbsp;&amp;nbsp;&amp;nbsp;&amp;nbsp;Al 30 de noviembre realizar una presentación al Comité Directivo del FNG sobre el reporte de uso de las marcas registradas y emitir recomendaciones. Peso 10% 6.&amp;nbsp;&amp;nbsp;&amp;nbsp;&amp;nbsp;Entre los meses de septiembre a diciembre, realizar una socialización mensual en pantallas del FNG y/o en la intranet que tenga por objetivo sensibilizar a las áreas sobre la importancia del uso de las marcas registradas en el FNG. Peso 20%&amp;nbsp;EVIDENCIAS DE CUMPLIMIENTO: Lo siguiente serán las evidencias de cumplimiento: 1.&amp;nbsp;&amp;nbsp;&amp;nbsp;&amp;nbsp;Inventario presentado al Vicepresidente Jurídico por parte del Director Jurídico y/o la Subdirección Jurídica del Negocio 2.&amp;nbsp;&amp;nbsp;&amp;nbsp;&amp;nbsp;Acta del Comité Directivo donde conste la presentación del inventario3.&amp;nbsp;&amp;nbsp;&amp;nbsp;&amp;nbsp;Evidencia del proceso de capacitación a las áreas. 4.&amp;nbsp;&amp;nbsp;&amp;nbsp;&amp;nbsp;Informe mensual de monitoreo presentado al Vicepresidente Jurídico por parte del Director Jurídico y/o la Subdirección Jurídica del Negocio vía correo electrónico. 5.&amp;nbsp;&amp;nbsp;&amp;nbsp;&amp;nbsp;Acta del Comité Directivo donde se evidencie el reporte del uso de las marcas del FNG6.&amp;nbsp;&amp;nbsp;&amp;nbsp;&amp;nbsp;Las evidencias fotográficas con fecha de las campañas de sensibilización mensual. Informe remitido por el Jurídico por parte del Director Jurídico y/o la Subdirección Jurídica del Negocio al Vicepresidente Jurídico.&amp;nbsp;EVALUACIÓN: &amp;nbsp;el porcentaje de cumplimiento del objetivo será la sumatoria del peso asignado a cada hito, que se cumpla al 100%. El entregable No. 4 (informe mensual de monitoreo), tendrá un peso del 5% por cada mes de reporte. El entregable No. 6 (sensibilización a las áreas en pantallas e intranet) tendrá un peso del 5% sobre cada mes de socialización. &amp;nbsp;Los soportes se resguardarán en la siguiente ruta: P:\Objetivos\2025\Direccion Juridica\Daniel Aleman</t>
  </si>
  <si>
    <t xml:space="preserve">Plataforma digital de gestión jurídica (Modulo de Aranda) </t>
  </si>
  <si>
    <t>OBJETIVO: Diseñar e implementar, en articulación con el área de Tecnología, un módulo de gestión jurídica interna dentro de la plataforma “Aranda” que permita el registro, seguimiento en tiempo real y trazabilidad de las solicitudes jurídicas presentadas por las áreas del FNG (cliente interno en materia de solicitudes de créditos y atención al área comercial) a la Dirección Jurídica, incorporando, entre otros, mecanismos de control de ANS en la atención a las respuestas, visualización de carga operativa, justificación de demoras y generación de reportes ejecutivos diferenciados por área solicitante, con acceso especial para usuarios solicitantes, responsables jurídicos y directivos de cada área. El módulo de aranda deberá estar al 6 de octubre de 2025.ENTREGABLES:-&amp;nbsp;&amp;nbsp;&amp;nbsp;&amp;nbsp;&amp;nbsp;&amp;nbsp;&amp;nbsp;&amp;nbsp;&amp;nbsp;Etapa 1:Al 21 de julio de 2025, presentar a la Vicepresidencia Jurídica el documento de requerimientos funcionales, flujos de proceso, formatos estandarizados de las solicitudes con un lenguaje amigable transformando la experiencia de las diferentes áreas al momento de solicitar los servicios jurídicos.&amp;nbsp;Peso: 45%-&amp;nbsp;&amp;nbsp;&amp;nbsp;&amp;nbsp;&amp;nbsp;&amp;nbsp;&amp;nbsp;&amp;nbsp;&amp;nbsp;Etapa 2:Al 4 de agosto de 2025 entregar al área de Tecnología el proyecto completo con la información requerida, para implementar la función/módulo de gestión jurídica interna en la plataforma Aranda. Peso: 45%-&amp;nbsp;&amp;nbsp;&amp;nbsp;&amp;nbsp;&amp;nbsp;&amp;nbsp;&amp;nbsp;&amp;nbsp;&amp;nbsp;Etapa 3A 6 de octubre de 2025, realizar el correspondiente lanzamiento del módulo jurídico en la plataforma Aranda para uso institucional. Peso: 10%El cumplimiento del cronograma e implementación total del módulo depende de la disponibilidad técnica y priorización de recursos por parte del área de Tecnología. EVIDENCIAS DE CUMPLIMIENTO:-&amp;nbsp;&amp;nbsp;&amp;nbsp;&amp;nbsp;&amp;nbsp;&amp;nbsp;&amp;nbsp;&amp;nbsp;&amp;nbsp;Actas mesas de trabajo-&amp;nbsp;&amp;nbsp;&amp;nbsp;&amp;nbsp;&amp;nbsp;&amp;nbsp;&amp;nbsp;&amp;nbsp;&amp;nbsp;Documento de requerimientos funcionales -&amp;nbsp;&amp;nbsp;&amp;nbsp;&amp;nbsp;&amp;nbsp;&amp;nbsp;&amp;nbsp;&amp;nbsp;&amp;nbsp;Flujos de proceso-&amp;nbsp;&amp;nbsp;&amp;nbsp;&amp;nbsp;&amp;nbsp;&amp;nbsp;&amp;nbsp;&amp;nbsp;&amp;nbsp;Formatos estandarizados de las solicitudes-&amp;nbsp;&amp;nbsp;&amp;nbsp;&amp;nbsp;&amp;nbsp;&amp;nbsp;&amp;nbsp;&amp;nbsp;&amp;nbsp;Cronograma y plan de desarrollo concertado por la Dirección Jurídica y el área de Tecnología-&amp;nbsp;&amp;nbsp;&amp;nbsp;&amp;nbsp;&amp;nbsp;&amp;nbsp;&amp;nbsp;&amp;nbsp;&amp;nbsp;Documento de historia de usuario &amp;nbsp;EVALUACIÓN:El porcentaje de cumplimiento del objetivo será la sumatoria del peso asignado a cada hito/etapa, que se cumpla al 100%. En caso de depender del área de Tecnología para etapas críticas, se aceptará como cumplido el hito si la Dirección Jurídica entrega oportunamente los insumos, hace seguimiento formal y evidencia la gestión, aun si la ejecución técnica se encuentra en curso por causas ajenas a la Dirección. El objetivo se cumplirá con la sumatoria de mínimo el 90%.Los soportes se resguardarán en la siguiente ruta: P:\Objetivos\2025\Direccion Juridica\Daniel Aleman</t>
  </si>
  <si>
    <t>Sistema de Control de Gestión Contractual</t>
  </si>
  <si>
    <t>OBJETIVO: Durante la vigencia 2025, diseñar e implementar una metodología de control y seguimiento de contratos, empleando la herramienta Power BI. Esta incluirá funciones básicas de automatización, con alertas predictivas y análisis de cumplimiento. El propósito de la herramienta consiste en fortalecer la supervisión de la ejecución contractual de los contratos del Core del Negocio, bajo la supervisión de la Subdirección de Gestión Jurídica del Negocio y la Dirección Jurídica.ENTREGABLES:-&amp;nbsp;&amp;nbsp;&amp;nbsp;&amp;nbsp;&amp;nbsp;&amp;nbsp;&amp;nbsp;A 15 de Julio de 2025, presentarle a la Subdirección de Gestión Jurídica del Negocio mediante correo electrónico la matriz que contiene los contratos vigentes y en ejecución bajo la supervisión de dicha subdirección. Que contiene el nombre del proveedor, número de contrato, objeto del contrato, fecha de suscripción, fecha de inicio y de finalización, valor del contrato, números de otrosí, información otrosí, valor adicional del contrato, valor total del contrato, número de CDP, número de vigencia futura, fechas de pólizas, fecha aprobación de pólizas, forma de pago, modalidad de pago, fecha terminación contrato, acta de terminación del contrato (cuando aplique), pagos pendientes, estado del contrato, valor por ejecutar, pagos realizados, documentos pendientes, observaciones. Peso 50%&amp;nbsp;-&amp;nbsp;&amp;nbsp;&amp;nbsp;&amp;nbsp;&amp;nbsp;&amp;nbsp;&amp;nbsp;A partir del 31 de agosto y hasta el 30 de diciembre de 2025, presentarle a la Subdirección de Gestión Jurídica del Negocio mediante correo electrónico un informe donde se indique el estado de los contratos, el cual contendrá como mínimo la siguiente información: nombre del proveedor, número de contrato, fecha de inicio y de finalización, valor del contrato, fechas de pólizas, fecha aprobación de pólizas, forma de pago, modalidad de pago, fecha terminación contrato, pagos pendientes, estado del contrato, valor por ejecutar, pagos realizados, documentos pendientes, observaciones. Peso 50%EVIDENCIAS DE CUMPLIMIENTO:-&amp;nbsp;&amp;nbsp;&amp;nbsp;&amp;nbsp;&amp;nbsp;&amp;nbsp;&amp;nbsp;&amp;nbsp;&amp;nbsp;Repositorio actualizado.-&amp;nbsp;&amp;nbsp;&amp;nbsp;&amp;nbsp;&amp;nbsp;&amp;nbsp;&amp;nbsp;&amp;nbsp;&amp;nbsp;Informes.-&amp;nbsp;&amp;nbsp;&amp;nbsp;&amp;nbsp;&amp;nbsp;&amp;nbsp;&amp;nbsp;&amp;nbsp;&amp;nbsp;Herramienta en Power BI.EVALUACIÓN:-&amp;nbsp;&amp;nbsp;&amp;nbsp;&amp;nbsp;&amp;nbsp;&amp;nbsp;&amp;nbsp;El porcentaje de cumplimiento del objetivo será la sumatoria del peso asignado a cada hito/etapa, que se cumpla al 100%.Los soportes se resguardarán en la siguiente ruta: P:\Objetivos\2025\Direccion Juridica\Daniel Aleman</t>
  </si>
  <si>
    <t xml:space="preserve">Wiki Jurídica </t>
  </si>
  <si>
    <t>OBJETIVO: Contratar un desarrollador externo para que diseñe e implemente durante el segundo semestre de 2025, en coordinación con la Dirección Jurídica, un motor de búsqueda inteligente basado en inteligencia artificial (ChatGPT, Copilot, etc.), que se integre para usos prácticos con el repositorio interno de documentación legal (conceptos jurídicos internos o emitidos por asesores externos, respuesta a consultas, contratos, MOU’s, NDA’s, Boletines jurídicos y expedientes de procesos judiciales entre otros) con el fin de mantener organizada la memoria documental del FNG, automatizar procesos, mejorar la eficiencia, trazabilidad y precisión en las consultas sobre la información generada por la Dirección Jurídica. El prototipo de Wiki Jurídica deberá estar diseñado al 30 de noviembre de 2025. ENTREGABLES:-&amp;nbsp;&amp;nbsp;&amp;nbsp;&amp;nbsp;&amp;nbsp;&amp;nbsp;&amp;nbsp;&amp;nbsp;&amp;nbsp;Etapa 1:A 18 de julio de 2025, presentar a la Vicepresidencia Jurídica el estudio de mercado realizado con las ofertas obtenidas por parte de los potenciales contratistas. Peso 20% -&amp;nbsp;&amp;nbsp;&amp;nbsp;&amp;nbsp;&amp;nbsp;&amp;nbsp;&amp;nbsp;&amp;nbsp;&amp;nbsp;Etapa 2:A 16 de agosto de 2025, haber finalizado el proceso de contratación del desarrollador externo, previamente elegido con la Vicepresidencia Jurídica. Peso 30%-&amp;nbsp;&amp;nbsp;&amp;nbsp;&amp;nbsp;&amp;nbsp;&amp;nbsp;&amp;nbsp;&amp;nbsp;&amp;nbsp;Etapa 3:Al 30 de agosto de 2025, presentar a la Vicepresidencia Jurídica el repositorio jurídico actualizado desde el 1° de enero de 2024 a 30 de junio de 2025, ubicado en la herramienta público. Peso: 30%-&amp;nbsp;&amp;nbsp;&amp;nbsp;&amp;nbsp;&amp;nbsp;&amp;nbsp;&amp;nbsp;&amp;nbsp;&amp;nbsp;Etapa 4Al 30 de noviembre de 2025, entregar el prototipo de motor de búsqueda, el cual servirá para mejorar eficiencia, trazabilidad y memoria documental de la Dirección jurídica del FNG. Peso 20%-&amp;nbsp;&amp;nbsp;&amp;nbsp;&amp;nbsp;&amp;nbsp;&amp;nbsp;&amp;nbsp;&amp;nbsp;&amp;nbsp;EVIDENCIAS DE CUMPLIMIENTO:1.&amp;nbsp;&amp;nbsp;&amp;nbsp;&amp;nbsp;Sondeo de mercado (ofertas)2.&amp;nbsp;&amp;nbsp;&amp;nbsp;&amp;nbsp;Repositorio actualizado3.&amp;nbsp;&amp;nbsp;&amp;nbsp;&amp;nbsp;Contrato4.&amp;nbsp;&amp;nbsp;&amp;nbsp;&amp;nbsp;Prototipo motor de búsqueda &amp;nbsp;EVALUACIÓN:El porcentaje de cumplimiento del objetivo será la sumatoria del peso asignado a cada hito/etapa, que se cumpla al 100%. Los soportes se resguardarán en la siguiente ruta: P:\Objetivos\2025\Direccion Juridica\Daniel Aleman</t>
  </si>
  <si>
    <t>79394149</t>
  </si>
  <si>
    <t>Daniel Porras Gutierrez</t>
  </si>
  <si>
    <t>Analista de Compensación</t>
  </si>
  <si>
    <t>Lograr a 31-12-2025 el cumplimiento de los planes del Decreto 612-2018, relacionados con Gestión Humana así:Plan Estratégico de Gestión Humana: peso 30%&amp;nbsp;Plan de Capacitación: peso 30%Plan de Bienestar :peso 30%Plan de Seguridad y Salud en el Trabajo: peso 10%Su evaluación será proporcional al resultado obtenido en cada plan.&amp;nbsp;Indicador o Formula con la que se va a Realizar la Medición:Su evaluación será proporcional al resultado obtenido en cada plan. (ejemplo: si se hace el 90% de las actividades la calificación será 90 puntos- Si la calificación es menor a 80% su calificación será cero).Entregables&amp;nbsp;Acta de Comité Institucional de Gestión y Desempeño donde se evidencia el cumplimiento de los planes, presentados en cada Q.&amp;nbsp;</t>
  </si>
  <si>
    <t>Cronograma de Nómina</t>
  </si>
  <si>
    <t>Cumplir durante la vigencia 2025 con las actividades del cronograma de la nómina.&amp;nbsp;Indicador o Formula con la que se va a Realizar la Medición:La formula de medición será la siguiente:El objetivo inicia en el mes de Febrero 2025, donde las nóminas de febrero a noviembre equivalen a 8 puntos cada una, la prima de servicios 5 puntos, la prima de navidad 5 puntos. La nómina de diciembre que incluye el cierre del año equivale a 10 puntos.Entregables: Reporte del cronograma de la nómina, comprobantes y resumen de nómina, soporte pago Bancolombia generado por tesorería.&amp;nbsp;Su evaluación será proporcional al porcentaje de avance obtenido para cada mes.Cada punto incumplido deberá tener su justificación de no tenerla se entiende como incumplido y su calificación "0"EntregablesCronograma de la Nómina diligenciadoComprobantes y Resumen de NóminaArchivo del pago Bancolombia Generado por tesorería</t>
  </si>
  <si>
    <t>Remisión Novedades de Nómina al Archivo</t>
  </si>
  <si>
    <t>Entregar durante el 2025 las carpetas físicas de las novedades de Nómina al archivo para su correspondiente digitalización y custodia&amp;nbsp;Indicador o Formula con la que se va a Realizar la Medición.La medición será la sumatoria de los pesos para cada entregable.De no cumplir con un entregable su calificación será "0" en ese entregableEntregables&amp;nbsp;Correo del Archivo Digital con la confirmación de recepción y gestión de los documentos entregados correspondiente a las carpetas de novedades de nómina. Su medición será así:Carpetas de Enero a Junio de 2025:Entregadas al archivo los 10 primeros días hábiles de julio de 2025- Peso: 40%Carpetas de Julio a Septiembre de 205: Entregadas al archivo los 10 primeros días hábiles de octubre de 2025- Peso:30 %Carpetas de Octubre a Diciembre de 205: Entregadas al archivo los 10 primeros días hábiles de enero de 2026 - Peso:30 %</t>
  </si>
  <si>
    <t>Cierre Contable</t>
  </si>
  <si>
    <t>Realizar durante el 2025 el cierre contable mensual de la nómina, prestaciones sociales&amp;nbsp;y parafiscales dentro del mismo mes de la ejecución y responder mensualmente el memorando de cierre a la Dirección de Contabilidad y Presupuesto.&amp;nbsp;Indicador o Formula con la que se va a Realizar la Medición.La medición será, así:15 puntos por cada mes a partir de junio hasta Noviembre de 202510 puntos para el mes de diciembre de 2025de no cumplir su calificación será "0" para el mes incumplido.Se exceptuarán únicamente los casos autorizados por la Dirección de Felicidad debidamente justificados y que correspondan novedades del software SAPEntregables&amp;nbsp;Correo enviado a la Dirección de Contabilidad</t>
  </si>
  <si>
    <t>Reporte Cesantías</t>
  </si>
  <si>
    <t>Al 30 de septiembre de 2025, lograr la parametrización en el sistema HCM SAP nómina, del informe de la doceava de cesantías que se reporta al Fondo Nacional del Ahorro -&amp;nbsp;FNA mensualmente (Reporte 13) para que al final de la vigencia no se realicen ajustes y el reporte&amp;nbsp;salga en ceros (0)&amp;nbsp;Indicador o Formula con la que se va a Realizar la Medición.Cumple o no cumpleEntregables&amp;nbsp;Parametrización en el Sistema</t>
  </si>
  <si>
    <t>Cargue de Nómina Electrónica</t>
  </si>
  <si>
    <t>Realizar durante el 2025 el cargue mensual de la nómina electrónica del año 2025, los siete (7) primeros días hábiles del mes siguiente a la liquidación de la nómina&amp;nbsp;Indicador o Formula con la que se va a Realizar la Medición:La formula será la siguiente:De enero a mayo: 6 puntos por cada mes. Total 30 puntos(El informe podrá ser presentado al 30 de junio de 2025)De junio de diciembre de 2025 10 puntos por cada mes. Total 70 puntosSi el envío de la nómina es recibido por el área tributaria sin novedad: 10 puntos al mesSi se requiere un 2do envío por correcciones:9 puntos al mesSi se requiere un 3er envío por correcciones: 7 puntos al mesDespués de un 3er envío la calificación será "0"Entregables:Archivo generado por el Proveedor cargado en la Plataforma de la DIAN</t>
  </si>
  <si>
    <t>Seguimiento a cuentas x pagar y cuentas x cobrar</t>
  </si>
  <si>
    <t>Hacer seguimiento quincenal durante el 2025 a las cuentas por pagar y por cobrar de acuerdo al informe enviado por la Dirección de Contabilidad y Presupuesto y realizar el respectivo Informe para presentar a la Dirección de Felicidad para toma de decisiones&amp;nbsp;Indicador o Formula con la que se va a Realizar la Medición.La medición será la sumatoria de los pesos para cada entregable.De no cumplir con un entregable su calificación será "0" en ese entregableEntregables:1.Informe en archivo Excel remitido a la Dirección de Felicidad mensualmente durante los diez (10) primeros días hábiles del mes siguiente, con la relación de las incapacidades y demás cuentas radicadas estado, trámite y gestiones realizadas.Entregable: Informe&amp;nbsp;Peso: 60 %Medición será por informe, así : Junio:16 puntos - Julio a Diciembre:14 Puntos2.Presentación al Vicepresidente Ejecutivo para aprobación de la Junta Directiva y/o Comité Directivo de las cuentas que requieren saneamiento contable de acuerdo con los montos.Entregables: Presentación mes de Julio y Noviembre de 2025Peso: 20 %3.	Informe Cierre de Gestión con la depuración de las cuentas por cobrar y pagar durante la vigencia.Entregable: Respuesta Memorando a Dirección de Contabilidad y PresupuestoPeso: 20 %</t>
  </si>
  <si>
    <t>Radicación de Incapacidades</t>
  </si>
  <si>
    <t>Realizar durante el 2025 el cargue de las incapacidades en el sistema HCM SAP nómina con un máximo de 10 días después de recibida la incapacidad y radicarlas en la EPS en el mismo periodo.Las incapacidades que se reciban entre el 26 y el 30 de cada mes deberán ser cargadas en el sistema el mismo día de su recepción y realizar la correspondiente nómina de corrección cuando sea del caso.Los casos excepcionales deberán estar debidamente justificados y autorizados por la Dirección y/o Subdirección&amp;nbsp;Indicador o Formula con la que se va a Realizar la Medición:Informes entregados a la Subdirectora del área, los primeros cinco (5) días hábiles del mes siguiente.La medición será así:Informe de enero a 30 de mayo 2025: 30 puntos&amp;nbsp;(No se tendrán en cuenta las fechas exigidas en la redacción del objetivo)Informe mensual de julio a diciembre: 10 puntos por cada mesSu evaluación será proporcional a la gestión obtenida en cada mes.&amp;nbsp;Entregables&amp;nbsp;Correo enviado a la Subdirectora con el análisis de la radicación de Incapacidades los primeros cinco (5) días hábiles del mes siguiente.</t>
  </si>
  <si>
    <t>1020827815</t>
  </si>
  <si>
    <t>Daniel Sebastian Rodriguez Venegas</t>
  </si>
  <si>
    <t>Creador de Contenidos Digitales</t>
  </si>
  <si>
    <t>Automatización de respuestas en Instagram</t>
  </si>
  <si>
    <t>Para el Q3 del 2025, implementar una herramienta que permita automatizar las respuestas de comentarios de Instagram.Indicador o Formula con la que se va a realizar la mediciónQ3 (50%): contruir los contenidos y mensajes de las respuestas a los usuarios.Q3 (50%): implementar la herramienta en la cuenta de Instagram del FNG.Entregables&amp;nbsp;Q3: envío por correo electrónico a la Directora de Marca la construcción de los contenidos y mensajes.Q3: envío por correo electrónico la Directora de Marca la evidencia de la implementación y funcionamiento de la herramienta.</t>
  </si>
  <si>
    <t>Lideración del podcast</t>
  </si>
  <si>
    <t>A partir de junio del 2025, conducir y liderar la grabación del podcast del FNG.Indicador o fórmula con la que se va a realizar la mediciónQ2 (20%): publicación de 2 episodios.&amp;nbsp;Q3 (40%): publicación de 6 episodios.Q4 (40%): publicación de 6 episodios.Entregables&amp;nbsp;Q4: envío por correo electrónico a la Directora de Marca de un informe con los 14 episodios publicados en Spotify y Youtube del FNG.</t>
  </si>
  <si>
    <t>Para el 2025, lograr una califación de 9,45 en la encuesta de satisfacción de cliente interno, manteniendo el resultado obtenido en 2024.Indicador o fórmula con la que se va a realizar la mediciónQ4 (100%): Obtener una medición de 9,45 en la encuesta de satisfacción del cliente interno equivale al 100% de la calificación, 9,40 equivaldrá al 90%, 9,30 al 80% y 9,20 al 0%Entregables&amp;nbsp;Q4: resultado de la encuesta.</t>
  </si>
  <si>
    <t>Crecimiento de la comunidad de IG</t>
  </si>
  <si>
    <t>Al 31 de diciembre de 2025, alcanzar un total de 60.000 seguidores en la cuenta oficial de Instagram del FNG.Indicador o fórmula con la que se va a realizar la mediciónQ4: 100% de cumplimiento: 60.000 seguidores. 95% de cumplimiento: 57.000 seguidores. 90% de cumplimiento: 54.000 seguidores. 0% de cumplimiento: 53.000 seguidores.Entregables&amp;nbsp;Q4: presentar al vicepresidente ejecutivo, en la reunión de cierre del área, un análisis del comportamiento y crecimiento de seguidores en Instagram durante la vigencia 2025.</t>
  </si>
  <si>
    <t>Rediseño página web</t>
  </si>
  <si>
    <t>Para el año 2025, desarrollar e implementar ocho (8) nuevos módulos propuestos para el sitio web, junto con la actualización y fortalecimiento de la identidad visual.Indicador o fórmula con la que se va a realizar la mediciónQ2 (20%): desarrollo del cronograma del rediseño de la página web&amp;nbsp;Q3 (40%): desarrollar (8) módulos en la página web, de acuerdo con la necesidad de la página web.Q4 (40%): Implementación de los 8 módulos en las diferentes secciones de la página y actualizar el 80% de las 138 páginas internas del site del FNG, los ajustes se realizaran desde las secciones clave como la cabecera, pie de página y otras áreas relevantes, asegurando una transición fluida y coherente en todas las páginas.&amp;nbsp;Entregables&amp;nbsp;Q2: presentación de la estrategia del rediseño de la página web y evidencia de la reunión con el VP ejecutivo (agenda de la reunión).Q3: presentación de los 8 nuevos módulos creados, en reunión de avances de área (agenda de la reunión).Q4: presentar al VP ejecutivo, en reunión de avances del área, el informe con el rediseño del sistema visual de la página web.</t>
  </si>
  <si>
    <t>Agente de IA</t>
  </si>
  <si>
    <t>Para el 2025, implementar un agente de IA para educar financieramente a los usuarios a través de la webIndicador o fórmula con la que se va a realizar la mediciónQ3 (50%): investigar y seleccionar las herramientas de IA más adecuadas para el agente. Una vez seleccionada la herramienta, diseñar el flujo de interacción del agente, considerando tono y personalización, y desarrollar la estructura inicial del agente.Q4 (50%): implementar el asistente virtual en el sitio web mediante un enlace que dirija a una página donde se encontrará la interfaz del agente para interactuar con él.Entregables&amp;nbsp;Q3: presentar al VP ejecutivo, en reunión de avances del área, el proyecto para su aprobación, incluyendo los resultados de la investigación y el flujo de interacción del agente.Q4: enviar un correo al VP ejecutivo con el informe de implementación y evidencia del funcionamiento del agente.</t>
  </si>
  <si>
    <t>Campaña del simulador financiero</t>
  </si>
  <si>
    <t>Para 2025 crear los contenidos del simulador financiero para socializar su implementación en la página web del FNG y redes sociales.Indicador o fórmula con la que se va a realizar la mediciónQ3 (50%): estructura de la campaña. Q4 (50%): publicación de la campala.Entregables&amp;nbsp;Q3: envío por correo electrónico a la Directora de Marca los contenidos y piezas de la campaña.Q4: envío por correo electrónico a la Directora de Marca el informe con la publicación de la campaña en Instagram y página web.</t>
  </si>
  <si>
    <t>Crónicas de vida</t>
  </si>
  <si>
    <t>Realizar mínimo 8 crónicas en el 2025 para publicación en dos redes sociales.Indicador o fórmula con la que se va a realizar la mediciónQ4 (100%) publicación de las crónicas en dos redes sociales del FNG.Entregables&amp;nbsp;Q4: envío por correo electrónico la Directora de Marca el informe de publicación de las crónicas.</t>
  </si>
  <si>
    <t>Subdirector Comercial de Direcciones Generales Bogotá -  Nororiente</t>
  </si>
  <si>
    <t>Elaborar Plan Comercial</t>
  </si>
  <si>
    <t>Elaborar Plan Comercial para el año 2026, con fecha de entrega del 31 de Diciembre del año 2025. La calificación será del 100% si se entrega el plan comercial a satisfacción o del 0% si no se entrega.&amp;nbsp;Evidencia: Correo con el plan comercial aprobado por la VP Comercial. La evidencia se encuentra en la ruta P:\Objetivos.</t>
  </si>
  <si>
    <t>Número de Créditos Garantizados</t>
  </si>
  <si>
    <t>Movilización Subdirección</t>
  </si>
  <si>
    <t>Lograr al 31 de diciembre de 2025 un cumplimiento del presupuesto de movilización sobre el 101% en la subdirección, correspondiente al presupuesto asignado del 1ro de Enero de 2025 al 31 de Diciembre de 2025. En el evento de cambios de presupuestos se realizará una redistribución proporcional.&amp;nbsp;Calificación proporcional, mínimo 85%&amp;nbsp;Lograr un cumplimiento del 101% o mas permitirá obtener un puntaje del 100.Un resultado inferior al 85% resultará en un puntaje de 0Formula: (Vr.obtenido - Vr. minimo)/(Vr.maximo-Vr. minimoo)*100La calificacion se mide con tabla proporcional.Evidencia: Correo electrónico de la analista de datos de la dirección de estrategiaPortafolio: El portafolio asignado y distribución del presupuesto para cada subdirección comercial de la Dirección General estará aprobado previamente por el Director Comercial a través de correo electrónico. La evidencia se encuentra en la ruta P:\Objetivos.</t>
  </si>
  <si>
    <t>Visitas portafolio Subdirector</t>
  </si>
  <si>
    <t>Realizar 144 visitas a contactos de Direcciones Generales del portafolio asignado como subdirector del 01 de Enero al 31 de diciembre del 2025.Tabla EquitativaMínimo el 80%.Realizar 144 visitas o más obtendrá un puntaje de 100. Mínimo 115 visitas, realizar menos de 115 visitas obtendrá un puntaje de 0. Se medirá de acuerdo a la tabla equitativa: donde al sacar un puntaje del 80% el puntaje será 80% y así hasta llegar a 100%.&amp;nbsp;Evidencia: Correo electrónico de la analista de datos de la dirección de estrategiaPortafolio: El portafolio asignado y distribución del presupuesto para cada subdirección comercial de la Dirección General estará aprobado previamente por el Director Comercial a través de correo electrónico. La evidencia se encuentra en la ruta P:\Objetivos.</t>
  </si>
  <si>
    <t>Realizar&amp;nbsp;576 visitas a contactos de Direcciones Generales de la subdirección desde el 01 de Enero de 2025 hasta el 31 de Diciembre del 2025.&amp;nbsp;Tabla EquitativaMínimo el 80%.&amp;nbsp;Realizar 576 visitas o más obtendrá un puntaje de 100. Mínimo 461 visitas, realizar menos de 461 visitas obtendrá un puntaje de 0. Se medirá de acuerdo a la tabla equitativa: donde al sacar un puntaje del 80% el puntaje será 80% y así hasta llegar a 100%.Evidencia: Correo electrónico de la analista de datos de la dirección de estrategiaPortafolio: El portafolio asignado y distribución del presupuesto para cada subdirección comercial de la Dirección General estará aprobado previamente por el Director Comercial a través de correo electrónico. La evidencia se encuentra en la ruta P:\Objetivos</t>
  </si>
  <si>
    <t>1002327906</t>
  </si>
  <si>
    <t>Deisy Alexandra Archila Rodriguez</t>
  </si>
  <si>
    <t>Subdirector de Gestion Empresarial</t>
  </si>
  <si>
    <t>1098782585</t>
  </si>
  <si>
    <t>Juan David Gama Mojica</t>
  </si>
  <si>
    <t>Potencializar el relacionamiento con Aliados estratégicos</t>
  </si>
  <si>
    <t>Descripción del ObjetivoLograr a 31 de Diciembre del 2025, el desarrollo del plan de trabajo definido con 5 aliados con los cuales se tienen memorando de entendimiento, que permita la consecución de bases de clientes referidos para la prestación del servicio de consultoría y/o eventos de charlas empresariales.Indicador o Fórmula con la que se va a realizar la Medición:&amp;nbsp;Porcentaje de cumplimento 100%(%real de avance plan de trabajo/ % planeado plan de trabajo)*100&amp;nbsp;Hito 1: Plan de llamadas y contactabilidad 25%Hito 2: Definición hoja de ruta 25%&amp;nbsp;Hito 3: Planteamiento del plan de trabajo 25%Hito 4: Ejecución actividades definidas 25%&amp;nbsp;Entregable﻿Informe en PDF que relacione los compromisos, el plan de trabajo propuesto con cada aliado y su ejecución el cual será revisado por el Director EIGE por medio de correo electrónico.</t>
  </si>
  <si>
    <t xml:space="preserve">Diseño de prototipo de baja escala de una solución de base tecnológica para empresarios.  </t>
  </si>
  <si>
    <t>Descripción del ObjetivoEntregar al 31 de diciembre de 2025, una investigación y prototipo de baja escala sobre una solución de base tecnológica para fortalecer la oferta de servicios del programa #DeMenteEmpresarial a través de la metodología Design Thinking, que permita visualizar de la mejor manera la solución a los problemas identificados de las empresas.Indicador o Fórmula con la que se va a realizar la Medición:&amp;nbsp;El objetivo se cumple al 100 % con la ejecución de la totalidad de las actividades planteadas en el cronograma aprobado por el Director EIGE. Mínimo se debe cumplir con la ejecución del 80% de las actividades. Se medirá mediante tabla equitativa, en la cual alcanzar el 80% de las actividades representará un puntaje de 80 y así respectivamente. Menos del 80% de ejecución el puntaje será de 0. EntregableDocumento en PDF con la investigación&amp;nbsp;y prototipo presentado y aprobado por el Director EIGE a través de correo electrónico.</t>
  </si>
  <si>
    <t>Modelo postventa consultoría financiera</t>
  </si>
  <si>
    <t>Descripción del ObjetivoDiseñar e implementar a 31 de diciembre del 2025, un modelo de post venta de los servicios de consultoría empresarial, que contribuyan con el mejoramiento de la percepción del FNG y el fortalecimiento de los conocimientos de la empresa en materia financiera y organizacional.Indicador o Fórmula con la que se va a realizar la Medición:&amp;nbsp;El objetivo se cumple al 100 % con la ejecución de la totalidad de las actividades planteadas. Mínimo se debe cumplir con la ejecución del 80% de las actividades. Se medirá mediante tabla equitativa, en la cual alcanzar el 80% de las actividades representará un puntaje de 80 y así respectivamente. Menos del 80% de ejecución el puntaje será de 0Se contará con un cronograma de actividades formalizado por parte del Director EIGE.EntregableDocumento en PDF con el modelo&amp;nbsp;enviado por correo electrónico a la Dirección EIGE y lista de asistencia como evidencia de las capacitaciones realizadas al equipo consultor, validado y aprobado por el Director de EIGE a través de correo electrónico.</t>
  </si>
  <si>
    <t>Prestación de servicios de consultoría empresarial</t>
  </si>
  <si>
    <t>DescripciónPrestar servicios de consultoría empresarial por medio de los servicios disponibles en el programa #deMente Empresarial a 135 empresas al 31 de diciembre de 2025, con el fin de aportar conocimiento clave para su sostenibilidad y fortalecimiento como unidades productivas.Indicador o Fórmula con la que se va a realizar la Medición:&amp;nbsp;Porcentaje de cumplimiento 100%(Número de empresas terminadas / Meta Número de empresas a gestionar)*100EntregableInformes de diagnóstico financiero entregados por correo electrónico a cada empresa.</t>
  </si>
  <si>
    <t>Estrategia de Siniestralidad</t>
  </si>
  <si>
    <t>Descripción del Objetivo:Diseñar e implementar a 31 de diciembre del 2025, el 100% de las actividades de una estrategia que fortalezca los mecanismos para la mitigación del impacto en siniestralidad con las herramientas que dispone el FNG.Indicador o Fórmula con la que se va a realizar la Medición:El objetivo se cumple al 100 % con la ejecución de la totalidad de las actividades planteadas. Mínimo se debe cumplir con la ejecución del 80% de las actividades. Se medirá mediante tabla equitativa, en la cual alcanzar el 80% de las actividades representará un puntaje de 80 y así respectivamente. Menos del 80% de ejecución el puntaje será de 0Se contará con un cronograma de actividades formalizado por parte del Director de estructuración, innovación y gestión empresarial.EntregableInforme en word y/o excel sobre la ejecución de las actividades desarrolladas en el año enviado por correo electrónico para aprobación del Director de estructuración, innovación y gestión empresarial.</t>
  </si>
  <si>
    <t>1101756851</t>
  </si>
  <si>
    <t>Deisy Fabiola Ariza Fajardo</t>
  </si>
  <si>
    <t>Universidad de la garantía_Nivel Avanzado</t>
  </si>
  <si>
    <t>En 4Q del 2025, asistir y aprobar el Nivel Avanzado de la Universidad de la Garantía con un porcentaje mínimo del 85% en la evaluación final tanto la teórica como la práctica.INDICADOR:Evaluación práctica 50% - puntaje mínimo del 85% (Cumple/No cumple)Evaluación teórica 50% - puntaje mínimo del 85% (Cumple/No cumple)EVIDENCIAENTREGABLES / EVIDENCIA: Lista de asistencia a la capacitación y la evaluación evidencias ubicadas en la Ruta: P:\Objetivos\2025\Direccion de Operaciones\</t>
  </si>
  <si>
    <t>Actualización Macro</t>
  </si>
  <si>
    <t>Al 30 de septiembre de 2025, realizar la actualización de la macro de Porcentaje de Comisión con los nuevos tipos de cobro de comisión habilitados para el producto de Factoring, y capacitar a los funcionarios del proceso de liquidación y devolución de comisiones sobre los ajustes realizados a la macro.INDICADOR:Actualizar y documentar la herramienta&amp;nbsp;70% (Cumple/No cumple)Socialización con el grupo de Liquidación y devolución de comisiones&amp;nbsp;30%ENTREGABLE/EVIDENCIA : Actualización de la herramienta en el Instructivo IN-AGA-090 - Validación de Comisiones productos tradicionales y productos Unidos por Colombia publicado en Isolución/ lista de asistencia a la capacitación ubicada en  Ruta: P:\Objetivos\2025\Direccion de Operaciones\</t>
  </si>
  <si>
    <t>Curso de Analisis de Datos e  Inteligencia Artificial - Microsoft</t>
  </si>
  <si>
    <t>Antes del 31/12/25 haber cursado y obtenido la certificación en dos (2) cursos de análisis de datos de Microsoft&amp;nbsp;CRITERIOS DE MEDICIÓNEl objetivo será medible&amp;nbsp;así:Cursar y aprobar curso de Introducción al análisis de datos - Microsoft: 50% - Cumple / no cumpleCursar y aprobar curso de Formación para ingenieros de IA:&amp;nbsp;50% - Cumple / no cumpleENTREGABLES / EVIDENCIACertificaciones y/o credenciales digitales emitidas por la plataforma correspondientes</t>
  </si>
  <si>
    <t>Consulta SQL</t>
  </si>
  <si>
    <t>A corte del 31/10/2025 Crear una consulta en SQL que involucre el cruce de mínimo dos tablas, para identificar la fecha de creación de la garantía original de las garantías novadas del programa UxC y realizar la socialización de la consulta al grupo de liquidación de comisiones.INDICADOR:Crear y documentar la herramienta&amp;nbsp;70% (Cumple/No cumple)Socialización con el grupo de Liquidación de comisiones 30% (Cumple/No cumple)ENTREGABLE/EVIDENCIA : Documentación de la herramienta en&amp;nbsp;Instructivo IN-AGA-088- Validaciones Proceso de Liquidación y cobro de comisiones publicado en Isolución y lista de asistencia a la capacitación ubicada en la Ruta: P:\Objetivos\2025\Direccion de Operaciones\</t>
  </si>
  <si>
    <t>Al 31 de diciembre de 2025, haber cursado y aprobado el curso de Inteligencia Artificial Generativa del BIDINDICADORCumple/ No CumpleENTREGABLE/EVIDENCIA : Certificado de aprobacion</t>
  </si>
  <si>
    <t>Subdirector Comercial de Direcciones Generales Bogotá -  Sur</t>
  </si>
  <si>
    <t>Visitas Subdirector</t>
  </si>
  <si>
    <t>Realizar 144 visitas a contactos de Direcciones Generales del portafolio del 01 de Enero al 31 de diciembre del 2025.Tabla EquitativaMínimo el 80%.Realizar 144 visitas o más obtendrá un puntaje de 100. Mínimo 115 visitas, realizar menos de 115 visitas obtendrá un puntaje de 0. Se medirá de acuerdo a la tabla equitativa: donde al sacar un puntaje del 80% el puntaje será 80% y así hasta llegar a 100%.&amp;nbsp;Evidencia: Correo electrónico de la analista de datos de la dirección de estrategiaPortafolio: El portafolio asignado y distribución del presupuesto para cada subdirección comercial de la Dirección General estará aprobado previamente por el Director Comercial a través de correo electrónico. La evidencia se encuentra en la ruta P:\Objetivos.</t>
  </si>
  <si>
    <t>Número créditos garantizados.</t>
  </si>
  <si>
    <t>Plan Comercial 2026</t>
  </si>
  <si>
    <t>Elaborar Plan Comercial para el año 2026, con fecha de entrega 31 dic 2025 . La calificación será del 100% si se entrega el plan comercial a satisfacción o del 0% si no se entrega.&amp;nbsp;Evidencia: Correo con el plan comercial aprobado por la VP Comercial. La evidencia se encuentra en la ruta P:\Objetivos.</t>
  </si>
  <si>
    <t>Realizar&amp;nbsp;360 visitas a contactos de Direcciones Generales de la subdirección desde el 01 de Enero de 2025 hasta el 31 de Diciembre del 2025.&amp;nbsp;Tabla EquitativaMínimo el 80%.&amp;nbsp;Realizar 360 visitas o más obtendrá un puntaje de 100. Mínimo 288 visitas, realizar menos de 288 visitas obtendrá un puntaje de 0. Se medirá de acuerdo a la tabla equitativa: donde al sacar un puntaje del 80% el puntaje será 80% y así hasta llegar a 100%.Evidencia: Correo electrónico de la analista de datos de la dirección de estrategiaPortafolio: El portafolio asignado y distribución del presupuesto para cada subdirección comercial de la Dirección General estará aprobado previamente por el Director Comercial a través de correo electrónico. La evidencia se encuentra en la ruta P:\Objetivos</t>
  </si>
  <si>
    <t>Lograr al 31 de diciembre de 2025 un cumplimiento del presupuesto de movilización sobre el 101% en la subdirección, correspondiente al presupuesto asignado del 1ro de Enero de 2025 al 31 de Diciembre de 2025. En el evento de cambios de presupuestos se realizará una redistribución proporcional.&amp;nbsp;Calificación proporcional, mínimo 85%&amp;nbsp;Lograr un cumplimiento del 101% o más permitirá obtener un puntaje del 100.Un resultado inferior al 85% resultará en un puntaje de 0Formula: (Vr.obtenido - Vr. minimo)/(Vr.maximo-Vr. minimoo)*100La calificación se mide con tabla proporcional.Evidencia: Correo electrónico de la analista de datos de la dirección de estrategiaPortafolio: El portafolio asignado y distribución del presupuesto para cada subdirección comercial de la Dirección General estará aprobado previamente por el Director Comercial a través de correo electrónico. La evidencia se encuentra en la ruta P:\Objetivos.</t>
  </si>
  <si>
    <t>1075223684</t>
  </si>
  <si>
    <t>Diana Carolina Ocaña Tovar</t>
  </si>
  <si>
    <t>Director de Experiencia</t>
  </si>
  <si>
    <t>FASE I Mejoras al ciclo operativo de la garantía</t>
  </si>
  <si>
    <t>Revisión y mejora de la encuesta de cliente externo</t>
  </si>
  <si>
    <t>Semana de la experiencia FNG</t>
  </si>
  <si>
    <t>52489403</t>
  </si>
  <si>
    <t>Diana Janeth Pineda Mendoza</t>
  </si>
  <si>
    <t>Director de Contabilidad y Presupuesto</t>
  </si>
  <si>
    <t>79598097</t>
  </si>
  <si>
    <t>Luis Enrique Ramirez Montoya</t>
  </si>
  <si>
    <t xml:space="preserve">Envío de informacion a Grupo Bicentenario </t>
  </si>
  <si>
    <t>Conciliaciones de contabilidad VS presupuesto e informe de ejecución presupuestal</t>
  </si>
  <si>
    <t>Proyecto de implementación de activos fijos</t>
  </si>
  <si>
    <t xml:space="preserve">Informe presupuestal contractual </t>
  </si>
  <si>
    <t>Transmisión a la CGN</t>
  </si>
  <si>
    <t>1072706982</t>
  </si>
  <si>
    <t>Diana Marcela Monroy Garcia</t>
  </si>
  <si>
    <t>Dirección del Sistema Integral de Administración de Riesgos - SIAR</t>
  </si>
  <si>
    <t>Profesional de Riesgos no Financieros</t>
  </si>
  <si>
    <t>1032388532</t>
  </si>
  <si>
    <t>Lina Patricia Garcia Ramirez</t>
  </si>
  <si>
    <t>Descripción del Objetivo: A 31 de diciembre de 2025 dar cumplimiento al plan de trabajo establecido para el diseño de la herramienta interna para la gestión de SAROEste objetivo se vincula al objetivo estratégico número 5 "Promover el mejoramiento continuo a través del Sistema de Gestión Integral del FNG", vinculado a la estrategia 5.2. "Búsqueda de mejores prácticas de gestión y cumplimiento normativo" a través de la apuesta estratégica 2025: Fortalecimiento de los componentes asociados a los controles de la matriz de riesgos y controles de la EntidadFormula con la que se va a Realizar la Medición: # de actividades ejecutadas para el periodo evaluado / # de actividades planeadas para el periodo evaluado.&amp;nbsp;Entregables:Q2: Plan de trabajo aprobado por el Vicepresidente de Riesgos y acta de la reunión de la URO correspondiente al mes de Junio donde se presenta el plan de trabajo y el avance a la fecha.Peso 33,33%&amp;nbsp;Q3: Actas mensuales (julio, agosto y septiembre) de la reunión de la URO donde se presenta el cumplimiento de las actividades planeadas para el mes correspondientePeso 33,33%Q4: Actas mensuales (octubre, noviembre y diciembre) de la reunión de la URO donde se presenta el cumplimiento de las actividades planeadas para el mes correspondientePeso: 33,33%&amp;nbsp;Ubicación de las Evidencias: publico\objetivos 2025</t>
  </si>
  <si>
    <t>Implementación metodología Riesgos Emergentes según plan de trabajo</t>
  </si>
  <si>
    <t>Descripción del Objetivo: A 31 de diciembre de 2025 implementar la metodología para la gestión de Riesgos Emergentes aplicables a la entidad hasta la tercera fase "Valoración y priorización" del plan de trabajo establecidoEste objetivo se vincula al objetivo estratégico número 5 "Promover el mejoramiento continuo a través del Sistema de Gestión Integral del FNG", vinculado a la estrategia 5.2. "Búsqueda de mejores prácticas de gestión y cumplimiento normativo" a través de la apuesta estratégica 2025: Fortalecimiento de los componentes asociados a los controles de la matriz de riesgos y controles de la Entidad&amp;nbsp;Formula con la que se va a realizar la medición: # de actividades ejecutadas para el periodo evaluado / # de actividades planeadas para el periodo evaluado.&amp;nbsp;Entregables:Q2: Plan de trabajo aprobado por el Vicepresidente de Riesgos y acta de la reunión de la URO correspondiente al mes de Junio donde se presenta el plan de trabajo y el avance a la fecha.Peso 20%Q3: Actas mensuales (julio, agosto y septiembre) de la reunión de la URO donde se presenta el cumplimiento de las actividades planeadas para el mes correspondiente.Peso 40%Q4: Actas mensuales (octubre, noviembre y diciembre) de la reunión de la URO donde se presenta el cumplimiento de las actividades planeadas para el mes correspondiente.Peso: 40%&amp;nbsp;Ubicación de las evidencias: publico\objetivos 2025</t>
  </si>
  <si>
    <t>Cumplimiento de Planes de Acción en relación con el Sistema de Administración de Riesgo Operacional SARO</t>
  </si>
  <si>
    <t>Descripción del objetivo:A 31 diciembre de 2025 cumplir las acciones formuladas durante la vigencia en los planes de acción y mejoramiento relacionados con las auditorias realizadas por la Oficina de Control Interno OCI, Superintendencia Financiera de Colombia SFC, Revisoria Fiscal y Contraloría General de la República CGR en las actividades relacionadas con la gestión de SARO.&amp;nbsp;Este objetivo se vincula al objetivo estratégico número 5 "Promover el mejoramiento continuo a través del Sistema de Gestión Integral del FNG", vinculado a la estrategia 5.2. "Búsqueda de mejores prácticas de gestión y cumplimiento normativo" a través de la apuesta estratégica 2025: Fortalecimiento de los componentes asociados a los controles de la matriz de riesgos y controles de la Entidad&amp;nbsp;Formula de medición:﻿ # de acciones ejecutadas para el periodo evaluado / # total de acciones incluidas en los planes a ser ejecutadas en el periodo evaluado.&amp;nbsp;Entregables:Q2: Correo electrónico dirigido a los entes de control que solicitaron planes de acción indicando el cumplimiento de las actividades definidas para el periodo y acta de la reunión de la URO correspondiente al mes de junio.Peso: 60%Q3: Correo electrónico dirigido a los entes de control que solicitaron planes de acción indicando el cumplimiento de las actividades definidas para el periodo y acta de la reunión de la URO correspondiente al mes de septiembre.Peso: 20%Q4: Correo electrónico dirigido a los entes de control que solicitaron planes de acción indicando el cumplimiento de las actividades definidas para el periodo y acta de la reunión de la URO correspondiente al mes de diciembre.Peso: 20%Ubicación de las Evidencias: publico\objetivos 2025</t>
  </si>
  <si>
    <t>Mejora del canal y cultura de reporte de eventos de riesgo operacional</t>
  </si>
  <si>
    <t>Descripción del objetivo:Diseñar y poner en funcionamiento una nueva versión del canal de reporte de eventos de riesgo operacional (formulario digital, buzón físico u otro medio), que facilite la identificación del responsable del reporte, sea fácil de usar y promueva un incremento en los reportes voluntarios durante el segundo semestre de 2025.Este objetivo se vincula al objetivo estratégico número 5 "Promover el mejoramiento continuo a través del Sistema de Gestión Integral del FNG", vinculado a la estrategia 5.2. "Búsqueda de mejores prácticas de gestión y cumplimiento normativo" a través de la apuesta estratégica 2025: Fortalecimiento de los componentes asociados a los controles de la matriz de riesgos y controles de la EntidadIndicador/Formula medición:# de actividades ejecutadas para el periodo evaluado / # de actividades planeadas para el periodo evaluadoEntregables:Q2: Plan de trabajo aprobado por el Vicepresidente de Riesgos y acta de la reunión de la URO correspondiente al mes de Junio donde se presenta el plan de trabajo.Peso 20%Q3: Actas mensuales (julio, agosto y septiembre) de la reunión de la URO donde se presenta el cumplimiento de las actividades planeadas para el mes correspondiente.Peso 40%Q4: Actas mensuales (octubre, noviembre y diciembre) de la reunión de la URO donde se presenta el cumplimiento de las actividades planeadas para el mes correspondientePeso: 40%</t>
  </si>
  <si>
    <t>52988415</t>
  </si>
  <si>
    <t>Diana Yamile Sanchez Castro</t>
  </si>
  <si>
    <t>Profesional Senior de Microfinanzas y Educación Financiera</t>
  </si>
  <si>
    <t>1.	Fortalecimiento de Alianzas estratégicas</t>
  </si>
  <si>
    <t>Al 31 de diciembre fortalecer 10 alianzas a través de planes de trabajo suscritos de los Memorandos de entendimiento (MOU) ya existentes o nuevos, orientados al desarrollo de acciones conjuntas en educación económica y financiera, realización de ruedas crediticias o procesos de generación de demanda.Medición:(No. de planes de trabajo / 10) x 100Ejemplo: (1=10%, 2=20%, 3 = 30%, ......., 10 = 100%)Evidencias:Planes de trabajo de alianzas ya suscritas o nuevas con actas de reuniones, correos, listas de asistencia y/o registros fotográficos.Equipo 25% Objetivo de área</t>
  </si>
  <si>
    <t>Diseñar dos nuevos módulos, atendiendo las solicitudes y/o necesidades que se identifiquen.Medición:Cada Módulo nuevo = 50%Formula= Modulo 1 + modulo 2 = 100%</t>
  </si>
  <si>
    <t>2.	Sostenibilidad de las rutas actuales y creación de nuevas rutas</t>
  </si>
  <si>
    <t>Al 31 de diciembre, asegurar el sostenimiento de 3 rutas de inclusión crediticia ya existentes y crear 1 nuevas rutas durante el año 2025, como mecanismos de formación y preparación para el acceso a crédito, uso de las garantías, y acercamiento a la oferta crediticia de los intermediarios financieros.Medición:﻿(No. de rutas activas y nuevas / 4) x 100Ejemplo: (1=25%, 2=50%, 3 = 75%, 4 = 100%)&amp;nbsp;Evidencias:Listado actualizado de rutas activas; informes de avance por ruta; memorias de reuniones, listas de asistencia y/o registros fotográficos</t>
  </si>
  <si>
    <t>1110591996</t>
  </si>
  <si>
    <t>Diego Alexander Castillo Saavedra</t>
  </si>
  <si>
    <t>Dirección de Gestión y Recuperación de Cartera</t>
  </si>
  <si>
    <t>Profesional de Aplicación de Ingresos</t>
  </si>
  <si>
    <t>38360566</t>
  </si>
  <si>
    <t>Elizabeth Jane Martin Perez</t>
  </si>
  <si>
    <t>CAPACITACIONES A INTERMEDIARIOS FINANCIEROS</t>
  </si>
  <si>
    <t>A 31 de diciembre de 2025, realizar capacitaciones periódicas a la mayoría de los intermediarios financieros que registren garantías pagadas con saldo vigente al corte 30 de marzo de 2025, para reforzar el conocimiento sobre el Traslado de Recursos al FNG – Anexo 13. EVALUACIÓN: de acuerdo con la siguiente tabla métrica:&amp;lt;= 50% de los intermediarios financieros otorga un cumplimiento de 0%&amp;gt; 50% y &amp;lt;=70% de los intermediarios financieros otorga un cumplimiento de 70%&amp;gt; 70% y &amp;lt;80% de los intermediarios financieros otorga un cumplimiento de 90%&amp;gt;=80% de los intermediarios financieros otorga un cumplimiento de 100%ENTREGABLE: Lista de asistencia a las capacitaciones por los diferentes Intermediarios Financieros.</t>
  </si>
  <si>
    <t>AUDITORIA APLICACIÓN DE INGRESOS</t>
  </si>
  <si>
    <t>De la base de acuerdos de pago a corte del 30.05.2025 que están al día y con mora no mayor a 3 meses (1.091 contratos) A 31 de diciembre de 2025, realizar la revisión de las aplicaciones de pagos del 25% de los contratos, los cuales son 272, dejando constancia en un archivo en Excel en el cual se evidencie la relación de contratos revisados en cuanto a su correcta aplicación y dejando su respectiva nota en el sistema.&amp;nbsp;ENTREGABLE: Entrega del informe en Excel por correo electrónico a la Subdirectora de Cartera.&amp;nbsp;EVALUACIÓN: Será proporcional tomando en cuenta el número de contratos revisados sobre el total a revisar, de tal manera que, si por ejemplo se revisan 230 de 272 contratos, la calificación será del 84,56%.</t>
  </si>
  <si>
    <t>CUMPLIMIENTO PRESUPUESTO DE INGRESOS POR RECUPERACIÓN DE CARTERA</t>
  </si>
  <si>
    <t>Generar ingresos por concepto de recuperación y venta de cartera derivado del pago de garantías con recuperación de cartera por la suma de $88,642 millones, correspondiente al valor contemplado en el presupuesto de ingresos aprobado por Junta Directiva para el año 2025. (Este valor contempla ingresos derivados de la meta de recuperación de cartera asignada a los FRGs, reintegros y reactivaciones, recuperación por anexo 13 (IF), ingresos por ventas de cartera y compartición del precio de la enajenación de la cartera de los IF.)ENTREGABLE: Correo enviado por la Directora/Subdirectora de Cartera los primeros días del año 2026, informando los resultados definitivos de la recuperación de cartera durante la vigencia 2025.EVIDENCIA DE CUMPLIMIENTO:&amp;nbsp;Correo electrónico remito por la Directora/Subdirectora de Cartera los primeros días del año 2026, informando los resultados definitivos de la recuperación de cartera durante la vigencia 2025.EVALUACIÓN: Se obtendrá calificación a partir del cumplimiento del 90% ($79,778 millones) de la meta: donde el 89,9% da 0% y proporcional entre el 90% y 100%.</t>
  </si>
  <si>
    <t>ESTUDIO DE VIABILIDAD PARA OBTENCIÓN DE DATOS DEMOGRÁFICOS DE DEUDORES</t>
  </si>
  <si>
    <t>A 31 de diciembre de 2025, adelantar un estudio con entidades públicas y/o privadas para determinar la viabilidad de la suscripción de convenios para la obtención de datos demográficos para la localización de los deudores e implementar un proceso para obtener de los Intermediarios Financieros (IF) esta información de clientes, con el fin de optimizar la gestión de recuperación de cartera.ENTREGABLES: Este objetivo tendrá los siguientes hitos y entregables:a) A 31 de julio 2025, presentar al Comité de Recuperación de Cartera un mapeo inicial de entidades públicas y/o privadas que manejan datos demográficos (Registraduría, DANE, DIAN, centrales de riesgo, operadores de telecomunicaciones, banca e intermediarios financieros en general, etc.) y marco normativo para acceso a esta información. Evidencia: Informe de mapeo institucional. Peso: 20%b) A 31 de agosto 2025, presentar al Comité de Recuperación de Cartera el análisis de viabilidad jurídica y técnica para la suscripción de convenios con entidades públicas y/o privadas, incluyendo identificación de requisitos y procedimientos. Evidencia: Informe de viabilidad jurídica. Peso: 20%c) A 30 de septiembre 2025, diseñar y presentar al Comité de Recuperación de Cartera la propuesta de proceso interno para solicitar y obtener información demográfica de los IF. Evidencia: Propuesta de proceso y procedimiento. Peso: 20%d) A 31 de octubre 2025, realizar las gestiones preliminares con al menos dos entidades públicas y/o privadas (incluyendo banca e intermediarios financieros) para evaluar la receptividad y condiciones para la suscripción de convenios de intercambio de información. Evidencia: Actas de reunión con entidades. Peso: 20%e) A 30 de noviembre 2025, presentar al Comité de Recuperación de Cartera las conclusiones del informe final de viabilidad y factibilidad de la suscripción de convenios con entidades públicas y/o privadas y la implementación del proceso para obtención de datos de IF. Evidencia: Informe de conclusiones de viabilidad y factibilidad. Peso: 20%EVIDENCIAS DE CUMPLIMIENTO: Actas de los comités de recuperación de cartera con la presentación de los informes propuestos, actas de reuniones con entidades públicas y/o privadas y documentos de análisis de viabilidad.EVALUACIÓN: El porcentaje de cumplimiento del objetivo será la sumatoria del peso asignado a cada hito, que se cumpla al 100%.</t>
  </si>
  <si>
    <t>ACTUALIZACIÓN DOCUMENTAL</t>
  </si>
  <si>
    <t>A 30 de noviembre de 2025, actualizar el 100% de los documentos asociados a la Subdirección de Cartera, según inventario entregado por la Dirección de Planeación y Gestión Integral, incluyendo aquellos documentos nuevos que se generen por las nuevas actividades y tareas del área.&amp;nbsp;&amp;nbsp;Evidencias del Cumplimiento: Correo electrónico de la funcionaria líder de la Dirección de Planeación y Gestión Integral, donde confirme el porcentaje de documentos que se encuentran actualizados al 30 de noviembre de 2025.&amp;nbsp;Evaluación: El objetivo es calificable a partir del cumplimiento del 95% del inventario de documentos entregados para actualizar, donde el 94,99% da 0% y proporcional a partir del 95%.&amp;nbsp;</t>
  </si>
  <si>
    <t>80099452</t>
  </si>
  <si>
    <t>Diego Andrés Cubillos Cuellar</t>
  </si>
  <si>
    <t>Tecnico Desarrollador</t>
  </si>
  <si>
    <t>Descripción del Objetivo.Contribuir a la automatización y digitalización de dos procesos institucionales mediante el diseño, desarrollo e implementación de aplicaciones, utilizando las herramientas tecnológicas definidas por la entidad. El equipo desarrollador será responsable de asegurar el cumplimiento de los entregables definidos para cada fase, de acuerdo con el siguiente cronogramaIndicador o Formula con la que se va a Realizar la Medición.(# automatizaciones finalizadas / Total automatizaciones planificadas 2025) * 100Total automatizaciones planificadas 2025 = 3Entregables.Q2: Documento de diseño técnico y estimación de las automatizaciones para cruce en Listas RestrictivasDocumento de diseño técnico y estimación de la Automatización de información de Reservas.Aprobación de pruebas integrales y RFC para digitalización y automatización de información de potenciales clientes del proceso de generación de demanda Q3: Despliegue (orden de transporte) de la solución en QA para pruebas integrales para cruce en Listas Restrictivas.Aprobación de Pruebas integrales para digitalización y Automatización de información de Reservas.Q4: Entrega y despliegue en producción (documento de RFC) para cruce en Listas RestrictivasDocumento RFC de la Automatización de información de Reservas.</t>
  </si>
  <si>
    <t>Descripción del ObjetivoEl objetivo es lograr un 100% de cumplimiento en la ejecución y finalización de los proyectos estratégicos de tecnologías de la información que han sido ejecutados y finalizados según la hoja de ruta del Plan Estratégico de Tecnologías de la Información (PETI) del FNG programados para el año 2025, de acuerdo con el alcance, cronogramas y resultados esperados.  Indicador o Formula con la que se va a Realizar la Medición.(# Proyectos finalizados / Total proyectos programados para finalizar en el 2025) * 100  Total, proyectos programados 2025 = 9Entregables Q2:  Informe de avance (número de proyectos completados hasta la fecha).Q3:  Informe de avance intermedio (número de proyectos en fase final).Q4: Informe de finalización de todos los proyectos del PETI 2025.</t>
  </si>
  <si>
    <t>Fortalecimiento de la ciberseguridad de aplicaciones con la resolución de vulnerabilidades detectadas a los sistemas de información y aplicaciones</t>
  </si>
  <si>
    <t>Descripción Ejecutar las actividades necesarias para la identificación, análisis y mitigación de vulnerabilidades técnicas detectadas en los sistemas de información misionales del FNG, alineadas con las recomendaciones de seguridad emitidas por entes de control y mejores prácticas del sectorIndicador o Formula con la que se va a Realizar la Medición(# Vulnerabilidades Solucionadas / Total de vulnerabilidades detectadas 2025) * 100Entregables Q3: - Actualización del documento en la ruta de la Subdirección de Seguridad de la Información del plan de acción sobre el informe de la SFCQ2 y Q3: - Evidencia en capturas de pantalla de los procedimientos realizadosQ2 y Q3: - Documentación técnica de respaldo con configuraciones y pasos ejecutados</t>
  </si>
  <si>
    <t>Desarrollo del HUB de conexión de aplicaciones del FNG</t>
  </si>
  <si>
    <t>Descripción Diseñar, desarrollar e implementar un Hub de conexión de Aplicaciones centralizado que permita a los usuarios acceder de manera rápida, segura y unificada a todas las herramientas digitales y sistemas institucionales, mejorando la experiencia de usuario, la eficiencia operativa y la gestión de accesos en el entorno organizacional.Indicador o Formula con la que se va a Realizar la Medición.(# de componentes funcionales entregados del hub de conexión de aplicaciones del FNG / Total de componentes definidos en el hub de conexión de aplicaciones aplicaciones FNG) * 100Entregables Q2: Documentacion de implementacion para el desarrolo (Arquitectura tecnologica) 10%Q3: Desarrollo del FRONT de hub de conexión de aplicaciones FNG- 50%Q4: Finalización del desarrollo - 10%Q4: Pruebas Integrales - 10%Q4: Puesta en producción - 20%</t>
  </si>
  <si>
    <t>Desarrollo de la solución de Onboarding digital de clientes</t>
  </si>
  <si>
    <t>Descripción Implementar en la página web del FNG una sección denominada “Vincúlate”, que permita a los clientes externos iniciar su proceso de vinculación según su tipo, a través de módulos específicos. Esta funcionalidad integrará la interacción del cliente con el sitio web y la gestión administrativa interna del FNG, fase 1Indicador o Formula con la que se va a Realizar la Medición.(# componentes implementados / Total de componentes definidos) * 100Entregables - Q2 (peso 30%) - Realizar el cronograma de ejecución derivado de la HU.- Iniciar el desarrollo del sprint 1- Q3 (peso 60%) - Desarrollo de los sprint- Q4 (peso 10%)- Pruebas Integrales- RFC - Seguimiento y estabilización del proyecto vinculados en producción.</t>
  </si>
  <si>
    <t>Implementación de la herramienta de monitoreo para el desarrollo seguro de las aplicaciones del FNG</t>
  </si>
  <si>
    <t>Descripción Implementar la herramienta SonarQube como parte del ciclo de vida del desarrollo de software en la subdirección de aplicaciones misionales, con el fin de fortalecer la seguridad, calidad y mantenibilidad del código fuente. Esta implementación permitirá identificar vulnerabilidades, errores y malas prácticas desde etapas tempranas del desarrollo, integrándose con los entornos de integración continua y fomentando una cultura de desarrollo seguro. La estrategia incluirá la configuración de reglas de análisis, socialización del uso entre los equipos técnicos y el monitoreo periódico de los resultados generados por la herramienta.Indicador o Formula con la que se va a Realizar la Medición.(# componente implementados / Total de componentes definidos) * 100Entregables Q2 - 50% Componentes definidos para la implementación:Instalación y configuración de SonarQube.Definición de reglas de análisis.Q3 - 50%: Integración con entornos de integración continua (CI/CD).Capacitación y socialización con equipos técnicos.Primer escaneo de proyectos y revisión de resultados.Establecimiento de monitoreo periódico (reportes automatizados).</t>
  </si>
  <si>
    <t>80194701</t>
  </si>
  <si>
    <t>Diego Andres Toazura Castiblanco</t>
  </si>
  <si>
    <t>Agente Mesa de Servicio de TI</t>
  </si>
  <si>
    <t>52118886</t>
  </si>
  <si>
    <t>Patricia Rojas Tristancho</t>
  </si>
  <si>
    <t>Enrolamiento huellas funcionarios piso 24</t>
  </si>
  <si>
    <t>Durante el 2025, configurar la autenticación por huella dactilar en el lector de acceso a la cafetería institucional, con el propósito de alcanzar una cobertura del 70 % de los colaboradores al cierre del cuarto trimestre de 2025. Esta medida permitirá garantizar un acceso más eficiente y seguro a las instalaciones del comedor, asegurando el cierre automático de la puerta durante horarios de baja afluencia y previniendo el ingreso de personal no autorizado.Entregables:Se creara un informe trimestral con las evidencias donde se demuestra el cumplimiento de las mismas en la herramienta de control de acceso</t>
  </si>
  <si>
    <t xml:space="preserve"> solución tecnológica que permita mantener actualizada las hojas de vida de los equipos de cómputo </t>
  </si>
  <si>
    <t>Durante el 2025, implementar&amp;nbsp;una solución tecnológica que permita mantener actualizadas las hojas de vida de los equipos de cómputo del FNG. Esta herramienta debe facilitar el registro y control de todos los mantenimientos correctivos y/o preventivos realizados, tanto a nivel de hardware como de software. El objetivo es contar con un sistema centralizado que brinde trazabilidad, facilite la toma de decisiones y contribuya a la prolongación de la vida útil de los activos tecnológicos de la entidad.Entregables:Levantamiento de requerimiento (Q2), acompañamiento validación y actualización de la historia de usuario (Q3), Desarrollo y pruebas integrales(Q4)</t>
  </si>
  <si>
    <t>Soporte Mesa de  Servicios</t>
  </si>
  <si>
    <t>Durante el 2025, atender a tiempo como mínimo entre el 95% y hasta el 98% de los casos de soporte tecnológico reportados en ARANDA a partir del 1 de enero de 2025 y hasta el 31 de diciembre de 2025. En donde 95 es igual al 80% y 96 o más es igual 100% de la meta, calculado proporcionalmente (menos de 95 equivale a cero puntos). Evidencia: Informe desde la herramienta definida para las mediciones “Aranda”Entregables:Se creara un informe trimestral con las evidencias donde se demuestra el cumplimiento de las mismas</t>
  </si>
  <si>
    <t>Fortalecer durante el 2025 la capacidad de respuesta y atención en Ciberseguridad del FNG, mediante la implementación de las siguientes soluciones:1.Protección de Marca: Implementación de herramientas para la detección y mitigación de suplantaciones de identidad, fraudes digitales y usos indebidos de la imagen institucional en canales externos.&amp;nbsp;2. Advance Report (GoAnywhere): Integración de una solución avanzada para la gestión segura de transferencias de archivos, con trazabilidad, control de accesos y generación de reportes automatizados.3. Control de Acceso a la Red (NAC): Despliegue de una solución de Network Access Control que permita identificar, autenticar y autorizar dispositivos conectados a la red del FNG, garantizando un entorno más seguro y controlado.Entregables:1. Documento contractual (Contrato Protección de Marca) Q22. Informe de implementación (Protección de Marca) Q33. Documento contractual (GoAnyWhere) Q34. Informe de implementación módulo Advance Report (GoAnyWhere) Q25. Documento contractual (Contrato NAC) Q36. Informe de implementación (NAC) Q4</t>
  </si>
  <si>
    <t>Continuar durante el 2025 con el proceso de modernización de la infraestructura tecnológica y de equipos de comunicaciones para soportar procesos de negocio como son la gestión de inversiones en la mesa de dinero, y la gestión administrativa mediante la dotación de nuevos recursos tecnológicos en ambientes de trabajo en el FNG. Incluye las pruebas de concepto, adquisiciones e instalaciones de:- Pruebas de concepto y/o implementación de Torretas en la mesa de dinero. (según valoración del área Financiera) Q3-Q4- Instalación de equipos de videoconferencia en las salas de las Vicepresidencias. Q2-Q3- Dotación de equipos especializados para diseño e impresión y monitores para puestos de trabajo. Q2-Q4Entregables:Q2- Contrato los equipos de video- Contrato de equipo de diseño- Contrato compra de monitoresQ3- Informe de Instalación los equipos de video- Acta de recibo de equipo de diseño- Contrato de compra de impresoraQ4- Informe de POC de acuerdo con lo evaluado por la Vicepresidencia Financiera o Compra e Instalación torretas a cargo de la Vicepresidencia de TD e Innovación Q4- Informe de POC o Instalación torretas- Acta de entrega de impresora- Acta de recibo de monitores</t>
  </si>
  <si>
    <t>1031170467</t>
  </si>
  <si>
    <t>Dominik Khatirin Cifuentes Barbosa</t>
  </si>
  <si>
    <t>Analista Devolución de Comisiones</t>
  </si>
  <si>
    <t xml:space="preserve">Capacitación proceso Devolución y reintegro de comisiones </t>
  </si>
  <si>
    <t>A 31 de diciembre realizar dos capacitaciones presenciales, una&amp;nbsp;a la Dirección de Soluciones y Soporte Comercial&amp;nbsp;y una&amp;nbsp;al Centro de Contacto sobre el proceso de devolución y reintegro de comisiones.&amp;nbsp;INDICADOR:&amp;nbsp;Capacitación a la Dirección de Soluciones y Soporte Comercial - 50% (Cumple/No cumple)Capacitación al Centro de Contacto - 50% (Cumple/No cumple)ENTREGABLES / EVIDENCIA: Listado de asistencia y encuestas.. las evidencias ubicadas en la Ruta: P:\Objetivos\2025\Direccion de Operaciones\</t>
  </si>
  <si>
    <t>Curso de Análisis de Datos e  Inteligencia Artificial - Microsoft</t>
  </si>
  <si>
    <t>A 31 de diciembre del 2025 aprobar el curso de Análisis de Datos e Inteligencia Artificial&amp;nbsp;de MicrosoftINDICADORCumple/ No CumpleENTREGABLE/EVIDENCIA : Certificaciones y/o credenciales digitales emitidas por la plataforma correspondiente ubicados en la ruta ubicado en la ruta P:\Objetivos\2025\Direccion de Operaciones\.</t>
  </si>
  <si>
    <t>Indicador Devoluciones con novedad</t>
  </si>
  <si>
    <t>Entre los meses de junio y diciembre de 2025, obtener un resultado máximo el 0,05% en el indicador: “Devoluciones de comisiones con novedad”.INDICADOR:(Devoluciones con novedad / Total de garantías validadas) * 100&amp;nbsp;Nota: El indicador mide el porcentaje de garantías, del total de garantías validadas en el periodo evaluado, que: i) presentan inconsistencias en el valor devuelto, ii) fueron devueltas por fuera del tiempo establecido (se excluyen las garantías cuya factura no se encuentre compensada o los IF que no reciban recursos en los cortes por sus cierres contables). La medición se realizará tomando como base los procesos automáticos de prepago y novación, así como las solicitudes realizadas por los IF a través del Anexo 12, según los cortes indicados en el Reglamento de garantías.El cumplimiento se medirá de acuerdo con la siguiente tabla métrica y de forma proporcional:&amp;gt; 0,05 0%De 0,050 a 0,041&amp;nbsp;20%De 0,040 a 0,031&amp;nbsp;40%De 0,030 a 0,021&amp;nbsp;60%De 0,020 a 0,011 80%&amp;lt;= 0,010 100%Evidencia: Base con el total de garantías validadas y barrido mensual del proceso de devolución de comisiones ubicados en la ruta ubicado en la ruta P:\Objetivos\2025\Direccion de Operaciones\.</t>
  </si>
  <si>
    <t xml:space="preserve">Flujos de pago devolución de comisiones </t>
  </si>
  <si>
    <t>Radicar los flujos de pago correspondientes a devolución de comisiones en el aplicativo Mercurio, a más tardar el cuarto día hábil posterior a cada corte antes del mediodía (12 pm) de los cortes correspondientes a :&amp;nbsp;- Primeros cortes entre Junio y Diciembre del 2025-Segundos cortes de Junio, Septiembre, Octubre, Noviembre y Diciembre de 2025.- Terceros cortes de Julio y Agosto de 2025Nota: Se excluyen de la medición los Intermediarios Financieros que por fechas de cierre en el mes de diciembre no reciban los recursos durante el transcurso de la validación, y deben girarse en el mes de Enero de 2026.INDICADOR:100% es igual a 100 puntos con una calificación proporcional entre 90% y 100%, donde 89,99% es 0 puntos.90 - 9%91 - 18%92 - 27%93 - 36%94 - 45%95 - 55%96 - 64%97 - 73%98 - 82%99 - 91%100 - 100%ENTREGABLES/EVIDENCIAS: Base extraída del aplicativo mercurio con fecha y hora de radicación, antes del mediodía del cuarto día hábil posterior a cada corte ubicada en la ruta P:\Objetivos\2025\Direccion de Operaciones\.</t>
  </si>
  <si>
    <t>38210323</t>
  </si>
  <si>
    <t>Dory Lorena Rodriguez Bocanegra</t>
  </si>
  <si>
    <t>Gerente de Cuenta Tolima</t>
  </si>
  <si>
    <t>Lograr la vinculación y/o reactivación durante el año 2025, de catorce (14) intermediarios financieros en la regional Bogotá-Centro (la cual comprende los departamentos de: Bogotá, Cundinamarca, Tolima, Huila, Caquetá, Meta, Guainia, Guaviare, Vaupes, Vichada y Amazonas). % Cumplimiento.# de vinculaciones año 2025/14 y el resultado obtenido será la calificación final del objetivo según la formula, ejemplo: 7 vinculaciones/14 = 50%&amp;nbsp;</t>
  </si>
  <si>
    <t>Participar en diez (10) eventos o más durante el año 2025 en la zona de atención comercial "Departamento del Tolima y el municipio de Girardot - Cundinamarca", dando a conocer las generalidades y portafolio del FNG como un aliado estratégico de los colombianos, haciendo presencia en espacios y/o eventos coordinados con las diferentes entidades aliadas en la región.% CumplimientoSe medirá de acuerdo a la fórmula: #eventos año 2025/10 y el resultado obtenido será la calificación final del objetivo según la fórmula; ejemplo 5/10=50%</t>
  </si>
  <si>
    <t>Visitar 357 sucursales activas gestionables de Intermediarios Financieros del FNG, durante el año 2025 en la zona de atención comercial departamento del Tolima y municipio de Girardot/Cundinamarca (base asignada por el subdirector comercial Bogotá Centro la cual puede estar sujeta a cambios). % Cumplimiento.Realizar 357 visitas o más obtendrá un puntaje de 100%, realizar menos de 357 visitas (equivalente al 90%) obtendrá un puntaje de 0%. Se medirá de acuerdo a la tabla equitativa: donde al sacar un puntaje del 90% el puntaje será 90%, y así hasta llegar al 100%</t>
  </si>
  <si>
    <t>Movilización de créditos con garantías del FNG de la base asignada</t>
  </si>
  <si>
    <t>Lograr al 31 de diciembre del año 2025 una movilización de créditos con garantías del FNG igual o superior al 100% de la meta asignada por la vicepresidencia comercial, en la zona de atención comercial "Departamento del Tolima y municipio de Girardot Cundinamarca" (base asignada por el subdirector comercial Bogotá Centro la cual puede estar sujeta a cambios).% Cumplimiento.Calificación proporcional entre la meta asignada por la vicepresidencia comercial en mi zona de atención comercial "Departamento del Tolima y municipio de Girardot Cundinamarca" y&amp;nbsp;$ 244.426.532.722 (donde menor a $ 244.426.532.722 es 0% y la meta asignada&amp;nbsp;por la vicepresidencia comercial o superior es el 100%)&amp;nbsp;La fórmula de medición del Rango: = (Resultado Indicador – Cumplimiento Mínimo) / (Meta – Cumplimiento Mínimo) x 100.</t>
  </si>
  <si>
    <t>Resultado Encuesta de satisfacción de cliente externo zona de ventas FNG S.A Y FNG TOLIMA</t>
  </si>
  <si>
    <t>Obtener al 31 de diciembre de 2025 un resultado ponderado en la Encuesta de Satisfacción del Cliente Externo para las zonas de venta FNG S.A Y FNG TOLIMA, mayor o igual a 9.1 (Donde menor a 8.6 es 0 puntos y 9.1 es 100 puntos), Rango: &amp;gt; o = 8.6 Pts. &amp;lt; 9.1 Pts. La fórmula de medición del Rango: = (Resultado Indicador – Cumplimiento Mínimo) / (Meta – Cumplimiento Mínimo) x 100.Evidencia: Resultado encuesta de cliente Externo&amp;nbsp;</t>
  </si>
  <si>
    <t>1020713878</t>
  </si>
  <si>
    <t>Edna Lucia Alba Vargas</t>
  </si>
  <si>
    <t>Profesional de Reclamación de Garantías</t>
  </si>
  <si>
    <t>Producto No Conforme</t>
  </si>
  <si>
    <t>A 31/12/2025 Obtener un indicador de producto no conforme de máximo el 0,46%, entre junio y diciembre de 2025.&amp;nbsp;El cumplimiento se medirá de acuerdo con la siguiente tabla métrica y de forma proporcional:&amp;nbsp;&amp;gt;46 0%&amp;nbsp;0,46 20%&amp;nbsp;0,45 28,0%&amp;nbsp;0,44 36,0%&amp;nbsp;0,43 44,0%&amp;nbsp;0,42 52,0%&amp;nbsp;0,41 60,0%&amp;nbsp;0,40 68,0%&amp;nbsp;0,39 76,0%&amp;nbsp;0,38 84,0%&amp;nbsp;0,37 92,0%&amp;nbsp;&amp;lt;=0,36 100%&amp;nbsp;Evidencia: Informe de producto no conforme.&amp;nbsp;</t>
  </si>
  <si>
    <t>Herramienta para IF - Por tipo Proceso</t>
  </si>
  <si>
    <t>Al 31/12/2025 Diseñar con IA una herramienta de guía y consulta para el área Comercial, que permita tener por los diferentes tipos de proceso los requisitos mínimos y aspectos particulares a tener en cuenta para evitar el rechazo de reclamaciones.Indicador: Cumple / No cumple.Evidencia: Entrega de la herramienta de consulta&amp;nbsp;</t>
  </si>
  <si>
    <t>1019048637</t>
  </si>
  <si>
    <t>Eduardo Luis De Oro Romero</t>
  </si>
  <si>
    <t>Subdirector de Experiencia Comercial y Producto</t>
  </si>
  <si>
    <t xml:space="preserve">Acreditación en experiencia del cliente </t>
  </si>
  <si>
    <t>Lograr al 31 de diciembre de 2025 la acreditación en experiencia del cliente para el Fondo Nacional de Garantías. El objetivo se cumple al 100% con la ejecución de todas las actividades, el resultado final corresponderá a la suma de los porcentajes de cumplimiento de cada actividad ejecutada y debidamente soportada, las cuales corresponden a las siguientes:&amp;nbsp;Actividad 1: Presentar a más tardar el 30 de abril el plan de preparación para la acreditación aprobado por la vicepresidente comercial, que contemple actividades como la comunicación y sensibilización de las áreas claves del FNG involucradas en este proceso. (Peso: 15%)Entregable: Acta firmada por la Vicepresidente Comercial que contiene el plan de preparación detallado, incluyendo cronograma, responsables y actividades de sensibilización.&amp;nbsp;Actividad 2:&amp;nbsp;Realizar a más tardar al 30 de julio el proceso de contratación para formalizar el acuerdo con la entidad prestadora del servicio y garantizar las condiciones administrativas y operativas necesarias para la ejecución del proyecto. (Peso: 10%).Entregable: Minuta contrato firmada por las partes.&amp;nbsp;Actividad 3: Al corte del 30 de agosto asegurar que todas las partes involucradas comprendan la importancia del assessment CX y participen activamente en el proceso (Peso: 15%):&amp;nbsp;Entregable: Informe detallado de sensibilización e involucramiento, con listado de actividades ejecutadas, participantes, fechas y evidencias, enviado por correo electrónico a la Vicepresidente Comercial y a la Directora de Experiencia.&amp;nbsp;Actividad 4: Apoyar el proceso de Evaluación de Madurez en CX (assessment CX) hasta el 30 de agosto garantizando:Facilitar la recolección de información necesaria para el diagnóstico de madurez en CX.• Monitorear el avance de la recopilación de datos y garantizar una alta tasa de respuesta en las encuestas.• Facilitar el acceso a las personas a entrevistar para el análisis cualitativo.Entregable: Informe consolidado de apoyo al assessment, que incluya avances, tasa de respuesta, listado de entrevistas gestionadas, enviado a la Vicepresidente Comercial y a la Directora de Experiencia.&amp;nbsp;Actividad 5: Al 30 de agosto presentar el análisis donde se refleje fielmente la situación del FNG y proporcionar retroalimentación para su ajuste. ajuste (Peso: 15%):Entregable: Documento con aceptación formal del diagnóstico, incluyendo observaciones o solicitudes de ajuste enviadas al proveedor.&amp;nbsp;Actividad 6:&amp;nbsp;A más tardar el 30 de septiembre obtener el informe con el resultado de la acreditación y asegurar la entrega de los resultados por parte del proveedor y que el Roadmap propuesto sea viable y alineado con los objetivos estratégicos del FNG (Peso: 10%)Entregable: Informe con el resultado de la acreditación y presentación con la propuesta de priorización de las actividades y asignación de responsables, aprobada a satisfacción por correo electrónico a la Vicepresidente Comercial y a la Directora de Experiencia&amp;nbsp;Actividad 7: Asegurar al 30 de septiembre la participación de las áreas claves en el taller de Co-creación (Peso: 10%)Entregable: Informe del taller de Co-creación, incluyendo agenda, participantes, hallazgos y compromisos, enviado por correo electrónico a la VP Vicepresidente Comercial y a la Directora de Experiencia&amp;nbsp;Actividad 8: A más tardar el 30 de noviembre elaborar el plan de trabajo post-acreditación el cual incluya los compromisos adquiridos que permita que la acreditación tenga un impacto tangible en el FNG. (Peso: 15%)Entregable: Plan de trabajo post-acreditación aprobado, sustentado en acta firmada por la Vicepresidente Comercial, donde se establecen actividades, responsables, tiempos.&amp;nbsp;Los entregables se encontrarán en la siguiente ruta: P:\Objetivos\2025\Dirección de Experiencia\Eduardo Luis de Oro Romero</t>
  </si>
  <si>
    <t>Plan estratégico “Le Metemos Corazón”</t>
  </si>
  <si>
    <t>Al 31 de diciembre de 2025, ejecutar las actividades definidas y aprobadas mediante acta por la dirección de experiencia en el plan estratégico “Le Metemos Corazón”. El objetivo se cumple al 100 % con la ejecución de todas las actividades planteadas, el resultado final corresponderá a la suma de los porcentajes de cumplimiento de cada actividad ejecutada y debidamente soportada:Actividad 1: Fortalecer al interior del FNG la estrategia #LeMetemosCorazón, mediante acciones de comunicación interna, sensibilización y apropiación por parte de los equipos, con énfasis en su vínculo con los pilares de la experiencia (Atraer, Enamorar y Retener) (Peso: 15%).Entregable: Informe con evidencias de acciones internas realizadas para fortalecer la estrategia #LeMetemosCorazón.Actividad 2: Brindar acompañamiento y asesorías especializadas a las cooperativas, para fortalecer su gestión comercial y operativa con base en los lineamientos de experiencia definidos por el FNG (Peso: 20%).Entregable: Planes de cuenta completados con las visitas y acompañamientos realizados a las cooperativas, enviado por correo electrónico a la Dirección de Experiencia.Actividad 3: Ejecutar la iniciativa "Café con el corazón" como herramienta de escucha activa que permita capturar la voz del intermediario financiero (Voz del IF), identificar oportunidades de mejora y reforzar la relación institucional (Peso: 20%).Entregable: Informe de resultados de las sesiones “Café con el corazón”, con hallazgos y oportunidades de mejora, enviado a la Dirección de Experiencia.Actividad 4: Generar el contenido para piezas que reflejen el espíritu de trabajar con el corazón, visibilizando buenas prácticas y testimonios de impacto positivo con los IF (Peso: 15%).Entregable: Evidencias de piezas de contenido.Actividad 5: Reconocer a tres intermediarios financieros que destaquen por su compromiso y alineación con la estrategia “lemetemoscorazón”, con base en los criterios definidos en el acta (Peso: 15%)Entregable: Acta de reconocimiento a los tres intermediarios financieros, enviada a la Dirección de Experiencia.Actividad 6: Coordinar la realización de tres jornadas Experience Day, diseñadas para acercar a los intermediarios financieros a la cultura de experiencia del FNG, generar conexión emocional con la marca y reforzar su rol como aliados estratégicos (Peso: 15%)Entregable: Informe de ejecución de las jornadas Experience Day, con resumen de participantes, temáticas abordadas y evidencias, enviado a la Dirección de Experiencia.Los entregables se encontrarán en la siguiente ruta P:\Objetivos\2025\Dirección de Experiencia\Eduardo Luis de&amp;nbsp;Oro&amp;nbsp;Romero</t>
  </si>
  <si>
    <t xml:space="preserve">Plan estratégico “La Voz: Beneficiarios” </t>
  </si>
  <si>
    <t>Lograr al 31 de diciembre de 2025, ejecutar el 100 % de las actividades definidas y aprobadas por la Dirección de Experiencia en el marco del plan estratégico “La Voz”, orientado a fortalecer la escucha activa de los beneficiarios de las garantías. El objetivo se considera cumplido al 100 % con la ejecución total de las actividades programadas. Se establece un cumplimiento mínimo del 90 %. La medición se realizará mediante una tabla equitativa, de acuerdo con el siguiente esquema:100 % de actividades ejecutadas: puntaje completo90–99 % de actividades ejecutadas: puntaje proporcionalMenos del 90 % de ejecución: puntaje de 0Fórmula de medición:(Total de actividades ejecutadas / Total de actividades planteadas) * 100Actividad 1. Recopilación de información   ·&amp;nbsp;&amp;nbsp;&amp;nbsp;&amp;nbsp;&amp;nbsp;&amp;nbsp;&amp;nbsp;Realizar entrevistas presenciales o virtuales con beneficiarios de las garantías, con el fin de identificar su nivel de conocimiento sobre el FNG, sus productos y propósito institucional. Durante este proceso, se brindará orientación clara y pedagógica sobre quiénes somos y qué hacemos.&amp;nbsp;Actividad 2. Análisis de la información recolectada  ·&amp;nbsp;&amp;nbsp;&amp;nbsp;&amp;nbsp;&amp;nbsp;&amp;nbsp;&amp;nbsp;Analizar los datos obtenidos en las entrevistas para identificar oportunidades de mejora, barreras de acceso o desconocimiento recurrente. Según la complejidad de los hallazgos, se presentarán requerimientos ante el área correspondiente para su respectiva gestión.&amp;nbsp;Actividad 3. Articulación e implementación de mejoras  ·&amp;nbsp;&amp;nbsp;&amp;nbsp;&amp;nbsp;&amp;nbsp;&amp;nbsp;&amp;nbsp;Coordinar con las áreas responsables la ejecución de acciones orientadas a resolver las problemáticas identificadas, asegurando trazabilidad y seguimiento de cada mejora implementada.·&amp;nbsp;&amp;nbsp;&amp;nbsp;&amp;nbsp;&amp;nbsp;&amp;nbsp;&amp;nbsp;&amp;nbsp;Entregable: Informe de actividades realizadas, enviado por correo electrónico a la Dirección de Experiencia antes del 15 de diciembre de 2025 y aprobado por esta.&amp;nbsp;Los entregables se encontrarán en la siguiente ruta: P:\Objetivos\2025\Dirección de Experiencia\Eduardo Luis de&amp;nbsp;Oro&amp;nbsp;Romero</t>
  </si>
  <si>
    <t>Plan Mejora Encuesta Cliente Externo</t>
  </si>
  <si>
    <t>Al 31 de diciembre de 2025, ejecutar la totalidad de las actividades definidas en el plan de acción de mejora de los resultados de cada uno de los componentes de la encuesta de cliente externo aplicada en el 2024, las cuales deben ser aprobadas mediante acta por la Dirección de Experiencia.El objetivo se cumple al 100% con la ejecución de todas las actividades, el resultado final corresponderá a la suma de los porcentajes de cumplimiento de cada actividad ejecutada y debidamente soportada, las cuales corresponden a las siguientes:&amp;nbsp;Actividades 1: Componente Calidad en el Servicio (Peso 30%).Actividades 2: Componente Satisfacción con el producto (Peso 25%).Actividades 3: Componente Satisfacción con los funcionarios (Peso 20%).Actividades 4: Componente Proceso Operativo (Peso 10%).Actividades 5: Componente Portal Transaccional (Peso 15%).&amp;nbsp;Entregable: Informe de actividades realizadas, enviado por correo electrónico a la Dirección de Experiencia antes del 15 de diciembre de 2025 y aprobado por esta.&amp;nbsp;Los entregables se encontrarán en la siguiente ruta: P:\Objetivos\2025\Dirección de Experiencia\Eduardo Luis de&amp;nbsp;Oro&amp;nbsp;Romero</t>
  </si>
  <si>
    <t xml:space="preserve">Revisión y mejora de la encuesta de cliente externo </t>
  </si>
  <si>
    <t>A más tardar el 31 de diciembre de 2025, evaluar y presentar propuesta de mejora al contenido del instrumento “Encuesta de Cliente Externo” aprobada por la Vicepresidente Comercial, mediante un análisis técnico de su estructura actual y la formulación de recomendaciones.El objetivo se cumple al 100 % con la entrega del informe técnico y la propuesta forma aprobado por la Vicepresidente. Menos del 100% el puntaje será de 0.Entregable: Informe técnico con el análisis de la encuesta vigente y propuesta de mejora, enviado por correo electrónico y aprobado por la vicepresidente comercial.Los entregables se encontrarán en la siguiente ruta: P:\Objetivos\2025\Dirección de Experiencia\Eduardo Luis de Oro Romero</t>
  </si>
  <si>
    <t>Director de Asuntos Corporativos</t>
  </si>
  <si>
    <t>Gestionar la anticipación normativa del FNG</t>
  </si>
  <si>
    <t>Subdirector de Cartera</t>
  </si>
  <si>
    <t>1015407965</t>
  </si>
  <si>
    <t>Nataly Vera Castellanos</t>
  </si>
  <si>
    <t>DIAGNÓSTICO DE LA GESTIÓN DE COBRANZA POR LOS FRG: OPTIMIZACIÓN DE LA EXPERIENCIA DEL DEUDOR Y CANALES DE ATENCIÓN</t>
  </si>
  <si>
    <t>DESCRIPCIÓN DEL OBJETIVO: A 31 de diciembre de 2025, realizar un diagnóstico general de la gestión de cobranza de los 4 operadores de recuperación de cartera (FRG), con el fin de definir un plan de trabajo para consolidar una propuesta de un modelo de cobranza que tenga como propósito mejorar la experiencia y satisfacción de los deudores de la cartera especial en este proceso. ENTREGABLE: Este objetivo tendrá los siguientes hitos y entregables: a)&amp;nbsp;&amp;nbsp;&amp;nbsp;&amp;nbsp;&amp;nbsp;A 31 de Julio 2025, presentar al Comité de Recuperación de Cartera, el objetivo del proyecto y cronograma de actividades del plan de trabajo. Evidencia: Informe y cronograma. Peso: 20%b)&amp;nbsp;&amp;nbsp;&amp;nbsp;&amp;nbsp;A 31 de Agosto 2025, presentar un informe al Comité de Recuperación de Cartera sobre el primer avance del diagnóstico preliminar del modelo de cobranza actual de los FRG. Este informe debe contener como mínimo: Organigrama del equipo de trabajo de cada FRG, experiencia de los gestores, infraestructura y protocolos de cobranza actuales y estudio inicial de habilidades blandas de los gestores. Evidencia: Informe. Peso: 20%c)&amp;nbsp;&amp;nbsp;&amp;nbsp;&amp;nbsp;&amp;nbsp;A 30 de septiembre presentar un informe de avance del desarrollo del objetivo al Comité Directivo. Peso: 10%d)&amp;nbsp;&amp;nbsp;&amp;nbsp;&amp;nbsp;A 31 de octubre 2025, presentar un informe al Comité de Recuperación de Cartera que contenga una propuesta de la estandarización de los protocolos de atención en la cobranza determinados por el FNG. Evidencia: Informe. Peso: 20%e)&amp;nbsp;&amp;nbsp;&amp;nbsp;&amp;nbsp;&amp;nbsp;A 30 de noviembre presentar un informe de avance del desarrollo del objetivo al Comité Directivo. Peso: 10%f)&amp;nbsp;&amp;nbsp;&amp;nbsp;&amp;nbsp;&amp;nbsp;&amp;nbsp;&amp;nbsp;A 31 de diciembre 2025, socializar con los FRG los protocolos de cobranza estandarizados a través de capacitaciones a los gestores.&amp;nbsp;Evidencia: Actas de reunión. Peso: 20%EVIDENCIAS DE CUMPLIMIENTO: Actas de los comités de recuperación de cartera y directivo con la presentación de los informes propuestos, así como actas de reunión de la socialización de capacitaciones.EVALUACIÓN:&amp;nbsp;el porcentaje de cumplimiento del objetivo será la sumatoria del peso asignado a cada hito, que se cumpla al 100%</t>
  </si>
  <si>
    <t>Generar ingresos por concepto de recuperación y venta de cartera derivado del pago de garantías con recuperación de cartera por la suma de $88,642 millones, correspondiente al valor contemplado en el presupuesto de ingresos aprobado por Junta Directiva para el año 2025. (Este valor contempla ingresos derivados de la meta de recuperación de cartera asignada a los FRGs, reintegros y reactivaciones, recuperación por anexo 13 (IF), ingresos por ventas de cartera y compartición del precio de la enajenación de la cartera de los IF.)&amp;nbsp;ENTREGABLE: Correo enviado por la Directora/Subdirectora de Cartera los primeros días del año 2026, informando los resultados definitivos de la recuperación de cartera durante la vigencia 2025. EVIDENCIA DE CUMPLIMIENTO: Correo electrónico remito por la Directora/Subdirectora de Cartera los primeros días del año 2026, informando los resultados definitivos de la recuperación de cartera durante la vigencia 2025. EVALUACIÓN: Se obtendrá calificación a partir del cumplimiento del 90% ($79,778 millones) de la meta: donde el 89,9% da 0% y proporcional entre el 90% y 100%.</t>
  </si>
  <si>
    <t>TABLERO EJECUTIVO DE SEGUIMIENTO Y CONTROL</t>
  </si>
  <si>
    <t>A 31 de diciembre de 2025, la Dirección implementará un tablero ejecutivo integral que permita el monitoreo en tiempo real del desempeño de la gestión de recuperación de cartera, incluyendo seguimiento a metas de recuperación, evaluación de la efectividad de los operadores de cobranza, y/o otros indicadores que se relacionen con el proceso. ENTREGABLES: Este objetivo tendrá los siguientes hitos y entregables:a)&amp;nbsp;&amp;nbsp;&amp;nbsp;&amp;nbsp;&amp;nbsp;A 31 de agosto 2025, presentar al Comité de Recuperación de Cartera el diseño conceptual y arquitectura técnica del tablero ejecutivo, incluyendo definición de indicadores, fuentes de datos y maquetas de las pantallas principales. Evidencia: Acta de Comité. Peso: 20%b)&amp;nbsp;&amp;nbsp;&amp;nbsp;&amp;nbsp;A 30 de septiembre 2025, presentar al Comité de Recuperación de Cartera la versión beta del tablero con los requerimientos solicitados a ese corte. Evidencia: Acta de Comité con la Demostración funcional del tablero. Peso: 25%c)&amp;nbsp;&amp;nbsp;&amp;nbsp;&amp;nbsp;&amp;nbsp;A 31 de octubre 2025, realizar socialización del tablero en versión beta con los equipos de los fondos de garantías (FRG), para recopilar observaciones y sugerencias de mejora al mismo. Evidencia: Actas de reunión de socialización. Peso: 20%d)&amp;nbsp;&amp;nbsp;&amp;nbsp;&amp;nbsp;A 30 de noviembre 2025. Radicar dos funcionalidades adicionales para el seguimiento de indicadores de cartera, incluyendo las mejoras al tablero inicial con la carga de las historias de usuario respectivas. Evidencia: Documento de historias de usuario y número del ticket del caso en Aranda creado.&amp;nbsp;Peso: 20%e)&amp;nbsp;&amp;nbsp;&amp;nbsp;&amp;nbsp;&amp;nbsp;A 31 de diciembre 2025, presentar el tablero ejecutivo definitivo y con acceso completo a los miembros del Comité de Recuperación de Cartera. Evidencia: Acta de Comité. Peso: 15% EVIDENCIAS DE CUMPLIMIENTO: Actas de los comités de recuperación de cartera con la presentación de los informes y demostraciones propuestas, actas de socialización, documentación técnica y acta final de entrega del sistema. EVALUACIÓN: El porcentaje de cumplimiento del objetivo será la sumatoria del peso asignado a cada hito, que se cumpla al 100%.</t>
  </si>
  <si>
    <t>ESTUDIO DE FACTIBILIDAD Y VIABILIDAD DEL PAGO DE GARANTÍAS SIN MANDAMIENTO DE PAGO</t>
  </si>
  <si>
    <t>A 31 de diciembre de 2025, realizar un estudio de factibilidad y viabilidad que concluya si es conveniente realizar el pago de las garantías reclamadas bajo el esquema tradicional de reclamación con recuperación de cartera de manera anticipada con una acreditación de los soportes jurídicos de pago (mandamiento de pago y/o auto de graduación y calificación de crédito) con posterioridad al pago de la garantía al intermediario financiero.&amp;nbsp;ENTREGABLES: Este objetivo tendrá los siguientes hitos y entregables: a)&amp;nbsp;&amp;nbsp;&amp;nbsp;&amp;nbsp;&amp;nbsp;A 31 de julio de 2025, presentar al Comité Directivo un esquema de pros y contras inicial del estudio de viabilidad. Se requiere entrevistas con las áreas de operaciones, financiera, riesgos y comercial. Peso: 20%b)&amp;nbsp;&amp;nbsp;&amp;nbsp;&amp;nbsp;A 31 de agosto 2025, presentar al Comité de Recuperación de Cartera el análisis del impacto operativo de realizar el pago de garantías anticipado obteniendo el mandamiento de pago posteriormente. Peso: 20%c)&amp;nbsp;&amp;nbsp;&amp;nbsp;&amp;nbsp;&amp;nbsp;A 30 de septiembre de 2025, presentar al Comité de Recuperación de Cartera el análisis de riesgos enfocado a la siniestralidad, con la propuesta del pago de garantías anticipado obteniendo el mandamiento de pago posteriormente (artículos a modificar en el reglamento de garantías). Peso: 20%d)&amp;nbsp;&amp;nbsp;&amp;nbsp;&amp;nbsp;A 31 de octubre 2025, presentar al Comité de Recuperación de Cartera las conclusiones del informe de factibilidad y viabilidad de la propuesta del pago de garantías anticipado obteniendo el mandamiento de pago posteriormente. Evidencia: informe de factibilidad y viabilidad. Peso: 20%e)&amp;nbsp;&amp;nbsp;&amp;nbsp;&amp;nbsp;&amp;nbsp;A 30 de noviembre de 2025, presentar al Comité Directivo las conclusiones del informe de factibilidad y viabilidad de la propuesta del pago de garantías anticipado. Peso 20%</t>
  </si>
  <si>
    <t>ACTUALIZACION DOCUMENTAL DEL AREA</t>
  </si>
  <si>
    <t>A 30 de noviembre de 2025, actualizar el 100% de los documentos asociados a la Subdirección de Cartera, según inventario entregado por la Dirección de Planeación y Gestión Integral, incluyendo aquellos documentos nuevos que se generen por las nuevas actividades y tareas del área.&amp;nbsp;&amp;nbsp;Evidencias del Cumplimiento: Correo electrónico de la funcionaria líder de la Dirección de Planeación y Gestión Integral, donde confirme el porcentaje de documentos que se encuentran actualizados al 30 de noviembre de 2025.&amp;nbsp;Evaluación: El objetivo es calificable a partir del cumplimiento del 95% del inventario de documentos entregados para actualizar, donde el 94,99% da 0% y proporcional a partir del 95%.&amp;nbsp;&amp;nbsp;</t>
  </si>
  <si>
    <t>DIAGNÓSTICO DE MEJORAS EN EL MODELO DE RECUPERACIÓN DE CARTERA</t>
  </si>
  <si>
    <t>Al 31 de diciembre de 2025, la Dirección de Gestión y Recuperación de Cartera liderará la contratación de una firma especializada para lograr realizar un diagnóstico, reflexión estratégica y formulación de recomendaciones para optimizar, mejorar y modernizar la gestión de cobranza de la cartera del FNG derivada del pago de garantías, específicamente para la cartera que se encuentra a cargo de personas naturales y que registran bajos montos.ENTREGABLES: por cada hito cumplido se entregarán los siguientes documentos:Contratación ejecutada - Adjudicación y acta de inicio del contrato de diagnóstico (junio 2025). Entregable: Contrato Firmado. Peso: 30%Realización del diagnóstico al proceso de gestión de cobranza - Documento definitivo del diagnóstico e informe de recomendaciones para su mejoramiento y modernización, entregado por la firma especializada. Entregable: Acta de Comité de Recuperación de Cartera con fecha anterior o igual al 31/10/2025, donde quede plasmada la aprobación del informe entregado, por parte de sus miembros.&amp;nbsp;Peso: 40%A 31 de diciembre de 2025, diseñar y presentar al Comité de Recuperación de Cartera, un plan de trabajo para la implementación de mejoras y recomendaciones extraídas del documento entregado por la firma especializada.&amp;nbsp;Entregable: Acta de Comité de Recuperación de Cartera donde quede plasmado la aprobación del Plan de trabajo. Peso: 30%EVIDENCIAS DE CUMPLIMIENTO: Copia simple del contrato suscrito y su respectiva acta de inicio, documentos del diagnóstico y actas de los comités de recuperación de cartera con la presentación de los informes propuestos, donde quede plasmada la aprobación del Plan de trabajo.EVALUACIÓN: El porcentaje de cumplimiento del objetivo, será la sumatoria de los pesos que se han asignado a cada uno de los hitos cuando se cumplan al 100% con sus entregables.&amp;nbsp;</t>
  </si>
  <si>
    <t>1100949416</t>
  </si>
  <si>
    <t>Elsa Susana Reyes Quintanilla</t>
  </si>
  <si>
    <t>Dirección de Vinculación, Aseguramiento y Calidad</t>
  </si>
  <si>
    <t>Profesional de Vinculaciones y Formalización</t>
  </si>
  <si>
    <t>1033739239</t>
  </si>
  <si>
    <t>Lina Maria Sarmiento Bolivar</t>
  </si>
  <si>
    <t xml:space="preserve">Participar en las actividades asignadas en el proyecto de automatización de vinculación - Fase I </t>
  </si>
  <si>
    <t>Participar en las actividades asignadas en el proyecto de automatización de vinculación - Fase I (20%):&amp;nbsp;Historia de usuario:&amp;nbsp;Ejecutar al 100% las actividades asignadas en el marco del proyecto de automatización del proceso de vinculación.&amp;nbsp;Medición: (Total de actividades realizadas y entregadas / Total de actividades asignadas) *100&amp;nbsp;Entregable - Q2 (peso 30%) Informe (ppt) donde se relacione la fecha de la actividad, descripción y fecha de entrega de la actividad realizada. La evidencia será el acta de la reunión realizada con la Subdirección y Dirección de Vinculación, Aseguramiento y Calidad.&amp;nbsp;Entregable – Q3 (peso 30%) Informe (ppt) donde se relacione la fecha de la actividad, descripción y fecha de entrega de la actividad realizada. La evidencia será el acta de la reunión realizada con la Subdirección y Dirección de Vinculación, Aseguramiento y Calidad.&amp;nbsp;Entregable – Q4 (peso 40%) Informe (ppt) donde se relacione la fecha de la actividad, descripción y fecha de entrega de la actividad realizada. La evidencia será el acta de la reunión realizada con la Subdirección y Dirección de Vinculación, Aseguramiento y Calidad.&amp;nbsp;Los entregables se encontrarán en la siguiente ruta: P:\Objetivos\2025\Dirección de Vinculación, Aseguramiento y Calidad\Elsa Susana Reyes Quintanilla&amp;nbsp;Frecuencia del monitoreo: Marzo a diciembre de 2025</t>
  </si>
  <si>
    <t>Actualizar el proceso de Formalización</t>
  </si>
  <si>
    <t>Al corte del 19 de diciembre de 2025, actualizar el proceso de Formalización de intermediarios financieros en cuanto a los tiempos e integración de actividades requeridas para habilitar en los sistemas del FNG a los intermediarios financieros vinculados o reactivados para productos tradicionales y garantía global. &amp;nbsp;Se deberá actualizar los siguientes documentos:&amp;nbsp;o&amp;nbsp;&amp;nbsp;Procedimiento y Flujograma Formalización de Clientes (PD-GCO-014)o&amp;nbsp;&amp;nbsp;ANS Formalización de Clientes (FR-GXS-001)o&amp;nbsp;&amp;nbsp;Instructivo de gestión (IN-GCO-016)o&amp;nbsp;&amp;nbsp;Validación Formalización de Intermediarios Financieros (FR-GCO-056)&amp;nbsp;Frecuencia: Desde el 01 de marzo al 31 de diciembre de 2025&amp;nbsp;Medición: El objetivo se cumple al 100% con la ejecución de todas las actividades, el resultado final corresponderá a la suma de los porcentajes de cumplimiento de cada actividad ejecutada y debidamente soportada, las cuales corresponden a las siguientes:&amp;nbsp;Entregables: Q3: 1.&amp;nbsp;&amp;nbsp;&amp;nbsp;&amp;nbsp;Elaborar y presentar vía correo electrónico la propuesta de los nuevos tiempos de formalización para la aprobación de la Subdirección de Vinculación, Aseguramiento y Calidad. (peso 60%)2.&amp;nbsp;&amp;nbsp;&amp;nbsp;&amp;nbsp;Ajustar la propuesta, actualizar la documentación del proceso de Formalización de Clientes y contar con la aprobación vía correo electrónico de los documentos por la Subdirección de Vinculación, Aseguramiento y Calidad. (peso 20%)3.&amp;nbsp;&amp;nbsp;&amp;nbsp;&amp;nbsp;Enviar el procedimiento y ANS del proceso con los nuevos tiempos a las áreas internas para su revisión y/o ajustes, vía correo electrónico. (peso 10%)Q4:4.&amp;nbsp;&amp;nbsp;&amp;nbsp;&amp;nbsp;Correo remitido a la Dirección de Experiencia con el levantamiento de información concertado con las áreas para la actualización y firma del ANS. (peso 5%)&amp;nbsp;5.&amp;nbsp;&amp;nbsp;&amp;nbsp;&amp;nbsp;Documentación cargada y aprobada en Isolución donde conste la fecha de aprobación en este aplicativo, la cual debe ser anterior o igual al 19 de diciembre de 2025. (peso 5%)&amp;nbsp;Los entregables se encontrarán en la siguiente ruta: P:\Objetivos\2025\Dirección de Vinculación, Aseguramiento y Calidad\Elsa Susana Reyes Quintanilla</t>
  </si>
  <si>
    <t>Vincular y/o reactivar intermediarios financieros y mandatos</t>
  </si>
  <si>
    <t>Al 31 de diciembre de 2025, cumplir la meta definida en el PAI de vincular o reactivar 40 intermediarios Financieros tradicionales y no tradicionales y Mandantes&amp;nbsp;Medición: (# de intermediarios vinculados o reactivados / # de intermediarios establecidos para la meta del PAI&amp;nbsp;Entregables: &amp;nbsp;Presentación del informe de gestión correspondiente al año 2025, el cual será remitido por correo electrónico a la Vicepresidencia Comercial, así como a la Dirección y Subdirección de Vinculación, Aseguramiento y Calidad. Este informe se entregará antes del 20 de enero de 2026.Los entregables se encontrarán en la siguiente ruta: P:\Objetivos\2025\Dirección de Vinculación, Aseguramiento y Calidad\Elsa Susana Reyes Quintanilla</t>
  </si>
  <si>
    <t xml:space="preserve">Calidad en los entregables internos y externos </t>
  </si>
  <si>
    <t>Al 31 de diciembre de 2025, mejorar la calidad de los entregables a clientes internos y externos. Mediante la medición del producto no conforme el cual se define como un error, imprecisión u omisión en una comunicación entregada (correo, presentación, informes, actas y contratos), en el cual se ha identificado el incumplimiento de un requisito de calidad por parte de la Subdirección, Dirección del equipo, un comité interno o un cliente externo. Este objetivo mide fondo, no forma.&amp;nbsp;Frecuencia: Desde el 01 de julio al 31 de diciembre de 2025&amp;nbsp;Medición: El objetivo mensual se considera cumplido al 100% si no se identifica ningún producto no conforme. La calificación final corresponderá al promedio de las calificaciones mensuales obtenidas.&amp;nbsp;No. eventos mes&amp;nbsp;&amp;nbsp;&amp;nbsp;&amp;nbsp;&amp;nbsp;&amp;nbsp;&amp;nbsp;&amp;nbsp;&amp;nbsp;&amp;nbsp;&amp;nbsp;&amp;nbsp;Calificación0&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100%1&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95%2&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90%3 o más&amp;nbsp;&amp;nbsp;&amp;nbsp;&amp;nbsp;&amp;nbsp;&amp;nbsp;&amp;nbsp;&amp;nbsp;&amp;nbsp;&amp;nbsp;&amp;nbsp;&amp;nbsp;&amp;nbsp;&amp;nbsp;&amp;nbsp;&amp;nbsp;&amp;nbsp;&amp;nbsp;&amp;nbsp;&amp;nbsp;&amp;nbsp;&amp;nbsp;&amp;nbsp;&amp;nbsp;&amp;nbsp;&amp;nbsp;&amp;nbsp;&amp;nbsp;&amp;nbsp;&amp;nbsp;&amp;nbsp;&amp;nbsp;&amp;nbsp;&amp;nbsp;&amp;nbsp;&amp;nbsp;&amp;nbsp;&amp;nbsp;&amp;nbsp;0%&amp;nbsp;Los entregables se encontrarán en la siguiente ruta: P:\Objetivos\2025\Dirección de Vinculación, Aseguramiento y Calidad\Elsa Susana Reyes Quintanilla</t>
  </si>
  <si>
    <t xml:space="preserve">Automatizar el proceso de vinculación - Fase I </t>
  </si>
  <si>
    <t>Automatizar el proceso de vinculación - Fase I (10%):&amp;nbsp;Ejecutar al 31 de diciembre de 2025 el proyecto de automatización del proceso de vinculación en la Fase I. &amp;nbsp;Medición: El objetivo se cumple al 100% con la ejecución de todas las actividades, siempre y cuando se cuente con la nueva funcionalidad mediante un botón en la página web para vincular nuevos clientes potenciales, el resultado final corresponderá a la suma de los porcentajes de cumplimiento de cada actividad ejecutada y debidamente evidenciada. &amp;nbsp;Entregable 1 - Q2: Al 30 de junio de 2025, Historia de Usuario radicada en la herramienta ARANDA en donde se evidencia el número del caso generado. Entregable 2 - Q3: Al 30 de septiembre de 2025, presentar el informe de actividades ejecutadas que contenga el avance en el desarrollo de la solución, identificación de ajustes y pruebas, si es aplicable. Este informe será presentado por la Dirección de Vinculación en la reunión de seguimiento del proyecto de automatización.Entregable 3 - Q4: Al 31 de diciembre de 2025, presentar el informe de actividades ejecutadas en el cual se incluya la nueva funcionalidad mediante un botón en la página web para vincular nuevos clientes potenciales. Este informe será presentado por la Dirección de Vinculación en la reunión de seguimiento del proyecto de automatización.&amp;nbsp;Los entregables se encontrarán en la siguiente ruta: P:\Objetivos\2025\Dirección de Vinculación, Aseguramiento y Calidad\Elsa Susana Reyes Quintanilla&amp;nbsp;Indicador: Total de entregables a tiempo/ Total de entregables definidos *100 y la solución se encuentre en la página web o el sitio definido técnicamente.&amp;nbsp;Frecuencia del monitoreo: Marzo a Diciembre de 2025</t>
  </si>
  <si>
    <t>Elaborar la documentación del proceso actual de Vinculación, Actualización y Reactivación</t>
  </si>
  <si>
    <t>Elaborar la documentación del proceso actual de Vinculación, Actualización y Reactivación (20%):&amp;nbsp;Generar de forma individual la documentación correspondiente al proceso actual de Vinculación, Actualización y Reactivación; Se deberá actualizar y/o elaborar los siguientes documentos para cada proceso:&amp;nbsp;&amp;nbsp;o&amp;nbsp;&amp;nbsp;Procedimiento y flujogramao&amp;nbsp;&amp;nbsp;ANSo&amp;nbsp;&amp;nbsp;IN-GCO-018 Instructivo del Proceso Operativo para Vinculación Actualización o Reactivación de Intermediarios Financieroso&amp;nbsp;&amp;nbsp;FR-GCO-028 Lista documentos proceso de vinculación, reactivación y actualización de intermediarios &amp;nbsp;Frecuencia: Desde el 01 de julio al 19 de diciembre de 2025&amp;nbsp;Medición: El objetivo se cumple al 100% con la ejecución de todas las actividades, el resultado final corresponderá a la suma de los porcentajes de cumplimiento de cada actividad ejecutada y debidamente soportada, las cuales corresponden a las siguientes:&amp;nbsp;Entregables: Q3: o&amp;nbsp;&amp;nbsp;Elaborar la documentación y presentarla vía correo electrónico para la revisión y aprobación de la Subdirección de Vinculación, Aseguramiento y Calidad. (peso 60%)o&amp;nbsp;&amp;nbsp;Ajustar la documentación si aplica y contar con la aprobación vía correo electrónico de los documentos por la Subdirección de Vinculación, Aseguramiento y Calidad. (peso 20%)o&amp;nbsp;&amp;nbsp;Enviar documentación del proceso a las áreas internas para su revisión y/o ajustes, vía correo electrónico. (peso 10%)Q4:o&amp;nbsp;&amp;nbsp;Correo remitido a la Dirección de Experiencia con el levantamiento de información concertado con las áreas para la actualización y firma del ANS. (peso 5%)&amp;nbsp;o&amp;nbsp;&amp;nbsp;Documentos cargados y aprobados en Isolución donde conste la fecha de aprobación en este aplicativo, la cual debe ser anterior o igual al 19 de diciembre de 2025. (peso 5%)&amp;nbsp;Los entregables se encontrarán en la siguiente ruta: P:\Objetivos\2025\Dirección de Vinculación, Aseguramiento y Calidad\Elsa Susana Reyes Quintanilla</t>
  </si>
  <si>
    <t>1026259257</t>
  </si>
  <si>
    <t>Erbin Mauricio Bayona Gomez</t>
  </si>
  <si>
    <t>Coordinador Experiencia Grandes Intermediarios Financieros</t>
  </si>
  <si>
    <t>Acreditación en experiencia del cliente</t>
  </si>
  <si>
    <t>Lograr al 31 de diciembre de 2025 la acreditación en experiencia del cliente para el Fondo Nacional de Garantías. El objetivo se cumple al 100% con la ejecución de todas las actividades, el resultado final corresponderá a la suma de los porcentajes de cumplimiento de cada actividad ejecutada y debidamente soportada, las cuales corresponden a las siguientes:&amp;nbsp;Actividad 1: Actividad 1: Presentar a más tardar el 30 de abril el plan de preparación para la acreditación aprobado por la vicepresidente comercial, que contemple actividades como la comunicación y sensibilización de las áreas claves del FNG involucradas en este proceso. (Peso: 15%)Entregable: Acta firmada por la Vicepresidente Comercial que contiene el plan de preparación detallado, incluyendo cronograma, responsables y actividades de sensibilización.&amp;nbsp;Actividad 2:&amp;nbsp;Realizar a más tardar al 30 de julio el proceso de contratación para formalizar el acuerdo con la entidad prestadora del servicio y garantizar las condiciones administrativas y operativas necesarias para la ejecución del proyecto. (Peso: 10%).Entregable: Minuta contrato firmada por las partes.&amp;nbsp;Actividad 3: Al corte del 30 de agosto asegurar que todas las partes involucradas comprendan la importancia del assessment CX y participen activamente en el proceso (Peso: 15%):&amp;nbsp;Entregable: Informe detallado de sensibilización e involucramiento, con listado de actividades ejecutadas, participantes, fechas y evidencias, enviado por correo electrónico a la Vicepresidente Comercial y a la Directora de Experiencia.&amp;nbsp;Actividad 4: Actividad 4: Apoyar el proceso de Evaluación de Madurez en CX (assessment CX) hasta el 30 de agosto garantizando:Facilitar la recolección de información necesaria para el diagnóstico de madurez en CX.• Monitorear el avance de la recopilación de datos y garantizar una alta tasa de respuesta en las encuestas.• Facilitar el acceso a las personas a entrevistar para el análisis cualitativo.Entregable: Informe consolidado de apoyo al assessment, que incluya avances, tasa de respuesta, listado de entrevistas gestionadas, enviado a la Vicepresidente Comercial y a la Directora de Experiencia.&amp;nbsp;Actividad 5: Al 30 de agosto presentar el análisis donde se refleje fielmente la situación del FNG y proporcionar retroalimentación para su ajuste. ajuste (Peso: 15%):Entregable: Documento con aceptación formal del diagnóstico, incluyendo observaciones o solicitudes de ajuste enviadas al proveedor.&amp;nbsp;Actividad 6:&amp;nbsp;Enviar a más tardar el 30 de septiembre el informe con el resultado de la acreditación y asegurar la entrega de los resultados por parte del proveedor y que el Roadmap propuesto sea viable y alineado con los objetivos estratégicos del FNG (Peso: 10%)Entregable: Informe con el resultado de la acreditación y presentación con la propuesta de priorización de las actividades y asignación de responsables, aprobada a satisfacción por correo electrónico a la Vicepresidente Comercial y a la Directora de Experiencia&amp;nbsp;Actividad 7: Asegurar al 30 de septiembre la participación de las áreas claves en el taller de Co-creación (Peso: 10%)Entregable: Informe del taller de Co-creación, incluyendo agenda, participantes, hallazgos y compromisos, enviado por correo electrónico a la VP Vicepresidente Comercial y a la Directora de Experiencia&amp;nbsp;Actividad 8: Establecer a más tardar el 30 de noviembre el plan de trabajo post-acreditación el cual incluya los compromisos adquiridos que permita que la acreditación tenga un impacto tangible en el FNG. (Peso: 15%)Entregable: Plan de trabajo post-acreditación aprobado, sustentado en acta firmada por la Vicepresidente Comercial, donde se establecen actividades, responsables, tiempos.&amp;nbsp;Los entregables se encontrarán en la siguiente ruta: Z:\Objetivos\2025\Dirección de Experiencia\Erbin Mauricio Bayona Gomez</t>
  </si>
  <si>
    <t>Al 31 de diciembre de 2025, ejecutar la totalidad de las actividades definidas en el plan de acción de mejora de los resultados de cada uno de los componentes de la encuesta de cliente externo aplicada en el 2024, las cuales deben ser aprobadas mediante acta por la Dirección de Experiencia.El objetivo se cumple al 100% con la ejecución de todas las actividades, el resultado final corresponderá a la suma de los porcentajes de cumplimiento de cada actividad ejecutada y debidamente soportada, las cuales corresponden a las siguientes:&amp;nbsp;Actividades 1: Componente Calidad en el Servicio (Peso 30%).Actividades 2: Componente Satisfacción con el producto (Peso 25%).Actividades 3: Componente Satisfacción con los funcionarios (Peso 20%).Actividades 4: Componente Proceso Operativo (Peso 10%).Actividades 5: Componente Portal Transaccional (Peso 15%).&amp;nbsp;Entregable: Informe de actividades realizadas, enviado por correo electrónico a la Dirección de Experiencia antes del 15 de diciembre de 2025 y aprobado por esta.&amp;nbsp;Los entregables se encontrarán en la siguiente ruta: Z:\Objetivos\2025\Dirección de Experiencia\Erbin Mauricio Bayona Gomez</t>
  </si>
  <si>
    <t xml:space="preserve">Plan estratégico “Le Metemos Corazón” </t>
  </si>
  <si>
    <t>Al 31 de diciembre de 2025, ejecutar las actividades definidas y aprobadas mediante acta por la dirección de experiencia en el plan estratégico “Le Metemos Corazón”. El objetivo se cumple al 100 % con la ejecución de todas las actividades planteadas, el resultado final corresponderá a la suma de los porcentajes de cumplimiento de cada actividad ejecutada y debidamente soportada:Actividad 1: Fortalecer al interior del FNG la estrategia #LeMetemosCorazón, mediante acciones de comunicación interna, sensibilización y apropiación por parte de los equipos, con énfasis en su vínculo con los pilares de la experiencia (Atraer, Enamorar y Retener) (Peso: 15%).Entregable: Informe con evidencias de acciones internas realizadas para fortalecer la estrategia #LeMetemosCorazón.Actividad 2: Brindar acompañamiento y asesorías especializadas a las cooperativas, para fortalecer su gestión comercial y operativa con base en los lineamientos de experiencia definidos por el FNG (Peso: 20%).Entregable: Planes de cuenta completados con las visitas y acompañamientos realizados a las cooperativas, enviado por correo electrónico a la Dirección de Experiencia.Actividad 3: Ejecutar la iniciativa "Café con el corazón" como herramienta de escucha activa que permita capturar la voz del intermediario financiero (Voz del IF), identificar oportunidades de mejora y reforzar la relación institucional (Peso: 20%).Entregable: Informe de resultados de las sesiones “Café con el corazón”, con hallazgos y oportunidades de mejora, enviado a la Dirección de Experiencia.Actividad 4: Generar el contenido para piezas que reflejen el espíritu de trabajar con el corazón, visibilizando buenas prácticas y testimonios de impacto positivo con los IF (Peso: 15%).Entregable: Evidencias de piezas de contenido.Actividad 5: Reconocer a tres intermediarios financieros que destaquen por su compromiso y alineación con la estrategia “LeMetemosorazón”, con base en los criterios definidos en el acta (Peso: 15%)Entregable: Acta de reconocimiento a los tres intermediarios financieros, enviada a la Dirección de Experiencia.Actividad 6: Coordinar la realización de tres jornadas Experience Day, diseñadas para acercar a los intermediarios financieros a la cultura de experiencia del FNG, generar conexión emocional con la marca y reforzar su rol como aliados estratégicos (Peso: 15%)Entregable: Informe de ejecución de las jornadas Experience Day, con resumen de participantes, temáticas abordadas y evidencias, enviado a la Dirección de Experiencia.Los entregables se encontrarán en la siguiente ruta: Z:\Objetivos\2025\Dirección de Experiencia\Erbin Mauricio Bayona Gomez</t>
  </si>
  <si>
    <t>Hojas de Vida de Intermediarios Financieros</t>
  </si>
  <si>
    <t>A 31 de diciembre de 2025, elaborar y socializar un total de ocho (8) hojas de vida de Intermediarios Financieros, integrando información operativa y comercial clave de cada entidad. El objetivo se considerará cumplido al 100 % con la elaboración y socialización de las ocho (8) hojas de vida. Si se alcanza al menos siete (7) hojas de vida, equivaldrá al 87% de cumplimiento. Por debajo de este umbral, el puntaje asignado será de cero (0)Entregable: Hojas de vida enviadas por correo electrónico a los funcionarios de la Vicepresidencia Comercial, con evidencia de la socialización realizada.&amp;nbsp;Los entregables se encontrarán en la siguiente ruta: Z:\Objetivos\2025\Dirección de Experiencia\Erbin Mauricio Bayona Gomez</t>
  </si>
  <si>
    <t>Visitas Intermediarios Financieros</t>
  </si>
  <si>
    <t>Realizar, durante el año 2025, un total de 150 visitas y/o acompañamientos dirigidos a las diferentes áreas de los Intermediarios Financieros, de las cuales al menos 25 deben llevarse a cabo de forma presencial. La medición del indicador se realizará con base en los registros de visitas y/o acompañamientos consignados en los planes de cuenta del CRM. El objetivo se considera cumplido al 100% con la ejecución de las 150 visitas. La meta mínima será del 95% (143 visitas), la cual otorgará un puntaje proporcional del 95. Por debajo de este umbral, el puntaje asignado será de cero (0).Indicador de medición: (Total de visitas ejecutadas / 150) × 100Entregable: planes de cuenta en estado completado en el CRM, enviado por la Subdirección de Arquitectura de Datos como evidencia de cumplimiento.&amp;nbsp;Los entregables se encontrarán en la siguiente ruta: Z:\Objetivos\2025\Dirección de Experiencia\Erbin Mauricio Bayona Gomez</t>
  </si>
  <si>
    <t>Lograr al 31 de diciembre de 2025, ejecutar el 100 % de las actividades definidas y aprobadas por la Dirección de Experiencia en el marco del plan estratégico “La Voz”, orientado a fortalecer la escucha activa de los beneficiarios de las garantías. El objetivo se considera cumplido al 100 % con la ejecución total de las actividades programadas. Se establece un cumplimiento mínimo del 90 %. La medición se realizará mediante una tabla equitativa, de acuerdo con el siguiente esquema:100 % de actividades ejecutadas: puntaje completo90–99 % de actividades ejecutadas: puntaje proporcionalMenos del 90 % de ejecución: puntaje de 0Fórmula de medición:(Total de actividades ejecutadas / Total de actividades planteadas) * 100Actividad 1. Recopilación de información   ·&amp;nbsp;&amp;nbsp;&amp;nbsp;&amp;nbsp;&amp;nbsp;&amp;nbsp;&amp;nbsp;&amp;nbsp;&amp;nbsp;Realizar entrevistas presenciales o virtuales con beneficiarios de las garantías, con el fin de identificar su nivel de conocimiento sobre el FNG, sus productos y propósito institucional. Durante este proceso, se brindará orientación clara y pedagógica sobre quiénes somos y qué hacemos.&amp;nbsp;Actividad 2. Análisis de la información recolectada  ·&amp;nbsp;&amp;nbsp;&amp;nbsp;&amp;nbsp;&amp;nbsp;&amp;nbsp;&amp;nbsp;&amp;nbsp;&amp;nbsp;Analizar los datos obtenidos en las entrevistas para identificar oportunidades de mejora, barreras de acceso o desconocimiento recurrente. Según la complejidad de los hallazgos, se presentarán requerimientos ante el Comité “La Voz” para su respectiva gestión.&amp;nbsp;Actividad 3. Articulación e implementación de mejoras  ·&amp;nbsp;&amp;nbsp;&amp;nbsp;&amp;nbsp;&amp;nbsp;&amp;nbsp;&amp;nbsp;&amp;nbsp;&amp;nbsp;Coordinar con las áreas responsables la ejecución de acciones orientadas a resolver las problemáticas identificadas, asegurando trazabilidad y seguimiento de cada mejora implementada.·&amp;nbsp;&amp;nbsp;&amp;nbsp;&amp;nbsp;&amp;nbsp;&amp;nbsp;&amp;nbsp;&amp;nbsp;&amp;nbsp;&amp;nbsp;Entregable: Informe de actividades realizadas, enviado por correo electrónico a la Dirección de Experiencia antes del 15 de diciembre de 2025 y aprobado por esta.&amp;nbsp;Los entregables se encontrarán en la siguiente ruta: Z:\Objetivos\2025\Dirección de Experiencia\Erbin Mauricio Bayona Gomez</t>
  </si>
  <si>
    <t>Director de Felicidad</t>
  </si>
  <si>
    <t>Medición Interna Ambiente Laboral FNG</t>
  </si>
  <si>
    <t>Evaluación Planta de Personal</t>
  </si>
  <si>
    <t>Estudios, Diseño y adjudicación de obras Sede Principal</t>
  </si>
  <si>
    <t>Participación proyecto Inventarios</t>
  </si>
  <si>
    <t>Plan de Carrera y Sucesión del  FNG</t>
  </si>
  <si>
    <t>1063153289</t>
  </si>
  <si>
    <t>Fainorys Rueda Jimenez</t>
  </si>
  <si>
    <t>Al 31 de diciembre de 2025, haber cursado y aprobado el curso de Inteligencia Artificial Generativa del BIDINDICADORCumple/ No CumpleENTREGABLE/EVIDENCIA : Certificado de aprobación</t>
  </si>
  <si>
    <t>Al 31 de agosto de 2025 elaborar historia de usuario para que el sistema (SAP) realice el proceso de compensación de ingresos por comisiones de forma automática.INDICADOR:Cumple / No cumpleENTREGABLES / EVIDENCIA: Historia de Usuario radicada en el aplicativo Aranda.</t>
  </si>
  <si>
    <t>Diseñar e incorporar al menos 2 recursos interactivos (digitales o físicos) en el modulo de liquidación de comisiones de la Universidad del la garantía nivel avanzado, adicionar&amp;nbsp;dictar y evaluar&amp;nbsp;estos modulos a la Dirección de Operaciones en el 4Q del 2025.INDICADOR:Diseño del curso - 50%Dictar y evaluar el curso - 50%ENTREGABLES / EVIDENCIA:&amp;nbsp;Correo dirigido a la Directora de Operaciones con la presentacion final, listado de asistencia y encuestas.</t>
  </si>
  <si>
    <t>Barrido prorrogas periodo 61</t>
  </si>
  <si>
    <t>Al 30 de Septiembre de 2025, diseñar y documentar el barrido de cobro de comisiones a garantías con tipo de cobro de comisión único anticiádo que presenten prorrogas y realizar la capacitación al equipo de liquidación de comisionesINDICADOR:Diseñar y documentar el barrido 70% Cumple/No cumpleCapacitar al equipo de Liquidación de Comisiones 30% Cumple/No cumpleENTREGABLES / EVIDENCIA: Documentar el barrido en el instructivo IN-AGA-088 Validaciones Proceso de Liquidación y cobro de comisiones y publicarlo en ISOlución y lista de asistencia de la capacitación.</t>
  </si>
  <si>
    <t>Al 31 de agosto&amp;nbsp;de 2025, realizar capacitación presencial del proceso de liquidación de comisiones del producto FNG Territorios y Garantía Global a la Dirección de Vinculación, Aseguramiento y Calidad.INDICADOR:Cumple / No cumpleENTREGABLES / EVIDENCIA: Listado de asistencia y encuestas.</t>
  </si>
  <si>
    <t>Director de Desarrollo y Aplicaciones</t>
  </si>
  <si>
    <t>Actualización e implementación de la AE en el FNG</t>
  </si>
  <si>
    <t>Lograr durante el 2025 un 100% de cumplimiento en la ejecución y finalización de los proyectos estratégicos de tecnologías de la información que han sido ejecutados y finalizados según la hoja de ruta del Plan Estratégico de Tecnologías de la Información (PETI) del FNG programados para el año 2025, de acuerdo con el alcance, cronogramas y resultados esperados.&amp;nbsp;Entregable:Q2:• Informe de avance&amp;nbsp;(número de proyectos completados hasta la fecha).Q3:• Informe de avance intermedio (número de proyectos en fase final).Q4:• Informe de finalización de todos los proyectos del PETI 2025.Formula:(# Proyectos finalizados / Total proyectos programados para finalizar en el&amp;nbsp;2025) * 100&amp;nbsp;&amp;nbsp;&amp;nbsp;Total proyectos programados 2025 = 9</t>
  </si>
  <si>
    <t>Evaluar y Recomendar Herramienta de Automatizacion de Pruebas</t>
  </si>
  <si>
    <t>Apropiacion del proceso de gestion de la demanda</t>
  </si>
  <si>
    <t>79720218</t>
  </si>
  <si>
    <t>Gabriel Giovanni Briceño Garcia</t>
  </si>
  <si>
    <t>Analista de Soluciones a Intermediarios Financieros</t>
  </si>
  <si>
    <t>52519886</t>
  </si>
  <si>
    <t>Johanna Carolina Puentes Ramirez</t>
  </si>
  <si>
    <t>Construcción de videos tutoriales sobre rechazos en proceso operativo</t>
  </si>
  <si>
    <t>Construir cinco (5) videos tutoriales y/o guiones de abril a septiembre del año 2025 sobre los rechazos mas frecuentes en el proceso operativo, para la edición por parte del área de Marca Institucional y cargue por parte del área de Experiencia en la caja de herramientas de autocapacitación para los Intermediarios Financieros.Su evaluación será: Entre cuatro (4) y cinco (5) es igual a 100 puntos, entre dos (2) y tres (3) será igual a 85 puntos, menor a dos (2) puntos su calificación será cero (0).Frecuencia del Monitoreo: Anual Indicador o formula con la que se va a realizar la medición:4 – 5 =100%2 – 3 = 85%&amp;lt;2 = 0%Fecha inicio-fin: 01-04-2025 / 30-09-2025Entregables:I1. Q2 y Q3:&amp;nbsp;Entrega del material construido (videos y/o guiones) a marca institucional para su edición con copia a la Subdirectora y Directora de Soluciones y Soporte comercial a los 10 días hábiles siguientes para Q2 con los avances y Q3 entrega final&amp;nbsp;Ruta:P:\Objetivos\2025\Dirección de Soluciones y Soporte Comercial\Gabriel Giovanni Briceño Garcia</t>
  </si>
  <si>
    <t>Calidad en las respuestas de PQRFSD de Intermediarios Financieros</t>
  </si>
  <si>
    <t>Alcanzar una calificación promedio acumulada mínima del 85% durante el año 2025 en las evaluaciones de calidad que miden la gestión y atención de los casos excepcionales radicados por intermediarios financieros a través de los canales FNG (correo electrónico y portal).Frecuencia del Monitoreo: AnualIndicador o formula con la que se va a realizar la medición:Promedio del resultado de los meses evaluados indicador "calidad en las respuestas de PQRFSD de sus casos atendidos"Si el resultado es entre 85% y 100%: la calificación será 100 puntosSi el indicador es menor al 85%&amp;nbsp;se medirá de la siguiente forma: (indicador /85)*100&amp;nbsp;Nota: el resultado del año, se obtiene sobre el promedio de los meses medidos en el año 2025.Fecha inicio-fin: 01-04-2025 / 31-12-2025Entregables&amp;nbsp;:Resultado de medición remitido a los 10 días hábiles siguiente terminado el Q4 por correo electrónico por parte del Especialista de Intermediario Financieros a la Directora y Subdirectora de Soluciones y Soporte Comercial&amp;nbsp;Ruta:P:\Objetivos\2025\Dirección de Soluciones y Soporte Comercial\Gabriel Giovanni Briceño Garcia</t>
  </si>
  <si>
    <t>Disminuir el tiempo de respuesta de casos excepcionales</t>
  </si>
  <si>
    <t>Lograr la disminución en el tiempo de respuesta de quince (15) días hábiles a diez (10) días hábiles, en el 50% de los casos excepcionales radicados por el portal transaccional por los intermediarios Financieros.Frecuencia del Monitoreo: AnualIndicador o formula con la que se va a realizar la medición.:La fórmula a utilizar es la siguiente: No. De casos atendidos dentro de los 10 días hábiles / total de casos atendidos al mesFecha inicio-fin: 01-06-2025 / 31-12-2025Entregables&amp;nbsp;:Q3 y Q4: Informe CRM con la medición del Q, revisado y aprobado por correo electrónico por parte de la Subdirectora y/o Directora de Soluciones y Soporte Comercial dentro los 10 días hábiles siguientes a la terminación de cada Q&amp;nbsp;Ruta:P:\Objetivos\2025\Dirección de Soluciones y Soporte Comercial\Gabriel Giovanni Briceño Garcia</t>
  </si>
  <si>
    <t>Resolver oportunamente el 100% de los casos de PQRS atendidos en el 2025</t>
  </si>
  <si>
    <t>Resolver oportunamente el 100% de los casos de PQRS atendidos en el 2025 en la entidad, de conformidad con los plazos legales.&amp;nbsp;Mínimo el 98% donde menos de 98% obtendrá un puntaje de 0. Se medirá de acuerdo a la tabla equitativa: Donde al sacar un puntaje del 98% el puntaje será 98% y así hasta llegar a 100%.Frecuencia del Monitoreo: AnualIndicador o formula de medición:La Tabla equivalente respecto al resultado anual del indicador de nivel de oportunidad en las respuestas a PQRSMínimo el 98% donde menos de 98% obtendrá un puntaje de 0. Se medirá de acuerdo a la tabla equitativa: Donde al sacar un puntaje del 98% el puntaje será 98% y así hasta llegar a 100%.Nota: el resultado del año, se obtiene sobre el promedio de los meses medidos en Isolucion en 2025Fecha inicio-fin : 01-01-2025 / 31-12-2025Entregables:Reporte de indicador "Nivel de oportunidad en las respuestas a PQRS" mensual en IsoluciónNota: el resultado del año, se obtiene sobre el promedio de los meses medidos en Isolucion en 2025.Ruta P:\Objetivos\2024\Dirección de Soluciones y Soporte\GABRIEL GIOVANNI BRICEÑO GARCIA\2025</t>
  </si>
  <si>
    <t>Fortalecer la capacitación de los intermediarios financieros en la gestión de garantías</t>
  </si>
  <si>
    <t>Fortalecer la capacitación de los intermediarios financieros en la gestión de garantías asegurando la correcta aplicación de la normativa vigente, a través de la realización de 250 sesiones virtuales y presenciales de capacitación y asesoramiento personalizado durante del año 2025.Frecuencia del Monitoreo: AnualIndicador o formula de medición:La fórmula a utilizar es la siguiente:Si el resultado es entre 214 y 250: la calificación será de 100 puntos&amp;nbsp;Si las sesiones son menores a 214 se medirá de la siguiente manera:&amp;nbsp;(No. Sesiones / 214) * 100&amp;nbsp;Fecha inicio-fin: 01-01-2025 / 31-12-2025Entregables:1. Q2 - Primer Entrega de 7 documentos actualizados enviados y aprobados a la Subdirectora y/o Directora de Soluciones y Soporte comercial a los 10 días hábiles siguientes de finalizado el Q.&amp;nbsp;2. Q3 - Segunda Entrega de 7 documentos actualizados enviados y aprobado por la Subdirectora y/o Directora de Soluciones y Soporte comercial&amp;nbsp;a los 10 días hábiles siguientes de finalizado el Q.&amp;nbsp;3. Q4 - Tercera Entrega de 8 documentos actualizados y consolidado final enviados y aprobado por la Subdirectora y/o Directora de Soluciones y Soporte comercial y cargado en la Intranet a los 10 días hábiles siguientes de finalizado el Q.Ruta: P:\Objetivos\2025\Dirección de Soluciones y Soporte Comercial\Gabriel Giovanni Briceño Garcia</t>
  </si>
  <si>
    <t>Actualizar documentos de casos excepcionales y novedades de Intermediarios Financieros</t>
  </si>
  <si>
    <t>Actualizar trece (13) documentos del proceso de gestión de casos excepcionales y nueve (9) documentos del proceso de gestión de casos de novedades de Intermediarios Financieros al 31 de diciembre de 2025, garantizando su disponibilidad, acceso; facilitando la consulta y aplicación a través de la Intranet mediante la colaboración del especialista en calidad y oportunidad de respuesta.Frecuencia del Monitoreo: AnualIndicador o formula de medición:La fórmula a utilizar es la siguiente: No. De documentos actualizados/22x 100Su evaluación será: menor o igual a 79.9% es igual a cero (0) puntos y la meta será del 93% es decir 93% equivale a 100 puntos, la medición se realizará aplicando regla de tres.Fecha inicio-fin: 01-04-2024 / 31-12-2024Entregables&amp;nbsp;:1. Q2 - Primer Entrega de 7 documentos actualizados enviados y aprobados a la Subdirectora y/o Directora de Soluciones y Soporte comercial a los 10 días hábiles siguientes de finalizado el Q.&amp;nbsp;2. Q3 - Segunda Entrega de 7 documentos actualizados enviados y aprobado por la Subdirectora y/o Directora de Soluciones y Soporte comercial&amp;nbsp;a los 10 días hábiles siguientes de finalizado el Q.&amp;nbsp;3. Q4 - Tercera Entrega de 8 documentos actualizados y consolidado final enviados y aprobado por la Subdirectora y/o Directora de Soluciones y Soporte comercial y cargado en la Intranet a los 10 días hábiles siguientes de finalizado el Q.Ruta: P:\Objetivos\2025\Dirección de Soluciones y Soporte Comercial\Gabriel Giovanni Briceño Garcia</t>
  </si>
  <si>
    <t>1012368664</t>
  </si>
  <si>
    <t>Gina Paola Hernandez Florez</t>
  </si>
  <si>
    <t>Dirección Tributaria</t>
  </si>
  <si>
    <t>Especialista en Impuestos</t>
  </si>
  <si>
    <t>52791945</t>
  </si>
  <si>
    <t>Liliana Yaneth Avellaneda Barbosa</t>
  </si>
  <si>
    <t xml:space="preserve">Papel de trabajo análisis pasivos estimados y provisiones 2024 (rezagos) </t>
  </si>
  <si>
    <t>Al 31 de julio de 2025 haber cerrado el papel de trabajo con el análisis y control del movimiento de los 38 rezagos presupuestales de la vigencia 2024 que le fueron asignados.El control y trazabilidad deben proporcionar una fácil lectura del tratamiento de estas partidas en materia de:&amp;nbsp;- Deducción en impuesto de renta 2024- Pasivo real en el impuesto de renta 2024, pasivo estimado base del impuesto diferido renta 2024&amp;nbsp;- Movimiento/ingresos no gravados por recuperaciones en impuesto de renta para la provisión de renta mensual 2025- IVA descontable – IVA mayor valor del costo o gasto- Retenciones de impuestos y sus devoluciones o reintegros&amp;nbsp;- Certificados de retenciones y sus ajustes o correcciones&amp;nbsp;- Alguna situación a considerar para la exógena del año 2025&amp;nbsp;Indicador de medición:% de cumplimiento oportuno de los entregables.Papel de trabajo que contenga el análisis de la totalidad de los rezagos presupuestales asignados con el llenado de todos los campos y comentarios de análisis = 100%Papel de trabajo que contenga un análisis menor del 100% y hasta el 90% de la totalidad de los rezagos presupuestales asignados con el llenado de todos los campos y comentarios de análisis = 70%Papel de trabajo que contenga un análisis menor del 90% y hasta el 80% de la totalidad de los rezagos presupuestales asignados con el llenado de todos los campos y comentarios de análisis = 60%Papel de trabajo que contenga un análisis menor del 80% de la totalidad de los rezagos presupuestales asignados con el llenado de todos los campos y comentarios de análisis = 0%Entregables:Correo electrónico enviado a la Directora Tributaria, con el PT adjunto y en que se informe que el PT se encuentra listo con el llenado de todos los campos y comentarios de análisis, así como su ubicación en carpeta de público.Ubicación de las Evidencias:﻿P:\Objetivos\2025\Dirección Tributaria\Gina Paola Hernández Flórez</t>
  </si>
  <si>
    <t>Empalmes para proceso de Backup y tranferencia de conocimiento</t>
  </si>
  <si>
    <t>A febrero 07 de 2025, realizar las sesiones de empalme y transferencia de conocimiento con los profesionales X y IV de los siguientes temas:1. Anexos para provisión de renta por FIC e ICA; con profesional X2. Bases de datos mensuales para información exógena de IF - Conciliación del rubro de ingresos por comisiones e IVA; con profesional X3. Facturación electrónica de comisiones asumidas y reporte mensual a la Dirección de operaciones; con profesional X4. Declaración mensual de retención en la fuente; con profesional IVIndicador de medición:% de cumplimiento oportuno de los entregables.Sesiones para transferir los 4 temas indicados en la descripción del objetivo = 100%Sesiones para transferir 3 de los 4 temas indicados en la descripción del objetivo = 60%Sesiones para transferir 2 de los 4 temas indicados en la descripción del objetivo = 35%Sesiones para transferir 1 de los 4 temas indicados en la descripción del objetivo = 0%Ninguna sesión = 0%Entregables:Grabación sesión por teams en la cual se explique el PT y todos los aspectos considerados.Ubicación de las Evidencias:﻿P:\Objetivos\2025\Dirección Tributaria\Gina Paola Hernández Flórez</t>
  </si>
  <si>
    <t>Base mensualizada por tercero de gastos no deducibles</t>
  </si>
  <si>
    <t>Generar una base de datos mensualizada en la que se detalle por tercero el análisis de cada uno de los gastos que se agrupan en el PT de la provisión de renta mensual en el concepto “gastos no deducibles”. La base debe detallar los siguientes datos:1)	NIT del tercero y razón social2)Numero de documento SAP3)Valor&amp;nbsp;4)Observación que corresponde al detalle del motivo de no aceptación del gasto fiscal5)Columna de diferencias cuando la cifra presente variación frente al valor llevado por este concepto en el PT de provisión mensual que se libera a la Directora Tributaria.Este papel de trabajo permitirá llevar un adecuado control, trazabilidad y análisis de dichos gastos para efectos de provisión de renta mensual, declaración de renta anual y reporte de información exógena de cada vigencia fiscalLa base de datos debe ser entregada el día 18 hábil del mes siguiente al mes de análisis.&amp;nbsp;Se generarán 7 bases, la primera en el mes de junio de 2025 y la última en diciembre de 2025. La primera base contendrá la información de enero a mayo y las siguientes bases contendrán la información de junio, julio, agosto, septiembre, octubre, noviembre.Indicador de medición:% de cumplimiento oportuno de los entregables.Siete entregas de la base&amp;nbsp;&amp;nbsp;&amp;nbsp;&amp;nbsp;&amp;nbsp;&amp;nbsp;= 100%&amp;nbsp;Seis entregas de la base&amp;nbsp;&amp;nbsp;&amp;nbsp;&amp;nbsp;&amp;nbsp;&amp;nbsp;= 80%Cinco entregas de la base&amp;nbsp;&amp;nbsp;&amp;nbsp;&amp;nbsp;&amp;nbsp;= 60%Cuatro entregas de la base&amp;nbsp;&amp;nbsp;&amp;nbsp;&amp;nbsp;= 35%3 o menos entregas oportunas&amp;nbsp;&amp;nbsp;=&amp;nbsp;&amp;nbsp;0%&amp;nbsp;&amp;nbsp;Entregables:Correo electrónico enviado a la Directora Tributaria, con el PT adjunto y en que se informe que el PT se encuentra listo según fecha de corte, con indicación de su ubicación en carpeta de público.Ubicación de las Evidencias:P:\Objetivos\2025\Dirección Tributaria\Gina Paola Hernández Flórez</t>
  </si>
  <si>
    <t>Actualizar el papel de trabajo que enlace las partidas del balance con las secciones contables y fiscales de la  conciliación fiscal 2516 año 2025</t>
  </si>
  <si>
    <t>Al 28 de noviembre actualizar el papel de trabajo realizado para el diligenciamiento de cada una de las secciones de información contable&amp;nbsp;y fiscal que conforman el formato 2516, las cuales son:•	Carátula.•	ESF – Patrimonio.•	ERI – Renta líquida.•	Impuesto diferido.•	Ingresos y facturación.•	Activos fijos.•	Resumen ESF – ERI (el cual se llena de forma automática a partir de los datos registrados en las secciones ESF – Patrimonio y ERI – Renta líquida).El papel de trabajo se actualizará con las cifras y cuentas contables del balance a octubre 31 de 2025.Para las secciones que no se enlazan con cifras de balance se actualizara la guía en el mismo PT con la información que debe tener prevista el profesional que se encargue de elaborar el formato.Indicador de medición:Papel de trabajo actualizado y que enlace las partidas del balance con las secciones contables del formato de conciliación fiscal 2516 = 100%Entregables:Correo electrónico enviado a la Directora Tributaria, con el PT adjunto y en que se informe que el PT se encuentra listo según fecha de corte, con indicación de su ubicación en carpeta de público.Ubicación de las Evidencias:P:\Objetivos\2025\Dirección Tributaria\Gina Paola Hernández Flórez</t>
  </si>
  <si>
    <t>Elaboración base mensualizada de certificados de retención a título de renta</t>
  </si>
  <si>
    <t>Elaborar en el papel de trabajo en Excel dispuesto para ello, la base mensualizada de las retenciones en la fuente a título de renta, detallada por tercero, conciliada con las declaraciones de retención en la fuente presentadas por los meses de enero a noviembre de 2025. El papel de trabajo debe arrojar las bases y retenciones para la emisión de los certificados anuales de retenciones a título de renta y el reporte de medios magnéticos nacionales formato 1001.La base de datos debe ser entregada durante los primeros 18 días hábiles del mes siguiente al mes de análisis y para el mes de diciembre, la entrega será para máximo el 19 de diciembre de 2025.&amp;nbsp;Se generarán 7 entregas de la base, la primera en el mes de junio de 2025 y la última en diciembre de 2025. La primera base contendrá la información de enero a mayo y las siguientes entregas de la base contendrán la información de junio, julio, agosto, septiembre, octubre y noviembre respectivamente.Indicador de medición:% de cumplimiento oportuno de los entregables.Siete entregas de la base&amp;nbsp;&amp;nbsp;&amp;nbsp;&amp;nbsp;&amp;nbsp;&amp;nbsp;= 100%&amp;nbsp;Seis entregas de la base&amp;nbsp;&amp;nbsp;&amp;nbsp;&amp;nbsp;&amp;nbsp;&amp;nbsp;= 80%Cinco entregas de la base&amp;nbsp;&amp;nbsp;&amp;nbsp;&amp;nbsp;&amp;nbsp;= 60%Cuatro entregas de la base&amp;nbsp;&amp;nbsp;&amp;nbsp;&amp;nbsp;= 35%3 o menos entregas oportunas&amp;nbsp;&amp;nbsp;=&amp;nbsp;&amp;nbsp;0%&amp;nbsp;&amp;nbsp;Entregables:Correo electrónico enviado a la Directora Tributaria, con el PT adjunto y en que se informe que el PT se encuentra listo según fecha de corte, con indicación de su ubicación en carpeta de público.Ubicación de las Evidencias:﻿P:\Objetivos\2025\Dirección Tributaria\Gina Paola Hernández Flórez</t>
  </si>
  <si>
    <t>Base de datos comisiones de garantía para impuesto de Timbre</t>
  </si>
  <si>
    <t>Generar una base de datos que se actualice a partir del mes de febrero, mes a mes y por número de garantía con el detalle del deudor, intermediario financiero y valor de la comisión. El objetivo es identificar garantías que presenten una comisión superior a $298.794.000, así su cobro se observe diferido en varios meses por el periodo comprendido de febrero 22 a diciembre 31 de 2025.&amp;nbsp;La base de datos debe ser actualizada máximo al segundo día hábil al cual la Dirección de Operaciones proporcione la base de garantías del mes anterior.Se generarán 7 bases, la primera en el mes de junio de 2025 y la última en diciembre de 2025. La primera base contendrá la información de enero a mayo y las siguientes bases contendrán la información de junio, julio, agosto, septiembre, octubre y noviembre respectivamente.Indicador de medición:% de cumplimiento oportuno de los entregables.Siete entregas de la base&amp;nbsp;&amp;nbsp;&amp;nbsp;&amp;nbsp;&amp;nbsp;&amp;nbsp;= 100%&amp;nbsp;Seis entregas de la base&amp;nbsp;&amp;nbsp;&amp;nbsp;&amp;nbsp;&amp;nbsp;&amp;nbsp;= 80%Cinco entregas de la base&amp;nbsp;&amp;nbsp;&amp;nbsp;&amp;nbsp;&amp;nbsp;= 60%Cuatro entregas de la base&amp;nbsp;&amp;nbsp;&amp;nbsp;&amp;nbsp;= 35%3 o menos entregas oportunas&amp;nbsp;&amp;nbsp;=&amp;nbsp;&amp;nbsp;0%&amp;nbsp;&amp;nbsp;Entregables:Correo electrónico enviado a la Directora Tributaria, en el que se informe que el PT se encuentra listo según fecha de corte, con indicación de su ubicación en carpeta de público.Ubicación de las Evidencias:P:\Objetivos\2025\Dirección Tributaria\Gina Paola Hernández Flórez</t>
  </si>
  <si>
    <t>Base de datos terceros caja menor</t>
  </si>
  <si>
    <t>Generar una base de datos en la que se relacionen la información de los terceros a los que se les realizan pagos por caja menor, indicando los datos que se relaciona a continuación, los cuales son necesarios para el adecuado reporte en la información exógena nacional y distrital:-Nombres y/o Razón social- NIT- Dirección-Teléfono-Correo electrónicoLa base de datos debe ser entregada máximo el día 30 del mes siguiente al mes de análisis, si el día 30 no es un día hábil, se anticipará al día hábil anterior.Se generarán 6 bases, la primera en el mes de julio de 2025 y la última en diciembre de 2025. La primera base contendrá la información de enero a junio y las siguientes bases contendrán la información de julio, agosto, septiembre, octubre y noviembre respectivamente.Indicador de medición:% de cumplimiento oportuno de los entregables.Seis bases&amp;nbsp;&amp;nbsp;&amp;nbsp;&amp;nbsp;&amp;nbsp;&amp;nbsp;&amp;nbsp;= 100 %Cinco bases&amp;nbsp;&amp;nbsp;&amp;nbsp;&amp;nbsp;&amp;nbsp;= 75%Cuatro bases&amp;nbsp;&amp;nbsp;&amp;nbsp;&amp;nbsp;= 55%3 o menos bases&amp;nbsp;=&amp;nbsp;&amp;nbsp;0%&amp;nbsp;&amp;nbsp;Entregables:Correo electrónico enviado a la Directora Tributaria, con el PT adjunto y en que se informe que el PT se encuentra listo según fecha de corte, con indicación de su ubicación en carpeta de público.Ubicación de las Evidencias:P:\Objetivos\2025\Dirección Tributaria\Gina Paola Hernández Flórez</t>
  </si>
  <si>
    <t>Cierre estimación de renta mensual</t>
  </si>
  <si>
    <t>Por los meses comprendidos entre mayo y noviembre de 2025, proporcionar máximo el día 11 del siguiente mes, el papel de trabajo y anexos con la estimación de la provisión del impuesto de renta mensual. Si el día 11 no es un día hábil, se anticipará al día hábil anterior.&amp;nbsp;La primera entrega corresponde a la provisión del mes de mayo que se estima y registra en junio; la última corresponde a la del mes de noviembre que se estima y registra en diciembre.Indicador de medición:% de cumplimiento oportuno de los entregables.7 entregas oportunas&amp;nbsp;&amp;nbsp;&amp;nbsp;&amp;nbsp;&amp;nbsp;&amp;nbsp;&amp;nbsp;&amp;nbsp;&amp;nbsp;&amp;nbsp;&amp;nbsp;&amp;nbsp;=&amp;nbsp;&amp;nbsp;100%&amp;nbsp;6 entregas oportunas&amp;nbsp;&amp;nbsp;&amp;nbsp;&amp;nbsp;&amp;nbsp;&amp;nbsp;&amp;nbsp;&amp;nbsp;&amp;nbsp;&amp;nbsp;&amp;nbsp;&amp;nbsp;=&amp;nbsp;&amp;nbsp;&amp;nbsp;80%&amp;nbsp;5 entregas oportunas&amp;nbsp;&amp;nbsp;&amp;nbsp;&amp;nbsp;&amp;nbsp;&amp;nbsp;&amp;nbsp;&amp;nbsp;&amp;nbsp;&amp;nbsp;&amp;nbsp;&amp;nbsp;=&amp;nbsp;&amp;nbsp;&amp;nbsp;60%&amp;nbsp;4 entregas oportunas&amp;nbsp;&amp;nbsp;&amp;nbsp;&amp;nbsp;&amp;nbsp;&amp;nbsp;&amp;nbsp;&amp;nbsp;&amp;nbsp;&amp;nbsp;&amp;nbsp;&amp;nbsp;=&amp;nbsp;&amp;nbsp;&amp;nbsp;35%3 o menos entregas oportunas&amp;nbsp;&amp;nbsp;&amp;nbsp;&amp;nbsp;=&amp;nbsp;&amp;nbsp;&amp;nbsp;0%&amp;nbsp;&amp;nbsp;Entregables:Correo electrónico enviado a la Directora Tributaria con el PT adjunto indicando el cierre de la estimación de la provisión de renta y con indicación de su ubicación en carpeta de público.Ubicación de las Evidencias:P:\Objetivos\2025\Dirección Tributaria\Gina Paola Hernández Flórez</t>
  </si>
  <si>
    <t>1030655199</t>
  </si>
  <si>
    <t>Hamilton Steve Galindo Centeno</t>
  </si>
  <si>
    <t>Profesional Devolución de Comisiones</t>
  </si>
  <si>
    <t>Capacitación en temas de inteligencia artificial y análisis de datos</t>
  </si>
  <si>
    <t>Antes del 31/12/25 haber cursado y obtenido la certificación en dos (2) cursos de análisis de datos y/o inteligencia artificial (cursos BID y Microsoft)&amp;nbsp;CRITERIOS DE MEDICIÓNEl objetivo será medible&amp;nbsp;así:Cursar y aprobar curso de Inteligencia artificial generativa -BID: 50% - Cumple / no cumpleCursar y aprobar curso de Introducción al análisis de datos - Microsoft: 50% - Cumple / no cumpleENTREGABLES / EVIDENCIACertificaciones y/o credenciales digitales emitidas por las plataformas correspondientes ubicados en la ruta P:\Objetivos\2025\Direccion de Operaciones\.</t>
  </si>
  <si>
    <t xml:space="preserve">Generacion Herramienta en excel </t>
  </si>
  <si>
    <t>Al 30 de agosto diseñar una herramienta en Excel para realizar el cálculo de los meses a devolver en las devoluciones manuales del proceso de devolución de comisiones, y capacitar al equipo de devolución de comisiones sobre la herramienta.INDICADOR:Diseñar y documentar la herramienta 70% Cumple/No cumpleCapacitar al equipo de devolución de comisiones 30% Cumple/No cumpleENTREGABLES / EVIDENCIA:&amp;nbsp;Documentar la herramienta en el instructivo IN-AGA-094 - Controles y Validaciones Manuales en la Devolución de Comisiones y publicarlo en ISolución y lista de asistencia de la capacitación ubicada en la ruta P:\Objetivos\2025\Direccion de Operaciones\.</t>
  </si>
  <si>
    <t>Entre los meses de junio y diciembre de 2025, obtener un resultado máximo del 0,05% en el indicador: “Devoluciones de comisiones con novedad”.INDICADOR:(Devoluciones con novedad / Total de garantías validadas) * 100&amp;nbsp;Nota: El indicador mide el porcentaje de garantías, del total de garantías validadas en el periodo evaluado, que: i) presentan inconsistencias en el valor devuelto, ii) fueron devueltas por fuera del tiempo establecido (se excluyen las garantías cuya factura no se encuentre compensada o los IF que no reciban recursos en los cortes por sus cierres contables). La medición se realizará tomando como base los procesos automáticos de prepago y novación, así como las solicitudes realizadas por los IF a través del Anexo 12, según los cortes indicados en el Reglamento de garantías.&amp;nbsp;El cumplimiento se medirá de acuerdo con la siguiente tabla métrica y de forma proporcional:&amp;gt; 0,05 0%De 0,050 a 0,041&amp;nbsp;20%De 0,040 a 0,031&amp;nbsp;40%De 0,030 a 0,021&amp;nbsp;60%De 0,020 a 0,011 80%&amp;lt;= 0,010 100%Evidencia: Base con el total de garantías validadas y barrido mensual del proceso de devolución de comisiones ubicada en la ruta P:\Objetivos\2025\Direccion de Operaciones\.</t>
  </si>
  <si>
    <t>1057412811</t>
  </si>
  <si>
    <t>Hector Fabian Bermudez Moreno</t>
  </si>
  <si>
    <t>Coordinador Experiencia Medianos Intermediarios Financieros</t>
  </si>
  <si>
    <t>Al 31 de diciembre de 2025, ejecutar las actividades definidas y aprobadas mediante acta por la dirección de experiencia en el plan estratégico “Le Metemos Corazón”. El objetivo se cumple al 100 % con la ejecución de todas las actividades planteadas, el resultado final corresponderá a la suma de los porcentajes de cumplimiento de cada actividad ejecutada y debidamente soportada:Actividad 1: Fortalecer al interior del FNG la estrategia #LeMetemosCorazón, mediante acciones de comunicación interna, sensibilización y apropiación por parte de los equipos, con énfasis en su vínculo con los pilares de la experiencia (Atraer, Enamorar y Retener) (Peso: 15%).Entregable: Informe con evidencias de acciones internas realizadas para fortalecer la estrategia #LeMetemosCorazón.Actividad 2: Brindar acompañamiento y asesorías especializadas a las cooperativas, para fortalecer su gestión comercial y operativa con base en los lineamientos de experiencia definidos por el FNG (Peso: 20%).Entregable: Planes de cuenta completados con las visitas y acompañamientos realizados a las cooperativas, enviado por correo electrónico a la Dirección de Experiencia.Actividad 3: Ejecutar la iniciativa "Café con el corazón" como herramienta de escucha activa que permita capturar la voz del intermediario financiero (Voz del IF), identificar oportunidades de mejora y reforzar la relación institucional (Peso: 20%).Entregable: Informe de resultados de las sesiones “Café con el corazón”, con hallazgos y oportunidades de mejora, enviado a la Dirección de Experiencia.Actividad 4: Generar el contenido para piezas que reflejen el espíritu de trabajar con el corazón, visibilizando buenas prácticas y testimonios de impacto positivo con los IF (Peso: 15%).Entregable: Evidencias de piezas de contenido.Actividad 5: Reconocer a tres intermediarios financieros que destaquen por su compromiso y alineación con la estrategia “lemetemoscorazón”, con base en los criterios definidos en el acta (Peso: 15%)Entregable: Acta de reconocimiento a los tres intermediarios financieros, enviada a la Dirección de Experiencia.Actividad 6: Coordinar la realización de tres jornadas Experience Day, diseñadas para acercar a los intermediarios financieros a la cultura de experiencia del FNG, generar conexión emocional con la marca y reforzar su rol como aliados estratégicos (Peso: 15%)Entregable: Informe de ejecución de las jornadas Experience Day, con resumen de participantes, temáticas abordadas y evidencias, enviado a la Dirección de Experiencia.Los entregables se encontrarán en la siguiente ruta: P:\Objetivos\2025\Dirección de Experiencia\Hector Fabian Bermudez Moreno</t>
  </si>
  <si>
    <t>Lograr al 31 de diciembre de 2025 la acreditación en experiencia del cliente para el Fondo Nacional de Garantías. El objetivo se cumple al 100% con la ejecución de todas las actividades, el resultado final corresponderá a la suma de los porcentajes de cumplimiento de cada actividad ejecutada y debidamente soportada, las cuales corresponden a las siguientes:&amp;nbsp;Lograr al 31 de diciembre de 2025 la acreditación en experiencia del cliente para el Fondo Nacional de Garantías. El objetivo se cumple al 100% con la ejecución de todas las actividades, el resultado final corresponderá a la suma de los porcentajes de cumplimiento de cada actividad ejecutada y debidamente soportada, las cuales corresponden a las siguientes:&amp;nbsp;Actividad 1: Actividad 1: Presentar a más tardar el 30 de abril el plan de preparación para la acreditación aprobado por la vicepresidente comercial, que contemple actividades como la comunicación y sensibilización de las áreas claves del FNG involucradas en este proceso. (Peso: 15%)Entregable: Acta firmada por la Vicepresidente Comercial que contiene el plan de preparación detallado, incluyendo cronograma, responsables y actividades de sensibilización.&amp;nbsp;Actividad 2:&amp;nbsp;Realizar a más tardar al 30 de julio el proceso de contratación para formalizar el acuerdo con la entidad prestadora del servicio y garantizar las condiciones administrativas y operativas necesarias para la ejecución del proyecto. (Peso: 10%).Entregable: Minuta contrato firmada por las partes.&amp;nbsp;Actividad 3: Al corte del 30 de agosto asegurar que todas las partes involucradas comprendan la importancia del assessment CX y participen activamente en el proceso (Peso: 15%):&amp;nbsp;Entregable: Informe detallado de sensibilización e involucramiento, con listado de actividades ejecutadas, participantes, fechas y evidencias, enviado por correo electrónico a la Vicepresidente Comercial y a la Directora de Experiencia.&amp;nbsp;Actividad 4: Actividad 4: Apoyar el proceso de Evaluación de Madurez en CX (assessment CX) hasta el 30 de agosto garantizando:Facilitar la recolección de información necesaria para el diagnóstico de madurez en CX.• Monitorear el avance de la recopilación de datos y garantizar una alta tasa de respuesta en las encuestas.• Facilitar el acceso a las personas a entrevistar para el análisis cualitativo.Entregable: Informe consolidado de apoyo al assessment, que incluya avances, tasa de respuesta, listado de entrevistas gestionadas, enviado a la Vicepresidente Comercial y a la Directora de Experiencia.&amp;nbsp;Actividad 5: Al 30 de agosto presentar el análisis donde se refleje fielmente la situación del FNG y proporcionar retroalimentación para su ajuste. ajuste (Peso: 15%):Entregable: Documento con aceptación formal del diagnóstico, incluyendo observaciones o solicitudes de ajuste enviadas al proveedor.&amp;nbsp;Actividad 6:&amp;nbsp;Enviar a más tardar el 30 de septiembre el informe con el resultado de la acreditación y asegurar la entrega de los resultados por parte del proveedor y que el Roadmap propuesto sea viable y alineado con los objetivos estratégicos del FNG (Peso: 10%)Entregable: Informe con el resultado de la acreditación y presentación con la propuesta de priorización de las actividades y asignación de responsables, aprobada a satisfacción por correo electrónico a la Vicepresidente Comercial y a la Directora de Experiencia&amp;nbsp;Actividad 7: Asegurar al 30 de septiembre la participación de las áreas claves en el taller de Co-creación (Peso: 10%)Entregable: Informe del taller de Co-creación, incluyendo agenda, participantes, hallazgos y compromisos, enviado por correo electrónico a la VP Vicepresidente Comercial y a la Directora de Experiencia&amp;nbsp;Actividad 8: Establecer a más tardar el 30 de noviembre el plan de trabajo post-acreditación el cual incluya los compromisos adquiridos que permita que la acreditación tenga un impacto tangible en el FNG. (Peso: 15%)Entregable: Plan de trabajo post-acreditación aprobado, sustentado en acta firmada por la Vicepresidente Comercial, donde se establecen actividades, responsables, tiempos.Los entregables se encontrarán en la siguiente ruta: P:\Objetivos\2025\Dirección de Experiencia\Hector Fabian Bermudez Moreno</t>
  </si>
  <si>
    <t xml:space="preserve">Hojas de Vida de Intermediarios Financieros </t>
  </si>
  <si>
    <t>A 31 de diciembre de 2025, elaborar y socializar un total de ocho (8) hojas de vida de Intermediarios Financieros, integrando información operativa y comercial clave de cada entidad. El objetivo se considerará cumplido al 100 % con la elaboración y socialización de las ocho (8) hojas de vida. Si se alcanza al menos siete (7) hojas de vida, equivaldrá al 87% de cumplimiento. Por debajo de este umbral, el puntaje asignado será de cero (0).Entregable: Hojas de vida enviadas por correo electrónico a los funcionarios de la Vicepresidencia Comercial, con evidencia de la socialización realizada.&amp;nbsp;Los entregables se encontrarán en la siguiente ruta: P:\Objetivos\2025\Dirección de Experiencia\Hector Fabian Bermudez Moreno</t>
  </si>
  <si>
    <t>Lograr al 31 de diciembre de 2025, ejecutar el 100 % de las actividades definidas y aprobadas por la Dirección de Experiencia en el marco del plan estratégico “La Voz”, orientado a fortalecer la escucha activa de los beneficiarios de las garantías. El objetivo se considera cumplido al 100 % con la ejecución total de las actividades programadas. Se establece un cumplimiento mínimo del 90 %. La medición se realizará mediante una tabla equitativa, de acuerdo con el siguiente esquema:100 % de actividades ejecutadas: puntaje completo90–99 % de actividades ejecutadas: puntaje proporcionalMenos del 90 % de ejecución: puntaje de 0Fórmula de medición:(Total de actividades ejecutadas / Total de actividades planteadas) * 100Actividad 1. Recopilación de información   ·&amp;nbsp;&amp;nbsp;&amp;nbsp;&amp;nbsp;&amp;nbsp;&amp;nbsp;&amp;nbsp;&amp;nbsp;&amp;nbsp;Realizar entrevistas presenciales o virtuales con beneficiarios de las garantías, con el fin de identificar su nivel de conocimiento sobre el FNG, sus productos y propósito institucional. Durante este proceso, se brindará orientación clara y pedagógica sobre quiénes somos y qué hacemos.&amp;nbsp;Actividad 2. Análisis de la información recolectada  ·&amp;nbsp;&amp;nbsp;&amp;nbsp;&amp;nbsp;&amp;nbsp;&amp;nbsp;&amp;nbsp;&amp;nbsp;&amp;nbsp;Analizar los datos obtenidos en las entrevistas para identificar oportunidades de mejora, barreras de acceso o desconocimiento recurrente. Según la complejidad de los hallazgos, se presentarán requerimientos ante el área correspondiente para su respectiva gestión.&amp;nbsp;Actividad 3. Articulación e implementación de mejoras  ·&amp;nbsp;&amp;nbsp;&amp;nbsp;&amp;nbsp;&amp;nbsp;&amp;nbsp;&amp;nbsp;&amp;nbsp;&amp;nbsp;Coordinar con las áreas responsables la ejecución de acciones orientadas a resolver las problemáticas identificadas, asegurando trazabilidad y seguimiento de cada mejora implementada.·&amp;nbsp;&amp;nbsp;&amp;nbsp;&amp;nbsp;&amp;nbsp;&amp;nbsp;&amp;nbsp;&amp;nbsp;&amp;nbsp;&amp;nbsp;Entregable: Informe de actividades realizadas, enviado por correo electrónico a la Dirección de Experiencia antes del 15 de diciembre de 2025 y aprobado por esta.&amp;nbsp;Los entregables se encontrarán en la siguiente ruta: P:\Objetivos\2025\Dirección de Experiencia\Hector Fabian Bermudez Moreno</t>
  </si>
  <si>
    <t xml:space="preserve">Visitas Intermediarios Financieros </t>
  </si>
  <si>
    <t>Realizar, durante el año 2025, un total de 60 visitas y/o acompañamientos dirigidos a las diferentes áreas de los Intermediarios Financieros, de las cuales al menos 10 deben llevarse a cabo de forma presencial. La medición del indicador se realizará con base en los registros de visitas y/o acompañamientos consignados en los planes de cuenta del CRM. El objetivo se considera cumplido al 100% con la ejecución de las 60 visitas. La meta mínima será del 95% (57 visitas), la cual otorgará un puntaje proporcional de 95. Por debajo de este umbral, el puntaje asignado será de cero (0).Indicador de medición: (Total de visitas ejecutadas / 60) × 100Entregable: planes de cuenta en estado completado en el CRM, enviado por la Subdirección de Arquitectura de Datos como evidencia de cumplimiento.Los entregables se encontrarán en la siguiente ruta: P:\Objetivos\2025\Dirección de Experiencia\Hector Fabian Bermudez Moreno</t>
  </si>
  <si>
    <t>Al 31 de diciembre de 2025, ejecutar la totalidad de las actividades definidas en el plan de acción de mejora de los resultados de cada uno de los componentes de la encuesta de cliente externo aplicada en el 2024, las cuales deben ser aprobadas mediante acta por la Dirección de Experiencia.El objetivo se cumple al 100% con la ejecución de todas las actividades, el resultado final corresponderá a la suma de los porcentajes de cumplimiento de cada actividad ejecutada y debidamente soportada, las cuales corresponden a las siguientes:&amp;nbsp;Actividades 1: Componente Calidad en el Servicio (Peso 30%).Actividades 2: Componente Satisfacción con el producto (Peso 25%).Actividades 3: Componente Satisfacción con los funcionarios (Peso 20%).Actividades 4: Componente Proceso Operativo (Peso 10%).Actividades 5: Componente Portal Transaccional (Peso 15%).&amp;nbsp;Entregable: Informe de actividades realizadas, enviado por correo electrónico a la Dirección de Experiencia antes del 15 de diciembre de 2025 y aprobado por esta.&amp;nbsp;Los entregables se encontrarán en la siguiente ruta: P:\Objetivos\2025\Dirección de Experiencia\Hector Fabian Bermudez Moreno</t>
  </si>
  <si>
    <t>1077033336</t>
  </si>
  <si>
    <t>Hector Fabian Cortes Martinez</t>
  </si>
  <si>
    <t>Profesional de Gestión Contable y Presupuestal</t>
  </si>
  <si>
    <t>Descripción del Objetivo: Realizar el cierre y la transmisión del PUC financiero mensual a la SFC un día hábil antes del vencimiento del plazo formal para transmitir, iniciando con la transmisión a realizarse en el mes de enero de 2025 hasta la transmisión a realizarse en el mes de diciembre de 2025.Indicador o Formula con la que se va a Realizar la Medición: (Cantidad de informes reportados con un día de antelación al vencimiento legal / Total de reportes en el año)Entregables: Se evaluará por cada mes con el cumplimiento del Calendario Financiero 2025. Evidencias: P:\Objetivos\2025\Dirección de Contabilidad y Presupuesto\Héctor Fabián Cortés Martínez</t>
  </si>
  <si>
    <t>Actualización planillas mensuales</t>
  </si>
  <si>
    <t>Descripción del Objetivo: Elaborar las planillas de cuentas contables de enero a noviembre de 2025, las planillas deben estar elaboradas el día 10 del mes siguiente al corte, o el día hábil siguiente si este coincide con un fin de semana o festivo. Indicador o Formula con la que se va a Realizar la Medición: (Cantidad de planillas realizadas dentro del plazo establecido / Total de planillas en el año)Entregables: Enviar correo al Subdirector o director de la dirección&amp;nbsp;de contabilidad y presupuesto evidenciando el cumplimiento de la generación de las respectivas planillasEvidencias: P:\Objetivos\2025\Dirección de Contabilidad y Presupuesto\Héctor Fabián Cortés Martínez</t>
  </si>
  <si>
    <t>Informe presupuestal contractual</t>
  </si>
  <si>
    <t>Descripción del Objetivo: Diseñar un informe del presupuesto ejecutado de los contratos que se encuentran en el Plan Anual de Adquisiciones,&amp;nbsp;para los cortes de julio, septiembre y noviembre de 2025, hasta el último día hábil del mes siguiente al corte.Indicador o Formula con la que se va a Realizar la Medición:• Modelo del diseño del informe de presupuesto de ejecución contractual&amp;nbsp;de los contratos del PAA Julio de 2025:&amp;nbsp;25%• Generación de primer informe de prueba Agosto 2025:&amp;nbsp;&amp;nbsp;&amp;nbsp;&amp;nbsp;25%• Envío informe con corte a septiembre 2025 hasta el 31 de octubre:&amp;nbsp;25%• Envío informe con corte a noviembre 2025 hasta el 31 de diciembre:&amp;nbsp;25%Entregables:• Correo remitido al Vicepresidente Financiero con el Modelo del diseño del informe de presupuesto de ejecución contractual&amp;nbsp;de los contratos del PAA Julio de 2025:&amp;nbsp;25%• Correo remitido al Vicepresidente Financiera con el primer informe de prueba Agosto 2025:&amp;nbsp;&amp;nbsp;&amp;nbsp;&amp;nbsp;25%• Correo remitido a las áreas con el envío del informe con corte a septiembre 2025 hasta el 31 de octubre:&amp;nbsp;25%•&amp;nbsp;Correo remitido a las áreas con el envío del informe con corte a noviembre 2025 hasta el 31 de diciembre:&amp;nbsp;25%Evidencias: P:\Objetivos\2025\Dirección de Contabilidad y Presupuesto\Héctor Fabián Cortés Martínez</t>
  </si>
  <si>
    <t>Resoluciones de Presupuesto</t>
  </si>
  <si>
    <t>Descripción del Objetivo: Elaborar y enviar a la Directora o Subdirectora de Contabilidad y Presupuesto el borrador de las resoluciones presupuestales de la Vicepresidencia Financiera (vigencias futuras y traslados), a partir de junio de 2025, máximo el siguiente día hábil después de recibida la solicitud.Indicador o Formula con la que se va a Realizar la Medición: (Cantidad de solicitudes cumplidas dentro del plazo establecido / Total de solicitudes recibidas en el año).Entregables: Correo electrónico con el borrador de la resolución enviado al subdirector o director de contabilidad en las fechas establecidas.Evidencias: P:\Objetivos\2025\Dirección de Contabilidad y Presupuesto\Héctor Fabián Cortés Martínez</t>
  </si>
  <si>
    <t>Revisión Borradores de contratos</t>
  </si>
  <si>
    <t>Descripción del Objetivo: Revisar la parte presupuestal de los contratos por suscribirse y responder a la dirección de Contratación máximo el día hábil siguiente a su recepción.Indicador o Formula con la que se va a Realizar la Medición: (Cantidad de solicitudes cumplidas dentro del plazo establecido / Total de solicitudes recibidas en el año)Entregables: Correo de respuesta a la Dirección de contratación dentro del plazo establecido. Evidencias: P:\Objetivos\2025\Dirección de Contabilidad y Presupuesto\Héctor Fabián Cortés Martínez</t>
  </si>
  <si>
    <t>Indicador cuentas por pagar tramitadas en Mercurio</t>
  </si>
  <si>
    <t>Descripción del Objetivo: Revisar y calcular mensualmente el indicador de cuentas por pagar tramitadas en el aplicativo Mercurio, y enviarlo a la dirección de Planeación con copia a las áreas correspondientes, a más tardar el día 10 del mes siguiente al periodo de cierre, o el día hábil siguiente si dicha fecha coincide con fin de semana o festivoIndicador o Formula con la que se va a Realizar la Medición: (Cantidad de informes reportados dentro de los 10 días siguientes al periodo de cierre / Total de reportes en el año) Entregables: Correo enviado a la dirección de planeación dentro del plazo establecido.Evidencias: P:\Objetivos\2025\Dirección de Contabilidad y Presupuesto\Héctor Fabián Cortés Martínez</t>
  </si>
  <si>
    <t>Reporte CUIPO</t>
  </si>
  <si>
    <t>Descripción del Objetivo: Enviar para transmisión el reporte trimestral CUIPO con al menos un día de anticipación a su vencimiento, cumpliendo los siguientes plazos máximos:I trimestre: 29 de abrilII trimestre: 29 de julioIII trimestre: 29 de octubre Indicador o Formula con la que se va a Realizar la Medición:• Informe de enero a marzo de 2025.&amp;nbsp;&amp;nbsp;&amp;nbsp;&amp;nbsp;&amp;nbsp;&amp;nbsp;&amp;nbsp;&amp;nbsp;&amp;nbsp;30%• Informe de abril a junio 2025.&amp;nbsp;&amp;nbsp;&amp;nbsp;&amp;nbsp;&amp;nbsp;&amp;nbsp;&amp;nbsp;&amp;nbsp;&amp;nbsp;&amp;nbsp;&amp;nbsp;&amp;nbsp;&amp;nbsp;&amp;nbsp;&amp;nbsp;&amp;nbsp;&amp;nbsp;&amp;nbsp;&amp;nbsp;&amp;nbsp;30%• Informe de julio a septiembre 2025.&amp;nbsp;&amp;nbsp;&amp;nbsp;&amp;nbsp;&amp;nbsp;&amp;nbsp;&amp;nbsp;&amp;nbsp;40%&amp;nbsp; Entregables: Correo electrónico remitido al encargado de la transmisión con copia a la subdirección de contabilidad y presupuesto Evidencias: P:\Objetivos\2025\Dirección de Contabilidad y Presupuesto\Héctor Fabián Cortés Martínez</t>
  </si>
  <si>
    <t>Revisión gestión flujos  a la etapa de revisión contable</t>
  </si>
  <si>
    <t>Descripción del Objetivo: Revisar mensualmente los flujos de pago radicados en la herramienta de gestión documental, verificando que todos aquellos en etapa de registro contable hayan sido gestionados y asignados a revisión contable, esta revisión se debe realizar a más tardar el día 06 del mes siguiente al periodo de cierre, o el día hábil siguiente si dicha fecha coincide con fin de semana o festivo.Indicador o Formula con la que se va a Realizar la Medición: (Cantidad de informes reportados dentro el plazo establecido/ Total de reportes en el año)Entregables: Correo enviado al Profesional de Gestión Contable I y II dentro del plazo establecido.Evidencias: P:\Objetivos\2025\Dirección de Contabilidad y Presupuesto\Héctor Fabián Cortés Martínez</t>
  </si>
  <si>
    <t>Descripción del Objetivo: A 31 diciembre de 2025 lograr como mínimo el cumplimiento del 90% de las acciones formuladas durante la vigencia en los planes de acción y mejoramiento relacionados con las auditorias realizadas por la OCI, SFC, Revisoría Fiscal y CGR en las actividades relacionadas con la Dirección de Contabilidad y Presupuesto. Indicador o Formula con la que se va a Realizar la Medición: Cantidad de actividades de planes de mejoramiento cumplidas (# acciones ejecutadas) / # total de acciones incluidas en los planes a ser ejecutados al 31/12/2025 Entregables: Correo electrónico enviado en el cual se informe a la Oficina de control Interno - OCI el cumplimiento de las acciones, la modificación de fechas o entregables acordados, a este correo deben adjuntarse los soportes de evidencias que correspondan en cada caso. Evidencias:  P:\Objetivos\2025\Dirección de Contabilidad y Presupuesto\Héctor Fabián Cortés Martínez</t>
  </si>
  <si>
    <t>Subdirector de Aplicaciones Misionales</t>
  </si>
  <si>
    <t>Análisis de viabilidad de Centro de Experiencia In-house</t>
  </si>
  <si>
    <t>&amp;nbsp;Elaborar el estudio de factibilidad y viabilidad de contar con un CE In - house, el cual contiene las siguientes fases y entregables:1. Estructuración del anexo técnico del CE.2. Elaboración de la matriz y análisis de riesgos.3. Estudio de Mercado para el CE del FNG.4. Informe final de Viabilidad del Centro de Experiencia In-houseEntregables:Su evaluación será así:&amp;nbsp;Q3.1. Estructuración del anexo técnico del CE, fecha entrega: 11/07/252. Elaboración de la matriz y análisis de riesgos,fecha entrega: 31/07/253. Estudio de Mercado para el CE del FNG, fecha entrega: 15/08/25Q4.4. Informe final de Viabilidad del Centro de Experiencia Propio, presentado a Comité Directivo en Q4.Formula:(# entregables terminados / Total de entregables definidos) * 100Número de entregables definidos = 4</t>
  </si>
  <si>
    <t>Implementar en la página web del FNG una sección denominada “Vincúlate”, que permita a los clientes externos iniciar su proceso de vinculación según su tipo, a través de módulos específicos. Esta funcionalidad integrará la interacción del cliente con el sitio web y la gestión administrativa interna del FNG, fase 1Formula:(# componente implementados / Total de componentes definidos) * 100Entregable:Entregable 1 - Q2 (peso 30%)&amp;nbsp;- Realizar el cronograma de ejecució derivado de la HU.- Iniciar el desarrollo del sprint 1Entregable 2 - Q3 (peso 60%)&amp;nbsp;- Desarrollo de los sprintEntregable 3 - Q4 (peso 10%)- Pruebas Integrales- RFC&amp;nbsp;- Seguimiento y estabilizacion del proyecto vinculados en producción.</t>
  </si>
  <si>
    <t>Contribuir durante el 2025 a la automatización y digitalización de tres procesos institucionales mediante el diseño, desarrollo e implementación de aplicaciones, utilizando las herramientas tecnológicas definidas por la entidad. Los procesos priorizados para automatizar y digitalizar son:- Automatización del cruce de listas restrictivas para optimizar el proceso de gestión de Sarlaft. Q2-Q4- Automatización de la consolidación de las bases de información de Reservas del FNG, para el análisis de las cifras insumo para la elaboración de la provisión de renta del FNG.Q2-Q4- Digitalización y automatización de información de potenciales clientes en el marco de el proceso de generación de demanda. Q2-Q4Las automatizaciones dependerán de los requerimientos funcionales definidos y aprobados en las historias de usuario.&amp;nbsp;Entregables:Q2- Documento de diseño técnico y estimación de las automatizaciones para cruce en Listas Restrictivas remitido a la Oficina de Cumplimiento.- Documento de diseño técnico y estimación de la Automatización de información de Reservas remitido al Departamento Financiero.- Aprobación de pruebas integrales por parte de la Vicepresidencia Comercial / Dirección de Microfinanzas y RFC aprobado en Comité de Cambios para la puesta en producción de digitalización y automatización de información de potenciales clientes del proceso de generación de demanda.&amp;nbsp;Q3- Despliegue (orden de transporte) de la solución en QA para pruebas integrales para cruce en Listas Restrictivas.- Aprobación de Pruebas integrales para digitalización y Automatización de información de Reservas por parte de la Vicepresidencia Comercial / Dirección de Microfinanzas.Q4- RFC aprobado en Comité de Cambios para la puesta en producción de&amp;nbsp;cruce en Listas Restrictivas&amp;nbsp;- Documento RFC de la Automatización de información de Reservas presentado y aprobado en Comité de CambiosFormula:(# automatizaciones finalizados / Total automatizaciones planificadas 2025) * 100Total automatizaciones planificadas 2025 = 3</t>
  </si>
  <si>
    <t>Garantizar durante el 2025 la adecuada finalización del alcance inicial de la implementación de la AE&amp;nbsp;y dar continuidad para su masificación, atendiendo los siguientes ítems : Q2: Dar cierre a las actividades de implementación de la AE en la Vicepresidencia de operaciones y la Vicepresidencia de Transformación Digital e Innovación, haciendo entrega del correspondiente informe del estado de implementación de la AE ; Q3: Realizar&amp;nbsp;mesa de trabajo con el equipo de arquitectura que cuenta con credenciales en Abacus con el fin de realizar un informe de monitoreo y actualización de los modelos. Q4: Entregar la estructuración del proyecto técnico para el crecimiento de la AE en el FNG al menos para dos Vicepresidencias adicionales.Entregables:Hitos definidos para 2025:Q2: Informe de supervisión de la AE implementada.Q3: Informe de monitoreo y actualización de la AE.Q4: Proyecto de crecimiento de la AE con la planeación de inclusión de dos procesos estratégicos adicionales para la siguiente vigencia.Formula: (# de hitos validados y entregados / Total de hitos definidos) * 100Total de hitos definidos = 3</t>
  </si>
  <si>
    <t>Ejecutar las actividades necesarias para la identificación, análisis y mitigación de vulnerabilidades técnicas detectadas en los sistemas de información misionales del FNG, alineadas con las recomendaciones de seguridad emitidas por entes de control y mejores prácticas del sector. Esta actividad contempla las siguientes fases:Q1 – Levantamiento de Información: Recolección y análisis de información técnica sobre los sistemas misionales (SACENNER, SFC), identificando sus configuraciones actuales, estado de actualización y posibles brechas de seguridad.Q2 – Mitigación de vulnerabilidades críticas: Aplicación de actualizaciones de seguridad en servidores con sistemas operativos Windows Server 2012 R2, deshabilitación de protocolos obsoletos (TLS 1.0 y 1.1), verificación e instalación de parches pendientes, y validación de alertas a través de Server Manager. Actividades ejecutadas en entornos de pruebas (Sorano y entorno David).Q3 – Fortalecimiento de configuración segura: Implementación de cabeceras de seguridad como Strict-Transport-Security (HSTS), Content Security Policy (CSP), y medidas de protección contra inyecciones (SRI), garantizando así una política robusta de seguridad en los entornos productivos.Entregables:Documento actualizado de análisis de vulnerabilidades (SFC)Evidencia en capturas de pantalla de los procedimientos realizadosDocumentación técnica de respaldo con configuraciones y pasos ejecutadosEntregables:Q3: - Actualización del documento en la ruta de la Subdirección de Seguridad de la Información del plan de acción sobre el informe de la SFCQ2 y Q3: - Evidencia en capturas de pantalla de los procedimientos realizadosQ2 y Q3: - Documentación técnica de respaldo con configuraciones y pasos ejecutadosFormula:(# Vulnerabilidades Solucionadas / Total de vulnerabilidades detectadas 2025) * 100</t>
  </si>
  <si>
    <t>79842413</t>
  </si>
  <si>
    <t>Hector Hernando Gonzalez Rodriguez</t>
  </si>
  <si>
    <t>Administrador de Seguridad Informática</t>
  </si>
  <si>
    <t>Afinamiento y actualización XDR</t>
  </si>
  <si>
    <t>Durante 2025, para Q4 realizar la “migración” de una solución estilo “Antivirus” a un esquema EDR (Endpoint Detection and Response) en donde se integre a los esquemas de protección y correlación de Seguridad de la entidad, en donde se logren mitigar riesgos de ciberseguridad. (esta migración está contemplada para 50 servidores de la granja de servidores del Datacenter Principal AVS y Datacenter Bulevar Tequendama).Entregables: Documento reporte de instalación y configuración de software agente EDR en Servidores, con políticas y excepciones propias del rol servidor.</t>
  </si>
  <si>
    <t>Modernización y actualización de anillo de seguridad perimetral y FWs</t>
  </si>
  <si>
    <t>Durante 2025, para Q4 realizar la migración y configuración de los 04 Firewalls que conforman el anillo de protección perimetral; realizando la migración y mejorando a la postura de seguridad de la entidad a través de la adquisición de Firewall en la vigencia 2025, esto será parte del fortalecimiento y mejora de la infraestructura de ciberseguridad así como su renovación tecnológica.Entregables: Documento reporte de instalación, configuración y puesta en marcha de Firewalls en configuración HA, con depuración de políticas (comparado con FWs actuales), migración de VPNs (SSL, IPSec)</t>
  </si>
  <si>
    <t xml:space="preserve"> Hardening ZTNA, Politicas y acceso VPNs</t>
  </si>
  <si>
    <t>Durante 2025, para Q4 Realizar actualización de políticas de firewall y políticas ZTNA, perfiles de navegación, filtrado, con análisis de tráfico en donde aumenten los niveles de trazabilidad y disminuyendo los tiempos de respuesta asociados a nuevas solicitudes.Entregables: Reporte de políticas de filtrado, perfiles de navegación y listado de clientes EMS-ZTNA con integración a Firewalls&amp;nbsp;</t>
  </si>
  <si>
    <t>"Continuar durante el 2025 con el proceso de modernización de la infraestructura tecnológica y de equipos de comunicaciones para soportar procesos de negocio como son la gestión de inversiones en la mesa de dinero, y la gestión administrativa mediante la dotación de nuevos recursos tecnológicos en ambientes de trabajo en el FNG. Incluye las pruebas de concepto, adquisiciones e instalaciones de:- Pruebas de concepto y/o implementación de Torretas en la mesa de dinero. (según valoración del área Financiera) Q3-Q4 - Instalación de equipos de videoconferencia en las salas de las Vicepresidencias. Q2-Q3- Dotación de equipos especializados para diseño e impresión y monitores para puestos de trabajo. Q2-Q4"Entregables:"Q2- Contrato los equipos de video- Contrato de equipo de diseño- Contrato compra de monitoresQ3- Informe de Instalación los equipos de video- Acta de recibo de equipo de diseño- Contrato de compra de impresoraQ4- Informe de POC de acuerdo con lo evaluado por la Vicepresidencia Financiera o Compra e Instalación torretas a cargo de la Vicepresidencia de TD e Innovación Q4 - Informe de POC o Instalación torretas- Acta de entrega de impresora- Acta de recibo de monitores"</t>
  </si>
  <si>
    <t>Rediseño y aseguramiento esquema de acceso a red LAN (NAC)</t>
  </si>
  <si>
    <t>Durante 2025, para Q4 realizar un diseño actualizado de la red de datos y servicios del Fondo Nacional de Garantías, en donde se optimice la cantidad de VLANs y Direccionamiento IP actual, permitiendo una segmentación adecuada, y mejorando el desempeño del DHCP y herramientas de red en la entidad a nivel LAN y WLAN.Entregables: Documento de re-diseño de red LAN, y comparativo, con optimización de cantidad de VLANs y Segmentos de red, con segmentación y separación de roles acuerdo a perfiles de navegación</t>
  </si>
  <si>
    <t>"Fortalecer durante el 2025 la capacidad de respuesta y atención en Ciberseguridad del FNG, mediante la implementación de las siguientes soluciones:1.Protección de Marca: Implementación de herramientas para la detección y mitigación de suplantaciones de identidad, fraudes digitales y usos indebidos de la imagen institucional en canales externos.  2. Advance Report (GoAnywhere): Integración de una solución avanzada para la gestión segura de transferencias de archivos, con trazabilidad, control de accesos y generación de reportes automatizados.3. Control de Acceso a la Red (NAC): Despliegue de una solución de Network Access Control que permita identificar, autenticar y autorizar dispositivos conectados a la red del FNG, garantizando un entorno más seguro y controlado."Entregables:"1. Documento contractual (Contrato Protección de Marca) Q22. Informe de implementación (Protección de Marca) Q33. Documento contractual (GoAnyWhere) Q34. Informe de implementación módulo Advance Report (GoAnyWhere) Q25. Documento contractual (Contrato NAC) Q36. Informe de implementación (NAC) Q4"</t>
  </si>
  <si>
    <t>80811321</t>
  </si>
  <si>
    <t>Hector Liber Salgar</t>
  </si>
  <si>
    <t>Analista Tecnico</t>
  </si>
  <si>
    <t>Universidad de la garantía_Nivel Básico</t>
  </si>
  <si>
    <t>Dictar y evaluar el módulo básico de la Universidad de la Garantía en el 2Q de 2025  INDICADOR: Cumple / No cumple  ENTREGABLES / EVIDENCIA: Listado de asistencia y encuestas ubicadas en la Ruta: P:\Objetivos\2025\Direccion de Operaciones\OBJETIVOS COMUNES</t>
  </si>
  <si>
    <t>Entre los meses de junio y diciembre de 2025, obtener un resultado máximo del 0,05% en el indicador: “Devoluciones de comisiones con novedad”.INDICADOR:(Devoluciones con novedad / Total de garantías validadas) * 100&amp;nbsp;Nota: El indicador mide el porcentaje de garantías, del total de garantías validadas en el periodo evaluado, que: i) presentan inconsistencias en el valor devuelto, ii) fueron devueltas por fuera del tiempo establecido (se excluyen las garantías cuya factura no se encuentre compensada o los IF que no reciban recursos en los cortes por sus cierres contables). La medición se realizará tomando como base los procesos automáticos de prepago y novación, así como las solicitudes realizadas por los IF a través del Anexo 12, según los cortes indicados en el Reglamento de garantías.El cumplimiento se medirá de acuerdo con la siguiente tabla métrica y de forma proporcional:&amp;gt; 0,05 0%De 0,050 a 0,041&amp;nbsp;20%De 0,040 a 0,031&amp;nbsp;40%De 0,030 a 0,021&amp;nbsp;60%De 0,020 a 0,011 80%&amp;lt;= 0,010 100%Evidencia: Base con el total de garantías validadas y barrido mensual del proceso de devolución de comisiones ubicada en la Ruta: P:\Objetivos\2025\Direccion de Operaciones\</t>
  </si>
  <si>
    <t>Antes del 31/12/25 haber cursado y obtenido la certificación en dos (2) cursos de análisis de datos y/o inteligencia artificial (cursos BID y Microsoft)CRITERIOS DE MEDICIÓNEl objetivo será medible&amp;nbsp;así:Cursar y aprobar curso de Inteligencia artificial generativa -BID: 50% - Cumple / no cumpleCursar y aprobar curso de Introducción al análisis de datos - Microsoft: 50% - Cumple / no cumpleENTREGABLES / EVIDENCIACertificaciones y/o credenciales digitales emitidas por las plataformas correspondientes ubicadas en la Ruta: P:\Objetivos\2025\Direccion de Operaciones\</t>
  </si>
  <si>
    <t xml:space="preserve">Flujos de pago Reintegro de comisiones </t>
  </si>
  <si>
    <t>Radicar los flujos de pago en el aplicativo Mercurio correspondientes a reintegro de comisión por garantía pagada, a más tardar el séptimo día hábil posterior a los cortes:- Primer corte de Junio, septiembre, octubre, noviembre y diciembre de 2025.- Segundo corte de Julio y Agosto de 2025Nota: Se excluyen de la medición los Intermediarios Financieros que por fechas no reciban los recursos durante el transcurso de la validación, y deben girarse en el mes siguiente.INDICADOR:100% es igual a 100 puntos con una calificación proporcional entre 90% y 100%, donde 89,99% es 0 puntos.90 - 9%91 - 18%92 - 27%93 - 36%94 - 45%95 - 55%96 - 64%97 - 73%98 - 82%99 - 91%100 - 100%ENTREGABLES/EVIDENCIAS: Base extraída del aplicativo mercurio con fecha&amp;nbsp;radicación, antes del séptimo día hábil posterior a cada corte ubicada en la Ruta: P:\Objetivos\2025\Direccion de Operaciones\</t>
  </si>
  <si>
    <t>1070973827</t>
  </si>
  <si>
    <t>Heidy Natali Triviño Moreno</t>
  </si>
  <si>
    <t>Profesional Senior de Modelos Técnicos</t>
  </si>
  <si>
    <t xml:space="preserve"> Prospectivo VMD Empresarial Vigilados</t>
  </si>
  <si>
    <t>Implementar la integración del modelo prospectivo al VMD Empresarial Vigilados, esta integración debe contemplar las etapas de Desarrollo de la propuesta, Actualización documental, Desarrollo de Aplicativos. La integración deberá realizarse antes del 30 de Diciembre de 2025. Esté objetivo se alinea con el objetivo estratégico "3. Fortalecer la gestión y administración integral del riesgo para generar un adecuado ambiente de control" del PAI con la estrategia 3.1 Consolidar la gestión integral de riesgos, bajo la apuesta Aplicación de modelos prospectivos transversales a los sistemas de riesgos.&amp;nbsp;&amp;nbsp;&amp;nbsp;&amp;nbsp;&amp;nbsp;&amp;nbsp;&amp;nbsp;&amp;nbsp;&amp;nbsp;&amp;nbsp;&amp;nbsp;&amp;nbsp;&amp;nbsp;&amp;nbsp;&amp;nbsp;&amp;nbsp;&amp;nbsp;&amp;nbsp;&amp;nbsp;&amp;nbsp;&amp;nbsp;&amp;nbsp;&amp;nbsp;&amp;nbsp;&amp;nbsp;&amp;nbsp;&amp;nbsp;&amp;nbsp;&amp;nbsp;&amp;nbsp;&amp;nbsp;&amp;nbsp;&amp;nbsp;&amp;nbsp;&amp;nbsp;&amp;nbsp;&amp;nbsp;&amp;nbsp;Entregable 1: Implementar un análisis descriptivo y estadístico sobre los indicadores Financieros utilizados para la estimación del VMD empresarial vigilados, a más tardar 30 de Junio de 2025. El análisis debe ser socializado con el Director de Modelos Técnicos y/o Vicepresidente de Riesgos.&amp;nbsp;&amp;nbsp;Evidencia: Presentación en PPT con el análisis realizado.&amp;nbsp;Porcentaje: 25% | Entregable 2: Desarrollar una propuesta metodológica para la inclusión de un componente prospectivo en la metodología actual de VMD Empresarial Vigilados. La propuesta deberá ser socializada a más tarde el 31 de Agosto de 2025, la propuesta deberá ser discutida en el Comité SIAR.&amp;nbsp;Evidencia: Presentación de la propuesta al Comité SIAR&amp;nbsp;Porcentaje: 25% | Entregable 3: Actualizar la documentación relacionada a la estimación del VMD empresarial Vigilados para integrar el componente prospectivo en la metodología de estimación del VMD Empresarial Vigilados. La documentación debe ser actualizada antes del 30 de Septiembre de 2025. Los documentos deberán estar publicados en Isolución.&amp;nbsp;Evidencia: Documentación con el ajuste realizado&amp;nbsp;Porcentaje: 25% | Entregable 4: Diseñar códigos de ejecución para la implementación del componente prospectivo en la estimación del VMD empresarial Vigilados. Los códigos deberán ser actualizados antes del 30 de septiembre de 2025.&amp;nbsp;&amp;nbsp;Evidencia: Instructivo donde se especifique la ejecución del componente prospectivo&amp;nbsp;Porcentaje: 25%&amp;nbsp;&amp;nbsp;&amp;nbsp;&amp;nbsp;&amp;nbsp;&amp;nbsp;&amp;nbsp;&amp;nbsp;&amp;nbsp;&amp;nbsp;&amp;nbsp;&amp;nbsp;&amp;nbsp;&amp;nbsp;&amp;nbsp;&amp;nbsp;&amp;nbsp;&amp;nbsp;&amp;nbsp;Indicador de medición: Suma de porcentaje de cumplimiento de los entregables</t>
  </si>
  <si>
    <t>Realizar una ruta de aprendizaje de Microsoft Learn para aprender a utilizar los servicios en la nube de Azure enfocados en Ciencia de Datos, Machine Learning o IA. Esta ruta de aprendizaje debe realizarse antes de 30 de septiembre y se debe presentar el certificado generado por la pagina.&amp;nbsp;&amp;nbsp;&amp;nbsp;&amp;nbsp;&amp;nbsp;&amp;nbsp;&amp;nbsp;&amp;nbsp;&amp;nbsp;&amp;nbsp;&amp;nbsp;&amp;nbsp;&amp;nbsp;&amp;nbsp;&amp;nbsp;&amp;nbsp;&amp;nbsp;&amp;nbsp;&amp;nbsp;&amp;nbsp;&amp;nbsp;&amp;nbsp;&amp;nbsp;&amp;nbsp;&amp;nbsp;&amp;nbsp;&amp;nbsp;&amp;nbsp;&amp;nbsp;&amp;nbsp;&amp;nbsp;&amp;nbsp;&amp;nbsp;&amp;nbsp;&amp;nbsp;&amp;nbsp;&amp;nbsp;&amp;nbsp;Certificado de la pagina&amp;nbsp;&amp;nbsp;&amp;nbsp;&amp;nbsp;&amp;nbsp;&amp;nbsp;&amp;nbsp;&amp;nbsp;&amp;nbsp;&amp;nbsp;&amp;nbsp;&amp;nbsp;&amp;nbsp;&amp;nbsp;&amp;nbsp;&amp;nbsp;&amp;nbsp;&amp;nbsp;&amp;nbsp;Indicador de medición: # Modulo a cursar / # certificados obtenidos</t>
  </si>
  <si>
    <t>Participar en el Proyecto Modelo de Gobierno de Datos, con la transferencia de conocimiento y el acompañamiento en la aplicación de pruebas para la migración del segundo caso de uso sobre el proceso del cálculo de reservas en la nube Azure. Dicha acompañamiento&amp;nbsp;se debe ajustar al cronograma del contratista DataKnow y debera realizarse antes del 30 de noviembre. Esté objetivo se alinea con el "IT015: Modelo de Gobierno de Datos" del PETI.&amp;nbsp;&amp;nbsp;&amp;nbsp;&amp;nbsp;&amp;nbsp;&amp;nbsp;&amp;nbsp;&amp;nbsp;&amp;nbsp;&amp;nbsp;&amp;nbsp;&amp;nbsp;&amp;nbsp;&amp;nbsp;&amp;nbsp;&amp;nbsp;&amp;nbsp;&amp;nbsp;&amp;nbsp;&amp;nbsp;&amp;nbsp;&amp;nbsp;&amp;nbsp;&amp;nbsp;&amp;nbsp;&amp;nbsp;&amp;nbsp;&amp;nbsp;&amp;nbsp;&amp;nbsp;&amp;nbsp;&amp;nbsp;&amp;nbsp;&amp;nbsp;&amp;nbsp;&amp;nbsp;&amp;nbsp;&amp;nbsp;Entregable 1: Realizar el entendimiento con el proveedor del proceso de reservas y la ejecución de los códigos. Las reuniones realizadas debe quedar como evidencia y se realizara grabación de las sesiones y se dejara como entregable. Este entendimiento debe realizarse a más tardar el 31 de Agosto de 2025.&amp;nbsp;Evidencia: Grabación de la sesiones.&amp;nbsp;Porcentaje: 53% | Entregable 2: Verificar la funcionalidad de la migración realizada por el proveedor en la nube con un set de pruebas acordado entre el proveedor y el FNG. El set de pruebas y la verificación deberá ser presentada antes del 30 de Noviembre de 2025.&amp;nbsp;Evidencia: Set de pruebas&amp;nbsp;&amp;nbsp;Porcentaje: 47%&amp;nbsp;&amp;nbsp;&amp;nbsp;&amp;nbsp;&amp;nbsp;&amp;nbsp;&amp;nbsp;&amp;nbsp;&amp;nbsp;&amp;nbsp;&amp;nbsp;&amp;nbsp;&amp;nbsp;&amp;nbsp;&amp;nbsp;&amp;nbsp;&amp;nbsp;&amp;nbsp;&amp;nbsp;Indicador de medición: Suma de porcentaje de cumplimiento de los entregables</t>
  </si>
  <si>
    <t>Atender oportunamente las recomendaciones por parte de la SFC en el proceso de No Objeción metodología de estimación de Pérdidas y Reservas VIS e Institucional, a más tardar el 31 de diciembre de&amp;nbsp;2025. Esté objetivo se alinea con el objetivo estratégico "3. Fortalecer la gestión y administración integral del riesgo para generar un adecuado ambiente de control" del PAI con la estrategia 3.1 Consolidar la gestión integral de riesgos, bajo la apuesta Modelos No Objetados.&amp;nbsp;&amp;nbsp;&amp;nbsp;&amp;nbsp;&amp;nbsp;&amp;nbsp;&amp;nbsp;&amp;nbsp;&amp;nbsp;&amp;nbsp;&amp;nbsp;&amp;nbsp;&amp;nbsp;&amp;nbsp;&amp;nbsp;&amp;nbsp;&amp;nbsp;&amp;nbsp;&amp;nbsp;&amp;nbsp;&amp;nbsp;&amp;nbsp;&amp;nbsp;&amp;nbsp;&amp;nbsp;&amp;nbsp;&amp;nbsp;&amp;nbsp;&amp;nbsp;&amp;nbsp;&amp;nbsp;&amp;nbsp;&amp;nbsp;&amp;nbsp;&amp;nbsp;&amp;nbsp;&amp;nbsp;&amp;nbsp;Entregable 1: Atender oportunamente las recomendaciones por parte de la SFC en el proceso de No Objeción metodología de estimación de Pérdidas y Reservas VIS e Institucional, a más tardar el 31 de diciembre de&amp;nbsp;2025. Esté objetivo se alinea con el objetivo estratégico "3. Fortalecer la gestión y administración integral del riesgo para generar un adecuado ambiente de control" del PAI con la estrategia 3.1 Consolidar la gestión integral de riesgos, bajo la apuesta Modelos No Objetados.&amp;nbsp;Evidencia: Comunicaciones de respuesta a requerimientos de la SFC en el proceso de solicitud de concepto de no objeción&amp;nbsp;&amp;nbsp;Porcentaje: 100%&amp;nbsp;&amp;nbsp;&amp;nbsp;&amp;nbsp;&amp;nbsp;&amp;nbsp;&amp;nbsp;&amp;nbsp;&amp;nbsp;&amp;nbsp;&amp;nbsp;&amp;nbsp;&amp;nbsp;&amp;nbsp;&amp;nbsp;&amp;nbsp;&amp;nbsp;&amp;nbsp;&amp;nbsp;Indicador de medición: Suma de porcentaje de cumplimiento de los entregables</t>
  </si>
  <si>
    <t>Realizar y presentar las calibraciones para la metodología de estimación de pérdidas y reservas de la línea empresarial ante el Comité SIAR, en un plazo máximo a 30 de Septiembre de 2025. Esté objetivo se alinea con el objetivo estratégico "3. Fortalecer la gestión y administración integral del riesgo para generar un adecuado ambiente de control" del PAI con el indicador de Cobertura de reservas.&amp;nbsp;&amp;nbsp;&amp;nbsp;&amp;nbsp;&amp;nbsp;&amp;nbsp;&amp;nbsp;&amp;nbsp;&amp;nbsp;&amp;nbsp;&amp;nbsp;&amp;nbsp;&amp;nbsp;&amp;nbsp;&amp;nbsp;&amp;nbsp;&amp;nbsp;&amp;nbsp;&amp;nbsp;&amp;nbsp;&amp;nbsp;&amp;nbsp;&amp;nbsp;&amp;nbsp;&amp;nbsp;&amp;nbsp;&amp;nbsp;&amp;nbsp;&amp;nbsp;&amp;nbsp;&amp;nbsp;&amp;nbsp;&amp;nbsp;&amp;nbsp;&amp;nbsp;&amp;nbsp;&amp;nbsp;&amp;nbsp;Entregable 1: Realizar y presentar la estimación de los nuevos puntos de Default para las metodología de estimación de pérdidas y reservas de la línea empresarial ante el Comité SIAR, en un plazo máximo a 31 de Julio de 2025.&amp;nbsp;&amp;nbsp;Evidencia: Presentación de resultados al Comité SIAR&amp;nbsp;Porcentaje: 16% | Entregable 2: Realizar y presentar la estimación de los limites de suficiencia por asimilable y global para la línea empresarial ante el Comité de SIAR, en un plazo máximo a 31 de Julio de 2025.&amp;nbsp;&amp;nbsp;Evidencia: Presentación de resultados al Comité SIAR&amp;nbsp;Porcentaje: 16% | Entregable 3: Realizar la calibración de los modelos prospectivos para la línea empresarial. Se debe presentar en el Comité de SIAR, en un plazo máximo a 30 de Septiembre de 2025.&amp;nbsp;&amp;nbsp;Evidencia: Presentación de resultados al Comité SIAR&amp;nbsp;Porcentaje: 20% | Entregable 4: Incluir en el proceso de Calibración del componente prospectivo variables extranjeras relevantes. Estas variables deberán ser incluidas en la base de variables Macroeconómicas y deberán ser consideradas en el proceso de Calibración semestral, en un plazo máximo a 30 de Septiembre de 2025.&amp;nbsp;Evidencia: Base actualizada de variables Macroeconómicas&amp;nbsp;Porcentaje: 16% | Entregable 5: Desarrollar una propuesta para la proyección de Siniestros. La propuesta deberá ser socializada a mas tardar el 31 de Agosto de 2025, la propuesta deberá ser discutida en el Comité SIAR.&amp;nbsp;Evidencia: Presentación de la propuesta al Vicepresidente de Riesgos - Comité SIAR&amp;nbsp;Porcentaje: 16% | Entregable 6: Desarrollar una propuesta para la proyección de Coberturas de Reservas. La propuesta deberá ser socializada a mas tardar el 31 de Agosto de 2025, la propuesta deberá ser discutida en el Comité SIAR.&amp;nbsp;Evidencia: Presentación de la propuesta al Vicepresidente de Riesgos - Comité SIAR&amp;nbsp;Porcentaje: 16%&amp;nbsp;&amp;nbsp;&amp;nbsp;&amp;nbsp;&amp;nbsp;&amp;nbsp;&amp;nbsp;&amp;nbsp;&amp;nbsp;&amp;nbsp;&amp;nbsp;&amp;nbsp;&amp;nbsp;&amp;nbsp;&amp;nbsp;&amp;nbsp;&amp;nbsp;&amp;nbsp;&amp;nbsp;Indicador de medición: Suma de porcentaje de cumplimiento de los entregables</t>
  </si>
  <si>
    <t>Rediseñar, antes del 30 de octubre de 2025, la metodología actual de muestreo periódico. La metodología debe ser presentada al Comité SIAR y socializada con las áreas involucradas.&amp;nbsp;&amp;nbsp;&amp;nbsp;&amp;nbsp;&amp;nbsp;&amp;nbsp;&amp;nbsp;&amp;nbsp;&amp;nbsp;&amp;nbsp;&amp;nbsp;&amp;nbsp;&amp;nbsp;&amp;nbsp;&amp;nbsp;&amp;nbsp;&amp;nbsp;&amp;nbsp;&amp;nbsp;&amp;nbsp;&amp;nbsp;&amp;nbsp;&amp;nbsp;&amp;nbsp;&amp;nbsp;&amp;nbsp;&amp;nbsp;&amp;nbsp;&amp;nbsp;&amp;nbsp;&amp;nbsp;&amp;nbsp;&amp;nbsp;&amp;nbsp;&amp;nbsp;&amp;nbsp;&amp;nbsp;&amp;nbsp;Entregable 1: Revisar conjuntamente con el equipo de vinculación, aseguramiento y calidad la propuesta de rediseño de la metodología a más tardar el 31 de julio de 2025 y como evidencia se registrará un acta de la sesión.&amp;nbsp;Evidencia: acta de la sesión.&amp;nbsp;Porcentaje: 50% | Entregable 2: Presentar la versión final de la metodología del modelo de muestreo periódico a más tardar el 30 de octubre al comité SIAR.&amp;nbsp;Evidencia: Presentación de la propuesta al Vicepresidente de Riesgos - Comité SIAR&amp;nbsp;Porcentaje: 50%&amp;nbsp;&amp;nbsp;&amp;nbsp;&amp;nbsp;&amp;nbsp;&amp;nbsp;&amp;nbsp;&amp;nbsp;&amp;nbsp;&amp;nbsp;&amp;nbsp;&amp;nbsp;&amp;nbsp;&amp;nbsp;&amp;nbsp;&amp;nbsp;&amp;nbsp;&amp;nbsp;&amp;nbsp;&amp;nbsp;&amp;nbsp;Indicador de medición: Suma de porcentaje de cumplimiento de los entregables</t>
  </si>
  <si>
    <t>1070960528</t>
  </si>
  <si>
    <t>Heimy Yurany Prieto Pulido</t>
  </si>
  <si>
    <t>Analista de Garantías</t>
  </si>
  <si>
    <t>Campaña Capacitaciones Ágiles</t>
  </si>
  <si>
    <t>Al 31/12/2025 Fortalecer las competencias del cliente interno del FNG, a través de un programa integral de capacitación, con el fin de reducir errores recurrentes y mejorar la transferencia de conocimiento a los IF, asegurando una formación precisa y consistente que optimice la calidad del servicio y minimice las incidencias operativas. Para ello se debe 1) conciliar con las áreas involucradas sobre los&amp;nbsp;funcionarios y horarios para la gestión de la campaña; 2) realizar las capacitaciones y 3) entregar informes de resultadosIndicador: Cumple/ No cumpleEvidencia: La evidencia de cumplimiento será el listado de asistencia, encuestas, evaluaciones e informe de resultados&amp;nbsp;</t>
  </si>
  <si>
    <t>1026271348</t>
  </si>
  <si>
    <t>Hernan Felipe Ramírez Rozo</t>
  </si>
  <si>
    <t>Subdirector de Estudios Económicos</t>
  </si>
  <si>
    <t>1110486655</t>
  </si>
  <si>
    <t>Sebastian Gilberto Sanchez Meneses</t>
  </si>
  <si>
    <t xml:space="preserve">Tableros de análisis económico para apoyar la toma de decisiones comerciales y de riesgos </t>
  </si>
  <si>
    <t>Entregable: tableros interactivos en BI.Evidencia: Z:\Objetivos\2025\Dirección de PlaneaciónDescripción:Mejoramiento mediante la inclusión de nuevas variables demográficas y de mercado, con el fin de mejorar el análisis territorial, la segmentación comercial y la gestión del riesgo. Se promoverá la actualización mensual para asegurar utilidad y oportunidad.Indicador de cumplimiento (7 actualizaciones posibles en el año):5 actualizaciones: 100%4 actualizaciones: 95%3 actualizaciones: 90%2 o menos actualizaciones: 80% o inferior</t>
  </si>
  <si>
    <t xml:space="preserve">Conformar el Grupo de Investigación del FNG ante MinCiencias </t>
  </si>
  <si>
    <t>Evidencias: Z:\Objetivos\2025\Dirección de PlaneaciónEntregable: solicitud registro grupo investigaciónDescripción:Durante 2025, se avanzará en la creación y formalización del Grupo de Investigación del FNG ante MinCiencias, con el objetivo de fortalecer la producción técnica de la entidad. En el primer trimestre se socializará la propuesta con Dirección General y Planeación; en el segundo trimestre se identificará la trayectoria investigativa de los integrantes; en el tercer trimestre se cargará la información en GrupLAC, y en el cuarto trimestre se radicará la solicitud formal de reconocimiento.Indicador de cumplimiento:1Q: Propuesta socializada – 25%2Q: Hoja de vida e historial técnico del equipo recopilado – 25%3Q: Registro en GrupLAC cargado – 25%4Q: Solicitud de reconocimiento radicada – 25%</t>
  </si>
  <si>
    <t xml:space="preserve">Publicar documentos técnicos tipo working paper y realizar webinars de difusión técnica </t>
  </si>
  <si>
    <t>Entregable: Documentos Working Papers / webinarEvidencia: Z:\Objetivos\2025\Dirección de PlaneaciónDescripción:Durante el año se elaborarán hasta tres working papers con base empírica, análisis técnico y recomendaciones de política. Además, se realizarán al menos dos webinars para socializar resultados con aliados del ecosistema financiero, reguladores y academia.Indicador de cumplimiento:2Q: Primer working paper en desarrollo o publicado – 30%3Q: Segundo working paper publicado – 30%3Q: Primer webinar realizado – 5%4Q: Tercer working paper publicado – 30%4Q: Segundo webinar realizado – 5%</t>
  </si>
  <si>
    <t xml:space="preserve">Elaborar y divulgar informes de coyuntura macroeconómica y financiera para públicos internos y externos </t>
  </si>
  <si>
    <t>Entregable: informes mensualesEvidencias: Z:\Objetivos\2025\Dirección de PlaneaciónDescripción:Se entregarán tres tipos de informes mensuales:o&amp;nbsp;&amp;nbsp;(i) Informe para intermediarios financieros y gremios (desde mayo),o&amp;nbsp;&amp;nbsp;(ii) Informe empresarial con enfoque en apoyo al tejido productivo,o&amp;nbsp;&amp;nbsp;(iii) Informe interno sobre riesgos, entorno macroeconómico y gestión tarifaria.Indicador de cumplimiento (totales anuales posibles):o&amp;nbsp;&amp;nbsp;(ii) y (iii): 12 informes x 2 tipos = 24 entregaso&amp;nbsp;&amp;nbsp;(i): 8 informes (de mayo a diciembre)Total anual esperado: 32 entregas31–32 entregas: 100%29–30 entregas: 95%26–28 entregas: 90%Menos de 26 entregas: 80% o inferior</t>
  </si>
  <si>
    <t xml:space="preserve">Apoyar investigaciones conjuntas con el Grupo Bicentenario y/ entidades avaladas por la ViceEjecutiva </t>
  </si>
  <si>
    <t>Evidencia: Z:\Objetivos\2025\Dirección de PlaneaciónEntregable: documento técnicoDescripción:Durante 2025, la Subdirección de Estudios Económicos del FNG participará activamente en dos procesos de investigación conjunta con el Grupo Bicentenario y otros actores. La primera línea abordará los determinantes del margen de intermediación y la formación de tasas de interés en el sistema financiero. La segunda explorará el impacto económico de las empresas del Grupo Bicentenario y otros actores sobre la economía nacional, desde perspectivas macro, sectorial y territorial. Estas investigaciones contribuirán a la producción de conocimiento técnico para el ecosistema financiero público del país.Indicador de cumplimiento:3Q: Aportes técnicos iniciales entregados y participación en la definición metodológica – 65%4Q: Contribución en productos finales y validación institucional – 35%</t>
  </si>
  <si>
    <t xml:space="preserve">Coordinar la estructuración técnica y editorial del libro de Garantías del FNG – edición 2025/2026 </t>
  </si>
  <si>
    <t>Entregable: libroEvidencia: Z:\Objetivos\2025\Dirección de PlaneaciónDescripción:Se liderará la convocatoria del comité editorial y la definición del cronograma, enfoque temático y autores para el libro técnico que se publicará en 2026. Este proceso garantizará calidad técnica, planificación anticipada y alineación institucional.Indicador de cumplimiento:Call for Chapters autores que participen en la escritura del libro (3Q):15%Comité editorial convocado y cronograma aprobado (3Q):&amp;nbsp;30%Cumplimiento de tareas asignadas y gestión de autores (4Q):&amp;nbsp;30%Consolidación del documento final del libro y trabajo editorial (4Q): 25%</t>
  </si>
  <si>
    <t>1022323541</t>
  </si>
  <si>
    <t>Ibonne Paola Quiroga Martinez</t>
  </si>
  <si>
    <t>Profesional Senior de Estudios Economicos</t>
  </si>
  <si>
    <t>Informes semanales, investigaciones y análisis</t>
  </si>
  <si>
    <t>Contribuir de manera oportuna y precisa con la investigación y análisis de resultados de la entidad, así como en la elaboración de informes semanales, asegurando la entrega del 95% o más de los productos solicitados dentro de los plazos establecidos, durante el periodo comprendido entre enero y diciembre de 2025.Indicador Informes Semanales: No de informes publicados/ No de informes planeadosIndicador Investigaciones y análisis: No de solicitudes atendidas / No de solicitudes recibidasEntregablesQ3 - Q4 (Continuo)- Informes semanales entregados de forma puntual (95% o más de los informes planeados para el trimestre).-Atención a requerimientos de análisis adicionales- Informes analíticos, presentaciones y notas técnicas alineadas con los tiempos y necesidadesUbicación de las EvidenciasZ:\Objetivos\2025\Dirección de Planeación</t>
  </si>
  <si>
    <t>Aporte del FNG - Estudio conjunto</t>
  </si>
  <si>
    <t>Analizar y documentar el aporte del FNG en la promoción del acceso al crédito formal y mejora de condiciones en colaboración con otra entidad, mediante el seguimiento de indicadores clave y la recopilación de evidencia cualitativa y cuantitativa, con resultados disponibles antes del 31 de diciembre de 2025, asegurando el cumplimiento del 100% de las actividades definidas.Indicador: Actividades ejecutadas / Actividades planificadasEntregables:Q3- Acercamiento con la entidad aliada (10%)Q3 - Definición de fuentes de información y disponibilidad de la información. (15%)Q3 - Definición de la temática, tipo de entregable, plan de trabajo y costos. (15%)Q3 - Revisión etapa contractual - (Actividad sujeta a si es procedente o no conforme la colaboración definida) (10%)Q4 - Informe parcial de resultados (25%)Q4 - Documento final con hallazgos y recomendaciones (La publicación final al público en general dependerá de la fecha que estime la entidad aliada, la cual puede materializarse en la siguiente vigencia 2026) (25%)Ubicación de las EvidenciasZ:\Objetivos\2025\Dirección de Planeación&amp;nbsp;</t>
  </si>
  <si>
    <t>Seguimiento Esquema Comercial</t>
  </si>
  <si>
    <t>Realizar una revisión integral para mejorar el seguimiento del esquema comercial de la entidad, identificando posibles optimizaciones para los tableros de control, los indicadores clave y la generación de alertas, elaborando un informe con recomendaciones estratégicas antes del 31 de diciembre de 2025, que permitan un mejor proceso de toma de decisiones y contribuyan al cumplimiento de los objetivos anuales de crecimiento de la entidad; asegurando el cumplimiento del 100% de las actividades definidas.Indicador: Actividades completadas según cronograma / Actividades totales planificadasEntregables:Q3 - Diagnóstico inicial del esquema actual (10%)Q3- Identificación preliminar de indicadores y tableros existentes (10%)Q3- Revisión del sistema de alertas y flujos de información (10%)Q3 -Proyecto propuesta diseño de tableros (15%)Q3- Validación con usuarios clave y ajustes a las recomendaciones (10%)Q3- Simulación o prueba piloto de alertas/rediseño de tableros. (15%)Q4 - Informe final con recomendaciones estratégicas (20%)Q4- Presentación ejecutiva a la Dirección de Planeación (10%)Ubicación de las EvidenciasZ:\Objetivos\2025\Dirección de Planeación</t>
  </si>
  <si>
    <t>Requerimientos Alta Dirección</t>
  </si>
  <si>
    <t>Atender de manera oportuna y con altos estándares de calidad los requerimientos de la alta dirección, como análisis, informes y presentaciones estratégicas, entre otros, durante el año 2025, asegurando la entrega del 100 % de las solicitudes dentro de los plazos establecidos, con el fin de apoyar la formulación de estrategias organizacionales a partir de insumos técnicos relevantes y alineados con los objetivos estratégicos de la entidad.Indicador: Requerimientos atendidos / Requerimientos solicitadosEntregablesQ3 - Q4 (Continuo)- Registro y control de requerimientos (bitácora) (20%)- Entrega oportuna del 100% de los requerimientos solicitados - Producción de documentos solicitados con calidad y pertinencia (60%)- Informes, presentaciones, notas técnicas, entre otras (20%)Ubicación de las EvidenciasZ:\Objetivos\2025\Dirección de Planeación</t>
  </si>
  <si>
    <t>1018477144</t>
  </si>
  <si>
    <t>Ivan Andres Noreña Salinas</t>
  </si>
  <si>
    <t>Durante el año se elaborarán hasta tres working papers con base empírica, análisis técnico y recomendaciones de política. Además, se realizarán al menos dos webinars para socializar resultados con aliados del ecosistema financiero, reguladores y academia.Indicador de cumplimiento:o&amp;nbsp;&amp;nbsp;&amp;nbsp;2Q: Primer working paper en desarrollo o publicado – 30%o&amp;nbsp;&amp;nbsp;&amp;nbsp;3Q: Segundo working paper publicado – 30%o&amp;nbsp;&amp;nbsp;&amp;nbsp;3Q: Primer webinar realizado – 5%o&amp;nbsp;&amp;nbsp;&amp;nbsp;4Q: Tercer working paper publicado – 30%o&amp;nbsp;&amp;nbsp;&amp;nbsp;4Q: Segundo webinar realizado – 5%</t>
  </si>
  <si>
    <t xml:space="preserve">Apoyar investigaciones conjuntas con el Grupo Bicentenario en temas de tasas de interés e impacto económico </t>
  </si>
  <si>
    <t>Durante 2025, la Subdirección de Estudios Económicos del FNG participará activamente en dos procesos de investigación conjunta con el Grupo Bicentenario. La primera línea abordará los determinantes del margen de intermediación y la formación de tasas de interés en el sistema financiero. La segunda explorará el impacto económico de las empresas del Grupo Bicentenario sobre la economía nacional, desde perspectivas macro, sectorial y territorial. Estas investigaciones contribuirán a la producción de conocimiento técnico para el ecosistema financiero público del país.Indicador de cumplimiento:3Q: Aportes técnicos iniciales entregados y participación en la definición metodológica – 65%4Q: Contribución en productos finales y validación institucional – 35%</t>
  </si>
  <si>
    <t>Se entregarán tres tipos de informes mensuales:o&amp;nbsp;&amp;nbsp;&amp;nbsp;(i) Informe para intermediarios financieros y gremios (desde mayo),o&amp;nbsp;&amp;nbsp;&amp;nbsp;(ii) Informe empresarial con enfoque en apoyo al tejido productivo,o&amp;nbsp;&amp;nbsp;&amp;nbsp;(iii) Informe interno sobre riesgos, entorno macroeconómico y gestión tarifaria.·&amp;nbsp;&amp;nbsp;&amp;nbsp;&amp;nbsp;&amp;nbsp;&amp;nbsp;&amp;nbsp;&amp;nbsp;Indicador de cumplimiento (totales anuales posibles):o&amp;nbsp;&amp;nbsp;&amp;nbsp;(ii) y (iii): 12 informes x 2 tipos = 24 entregaso&amp;nbsp;&amp;nbsp;&amp;nbsp;(i): 8 informes (de mayo a diciembre)o&amp;nbsp;&amp;nbsp;&amp;nbsp;Total anual esperado: 32 entregas§&amp;nbsp;31–32 entregas: 100%§&amp;nbsp;29–30 entregas: 95%§&amp;nbsp;26–28 entregas: 90%§&amp;nbsp;Menos de 26 entregas: 80% o inferior</t>
  </si>
  <si>
    <t xml:space="preserve">Robustecer los tableros de análisis económico para apoyar la toma de decisiones comerciales y de riesgos </t>
  </si>
  <si>
    <t>Se fortalecerán los tableros interactivos mediante la inclusión de nuevas variables demográficas y de mercado, con el fin de mejorar el análisis territorial, la segmentación comercial y la gestión del riesgo. Se promoverá la actualización mensual para asegurar utilidad y oportunidad.Indicador de cumplimiento (5 actualizaciones posibles en el año):o&amp;nbsp;&amp;nbsp;&amp;nbsp;5 actualizaciones: 100%o&amp;nbsp;&amp;nbsp;&amp;nbsp;4 actualizaciones: 95%o&amp;nbsp;&amp;nbsp;&amp;nbsp;3 actualizaciones: 90%o&amp;nbsp;&amp;nbsp;&amp;nbsp;2 o menos actualizaciones: 80% o inferior</t>
  </si>
  <si>
    <t>Vicepresidente Ejecutivo</t>
  </si>
  <si>
    <t>Puesta en producción de ISOTOOLS</t>
  </si>
  <si>
    <t>Modelo de prevención y control LA/FT/PADM</t>
  </si>
  <si>
    <t>Plan de Carrera y Sucesión del FNG</t>
  </si>
  <si>
    <t>1000594457</t>
  </si>
  <si>
    <t>Ivan Javier Parra Espejo</t>
  </si>
  <si>
    <t>PROFESIONAL DE OPERACIONES DE TESORERIA</t>
  </si>
  <si>
    <t xml:space="preserve">Ajuste Contable Cierre De Mes Cruce De Saldos Contables (Sap) Vs Saldos Portafolio (Dialogo) </t>
  </si>
  <si>
    <t>Realizar a 30 de septiembre de 2025, una herramienta en Excel que permita realizar los ajustes al peso una vez se realice la conciliación de los saldos contables ( Sap) Vs Saldos Portafolio ( Dialogo) al cierre de cada mes.EVALUACIÓN: Cumple o no cumpleEVIDENCIA: Entrega de la herramienta en excel a través de un correo electrónico al subdirector de Tesoreria, informando la ruta en la cual queda:&amp;nbsp;La herramientaPruebas realizadasActualización de la documentación y publicación en Isolucion.&amp;nbsp;Las evidencias se guardarán en la carpeta de público designada para tal fin.</t>
  </si>
  <si>
    <t>A 30 de septiembre de 2025, actualizar los 87 documentos asociados a la Dirección de Tesorería (manual, procedimientos, instructivos y formatos),&amp;nbsp;conforme al inventario generado para tal fin.CRITERIO DE MEDICIÓNEl objetivo será evaluado en forma proporcional al número de documentos actualizados, siendo necesario un cumplimiento mínimo del 90%. Un cumplimiento inferior al 90%, es decir, 89,99% o menos, será calificado con 0 puntos.FÓRMULA DE CÁLCULO(Número de documentos actualizados / 87) * 100ENTREGABLES / EVIDENCIADocumentos actualizados y aprobados en el aplicativo ISOlución o aplicativo vigente.&amp;nbsp;&amp;nbsp;&amp;nbsp;&amp;nbsp;&amp;nbsp;&amp;nbsp;&amp;nbsp;&amp;nbsp;&amp;nbsp;&amp;nbsp;&amp;nbsp;&amp;nbsp;&amp;nbsp;&amp;nbsp;&amp;nbsp;&amp;nbsp;&amp;nbsp;&amp;nbsp;&amp;nbsp;&amp;nbsp;&amp;nbsp;&amp;nbsp;&amp;nbsp;&amp;nbsp;&amp;nbsp;&amp;nbsp;&amp;nbsp;</t>
  </si>
  <si>
    <t xml:space="preserve">Automatización control de  Arqueo Mensual </t>
  </si>
  <si>
    <t>Realizar a 30 de septiembre de 2025, una herramienta ofimática que permita realizar el arqueo mensual sobre el portafolio de inversiones validando las condiciones faciales de los títulos valores en cada uno de los custodios Deceval – DCV y Dialogo con el fin de automatizar el proceso manual a cierre de mes.CRITERIO DE MEDICION&amp;nbsp;Cumple o no cumpleENTREGABLES / EVIDENCIA: Entrega de la herramienta ofimática a través de un correo electrónico al Subdirector de Tesoreria, informando la ruta en la cual queda:&amp;nbsp;• La herramienta en funcionamiento Peso 50%• Pruebas integrales Peso 30%• Actualización de la documentación y publicación en Isolucion al 30 de septiembre de 2025 Peso 20%</t>
  </si>
  <si>
    <t>Revisión planilla Resumen Operaciones Mesa de Dinero</t>
  </si>
  <si>
    <t>Al 30 de septiembre de 2025 rediseñar la herramienta en excel FR-GFN-060 Validación Resumen Operaciones Mesa de Dinero que permite validar las operaciones diarias realizadas por el front office, con el objetivo de optimizar el uso de esta misma.Criterio de Medición: Cumple o no cumpleEntregables/Evidencia: Entrega de la herramienta a través de un correo electrónico al Subdirector de Tesoreria, informando la ruta en la cual queda:&amp;nbsp;&amp;nbsp;La herramientaPruebas realizadasActualización de la documentación y publicación en Isolucion.&amp;nbsp;Las evidencias se guardarán en la carpeta de público designada para tal fin.</t>
  </si>
  <si>
    <t>Operaciones del Mercado Monetario "Simultaneas Activas"</t>
  </si>
  <si>
    <t>Al 30 de septiembre de 2025, garantizar la operatividad y paso a producción en el aplicativo de inversiones Dialogo, de tal forma que se puedan registrar en el sistema operaciones del mercado monetario "Simultaneas Activas", para el portafolio del FNG.&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CRITERIO DE MEDICION: Cumple o no cumpleENTREGABLES / EVIDENCIA: Entrega a través de un correo electrónico al Subdirector de Tesoreria, informando la ruta en la cual queda:&amp;nbsp;• Pruebas exitosas y configuraciones realizadas en el aplicativo de inversiones Dialogo Peso 70%• Actualización de la documentación y publicación en Isolucion al 30 de septiembre de 2025.&amp;nbsp;Peso 30%Las evidencias se guardarán en la carpeta de público designada para tal fin.</t>
  </si>
  <si>
    <t>1016109843</t>
  </si>
  <si>
    <t>Iveth Dajanna Roa Martinez</t>
  </si>
  <si>
    <t>Propuesta de Mejora al Programa de Aseguramiento y Mejora de la Calidad</t>
  </si>
  <si>
    <t>Presentar en el mes de noviembre de 2025 una propuesta de mejora y/o actualización del Programa de Aseguramiento y Mejora de la Calidad, que incluya la aplicación del autodiagnóstico y otras metodologías para la mejora de la calidad de la auditoría interna en el FNG.Indicador: Cumple o no cumple.&amp;nbsp;Entregable: 1. Presentación en el Comité Primario OCI de noviembre, la propuesta de mejora y/o actualización del Programa de Aseguramiento y Mejora de la Calidad de la Auditoría Interna y resultados del autodiagnóstico.</t>
  </si>
  <si>
    <t xml:space="preserve">Encuentros Un Café con la OCI </t>
  </si>
  <si>
    <t>A partir de junio de 2025, la Oficina de Control Interno iniciará una serie de encuentros con las diferentes direcciones, mediante la estrategia denominada "Un café con la OCI". Estos espacios están pensados como momentos de diálogo y acercamiento, en los que se abordarán temas relacionados con los controles administrativos y se promoverá una cultura de control y enfoque hacia la prevención.Indicador: Cumple o no cumple. Entregable: Se presentará un resumen ejecutivo de las presentaciones realizadas por la Oficina de Control Interno (OCI) en las sesiones del Comité Primario durante junio a diciembre de 2025, con base en las fechas en que se llevaron a cabo dichas intervenciones con la aprobación de la subdirección.Listado de asistentes en formato Excel, material utilizado y/o capturas de pantalla de las citaciones realizadas a través de Microsoft Teams, correspondientes a las sesiones desarrolladas y presentadas ante el Comité Primario en enero de 2026.</t>
  </si>
  <si>
    <t>Al 31 de diciembre de 2025, ejecutar el 100% de las actividades programadas en el Cronograma del Plan Anual de Auditoría para la vigencia 2025. Indicador: Cumple o no cumple. Entregable: Soporte de la medición del indicador "Cumplimiento del plan integral de auditorías" del cuarto trimestre de 2025 publicado en ISOlución.Reporte del estado y porcentaje de ejecución del Plan anual de Auditoría 2025 en el Comité de Auditoría de Febrero de 2026. El soporte será la presentación y el acta del Comité supeditada a la firma del presidente del Comité.</t>
  </si>
  <si>
    <t>80061231</t>
  </si>
  <si>
    <t>Jair Antonio Figueredo Martinez</t>
  </si>
  <si>
    <t>Fortalecer durante el 2025 la capacidad de respuesta y atención en Ciberseguridad del FNG, mediante la implementación de las siguientes soluciones:1.Protección de Marca: Implementación de herramientas para la detección y mitigación de suplantaciones de identidad, fraudes digitales y usos indebidos de la imagen institucional en canales externos.2. Advance Report (GoAnywhere): Integración de una solución avanzada para la gestión segura de transferencias de archivos, con trazabilidad, control de accesos y generación de reportes automatizados.3. Control de Acceso a la Red (NAC): Despliegue de una solución de Network Access Control que permita identificar, autenticar y autorizar dispositivos conectados a la red del FNG, garantizando un entorno más seguro y controlado.Entregables:1. Documento contractual (Contrato Protección de Marca) Q22. Informe de implementación (Protección de Marca) Q33. Documento contractual (GoAnyWhere) Q34. Informe de implementación módulo Advance Report (GoAnyWhere) Q25. Documento contractual (Contrato NAC) Q36. Informe de implementación (NAC) Q4</t>
  </si>
  <si>
    <t>Continuar durante el 2025 con el proceso de modernización de la infraestructura tecnológica y de equipos de comunicaciones para soportar procesos de negocio como son la gestión de inversiones en la mesa de dinero, y la gestión administrativa mediante la dotación de nuevos recursos tecnológicos en ambientes de trabajo en el FNG. Incluye las pruebas de concepto, adquisiciones e instalaciones de:- Pruebas de concepto y/o implementación de Torretas en la mesa de dinero. (según valoración del área Financiera) Q3-Q4- Instalación de equipos de videoconferencia en las salas de las Vicepresidencias. Q2-Q3- Dotación de equipos especializados para diseño e impresión y monitores para puestos de trabajo. Q2-Q4Entregables:Q2- Contrato los equipos de video- Contrato de equipo de diseño- Contrato compra de monitoresQ3- Informe de Instalación los equipos de video- Acta de recibo de equipo de diseño- Contrato de compra de impresoraQ4- Informe de POC de acuerdo con lo evaluado por la Vicepresidencia Financiera o Compra e Instalación torretas a cargo de la Vicepresidencia de TD e Innovación Q4 - Informe de POC o Instalación torretas- Acta de entrega de impresora- Acta de recibo de monitores</t>
  </si>
  <si>
    <t xml:space="preserve">Creación de Check list  de los diferentes procesos de la mesa de Servicio </t>
  </si>
  <si>
    <t>Durante el año 2025, realizar check list de los diferentes procesos para las instalaciones de sitema operativo, aplicaciones, linea base para computadores propiedad de FNG, para Aranda, Dialogo, SAP, Forticlient VPN, Antivirus.Entregables:Q350% Check list de cada uno de los procesos definidosQ4100% Check list de cada uno de los procesos definidos</t>
  </si>
  <si>
    <t>Durante el año 2025, atender a tiempo como mínimo entre el 95% y hasta el 98% de los casos de soporte tecnológico reportados en ARANDA a partir del 1 de enero de 2025 y hasta el 31 de diciembre de 2025. En donde 95 es igual al 80% y 96 o más es igual 100% de la meta, calculado proporcionalmente (menos de 95 equivale a cero puntos). Evidencia: Informe desde la herramienta definida para las mediciones “Aranda”Entregables:﻿Se creara un informe trimestral con las evidencias donde se demuetra el cumplimiento de las mismas</t>
  </si>
  <si>
    <t>Inplementacion, ejecucion y puesta en funcionamiento del sistema de telefonia (torretas)</t>
  </si>
  <si>
    <t>Durante el año 2025, instalar y configurar la solución tecnológica aprobada por la vicepresidencia de TI (torretas) para la Dirección Financiera del FNG, la cual optimizará la comunicación telefónica entre las partes, asegurando que los traders puedan operar de manera eficiente y segura.Entregables:Q2 documento de viabilidad Q3 Configuracon equipos mesa de dinero y Tesoreria</t>
  </si>
  <si>
    <t>Director de Inversiones</t>
  </si>
  <si>
    <t>Power BI - Inversiones</t>
  </si>
  <si>
    <t>Operaciones Activas del Mercado Monetario</t>
  </si>
  <si>
    <t>1018452842</t>
  </si>
  <si>
    <t>Jairo Esteban Baez Garcia</t>
  </si>
  <si>
    <t>Analista de Pagos</t>
  </si>
  <si>
    <t xml:space="preserve">Automatización Informe Cumplimiento </t>
  </si>
  <si>
    <t>Al 31/12/2025 Automatizar en PowerBI/Excel el informe de cumplimiento con el fin de minimizar tiempos en su elaboracion y evitar reprocesosIndicador: Cumple 100% / No cumple 0%&amp;nbsp;&amp;nbsp;Evidencia: Herramienta en PowerBi</t>
  </si>
  <si>
    <t>1013638205</t>
  </si>
  <si>
    <t>Janeth Zulay Tibocha Rodríguez</t>
  </si>
  <si>
    <t>Dirección de Contratación</t>
  </si>
  <si>
    <t>Profesional Senior de Gestión Contractual</t>
  </si>
  <si>
    <t>1014181932</t>
  </si>
  <si>
    <t>Veronica Espejo Peña</t>
  </si>
  <si>
    <t>Gestión Postcontractual de Contratos Terminados entre el 01 de septiembre y 30 de noviembre de 2025</t>
  </si>
  <si>
    <t>A 20 de diciembre de 2025, gestionar el 95% de&amp;nbsp;informes finales de supervisión y/o las actas de liquidación de contratos terminados entre el 1 de septiembre y el 30 de noviembre de 2025, que reporten la completitud de los pagos a la fecha de corte.&amp;nbsp;Se obtendrá un 100% del cumplimiento del indicador si se cumplen las actividades mínimo al 95%. Se obtendrá calificación a partir del 85% de la meta: donde 84,9% da cero puntos y proporcional entre el 85% y 95%.Indicador o Formula con la que se va a Realizar la Medición.(número de actas o informes realizados)/(número de actas o informes asignados)*100Entregables&amp;nbsp;1. Correos electrónicos dirigidos a la Supervisión del contrato y equipo de apoyo para adelantar la liquidación y/o informe final&amp;nbsp;Ubicación de las EvidenciasP:\Objetivos\2025\Dirección de Contratación\Janeth Zulay Tibocha Rodríguez\2. Gestión Postcontractual de Contratos Terminados entre el 01 de septiembre y 30 de noviembre de 2025</t>
  </si>
  <si>
    <t>Liquidación de Contratos 2024-2025</t>
  </si>
  <si>
    <t>Realizar como mínimo el cierre del 95% de los contratos finalizados y asignados entre el 01 de mayo de 2024 y&amp;nbsp;31 de agosto de 2025, mediante la suscripción de informes finales de supervisión y/o actas de liquidación. Para la medición del indicador se tendrá en cuenta las siguientes etapas:Etapa 1 (50%): A 31 de julio de 2025, realizar el cierre de los contratos finalizados y pendientes de liquidación o cierre a 31 de diciembre de 2024, mediante la elaboración y suscripción de informes finales de supervisión y/o actas de liquidación.Etapa 2 (50%): A 15 de diciembre de 2025, realizar el cierre de los contratos inalizados a asignados y 31 de agosto de 2025, mediante la elaboración y suscripción de informes finales de supervisión y/o actas de liquidación.&amp;nbsp;Se obtendrá un 100% del cumplimiento del indicador si se cumplen las actividades mínimo al 95%. Se obtendrá calificación a partir del 85% de la meta: donde 84,9% da cero puntos y proporcional entre el 85% y 95%.Indicador o Formula con la que se va a Realizar la Medición.Para el cumplimiento de cada etapa:&amp;nbsp;(número de actas o informes realizados)/(número de actas o informes asignados)*100Para el resultado final:&amp;nbsp;(sumatoria de los % de cumplimiento de cada vigencia / 2)&amp;nbsp;Entregables1. Actas de Liquidación y/o informes Finales de supervisión2.&amp;nbsp;Pantallazo de Publicación del documento postcontractual&amp;nbsp;en SECOP II y&amp;nbsp;de archivo en mercurioUbicación de las EvidenciasP:\Objetivos\2025\Dirección de Contratación\Janeth Zulay Tibocha Rodríguez\1. Liquidación de Contratos 2024-2025</t>
  </si>
  <si>
    <t xml:space="preserve"> Efectividad en la aprobación de garantias  </t>
  </si>
  <si>
    <t>Lograr al 31 de diciembre de 2025, como minímo el 95% del cumplimiento efectivo en los tiempos a su cargo para la&amp;nbsp;aprobación de las garantias constituidas a favor del FNG . Considerando los contratos o modificaciones contractuales suscritas hasta el 19 de diciembre de 2025.Se obtendrá un 100% del cumplimiento del indicador si se cumplen las actividades mínimo al 95%. Se obtendrá calificación a partir del 85% de la meta: donde 84,9% da cero puntos y proporcional entre el 85% y 95%.&amp;nbsp;Indicador o Formula con la que se va a Realizar la Medición.Sumatoria del % de cumplimiento individual de cada contrato / Total de ganratías aprobadas en el periodo) *100Entregables&amp;nbsp;&amp;nbsp;1. Matriz de medición de tiempos de aprobación de garantias&amp;nbsp;Ubicación de las EvidenciasP:\Objetivos\2025\Dirección de Contratación\Janeth Zulay Tibocha Rodríguez\4. Efectividad en la aprobación de garantias</t>
  </si>
  <si>
    <t>Gestión de los documentos que soportan la ejecución contractual para la vigencia 2025</t>
  </si>
  <si>
    <t>Adelantar la verificación de los soportes de la ejecución contractual archivado en Mercurio y publicados en SECOP o TVEC, de acuerdo con la asignación de contratos vigentes a la fecha de cada corte (31 de mayo, 31 de julio, 30 de septiembre y 30 de noviembre de 2025) como resultado de la muestra aleatoria bimensual. Deberá documentar los requerimientos que deba impulsar para gestionar la completitud del expediente, tanto en MERCURIO, como su publicidad en SECOP II o TVEC; así como, el segumiento y la validación de completitud dirigido a cada supervisor de contrato.Se obtendrá un 100% del cumplimiento del indicador si se cumplen con la verificación de la totalidad de expedientes asignados de la muestra aleatoria. Se obtendrá calificación a partir del 90% de la meta: donde 89,9% da cero puntos y proporcional entre el 90% y 100%.&amp;nbsp;Indicador o Formula con la que se va a Realizar la Medición.(sumatoria del % de cumplimiento individual de cada contrato gestionado / Número total de contratos asignados de la muestra bimensual) × 100Entregables:1. Correo electrónico dirigido a la Supervisión del contrato y su equipo de apoyo, solicitando la completitud de los soportes de la ejecución contractual, el cargue en MERCURIO y su publicación en SECOP II o TVEC. o correo informando sobre la completutudo del expddiente verificado.2. Pantallazo de MERCURIO y SECOP II o TVEC en donde se evidencie el cargue de la información de acuerdo a cada corte.Ubicación de las EvidenciasP:\Objetivos\2025\Dirección de Contratación\Janeth Zulay Tibocha Rodríguez\5. Gestión de los documentos que soportan la ejecución contractual para la vigencia 2025</t>
  </si>
  <si>
    <t>Propuesta de valor en los tiempos de respuesta en la revisión y elaboración de los instrumentos contractuales “core de negocio” exceptuados del manual de contratación</t>
  </si>
  <si>
    <t>Lograr que a partir de 1 de agosto de 2025 se realice la revisión del 90% de los instrumentos contractuales para la adquisición de bienes y servicios exceptuados del manual de contratación “Core de Negocio” por parte de la Dirección de Contratación, en menores tiempos a los establecidos, así: 1) La revisión del documento de justificación se realizará en máximo en 24 horas corrientes siguientes a su radicación; 2) la revisión de la minuta de contrato u otrosí se realizará en máximo 48 horas corrientes a su radicación (con la completitud documental) por parte de las áreas usuarias.&amp;nbsp;&amp;nbsp;&amp;nbsp;Sumatoria de las etapas por su peso. Por cada hora de atraso en el cumplimiento de los entregables, se descontará un 5% del peso de cada entregable.Indicador o Formula con la que se va a Realizar la Medición:(Número instrumentos contractuales revisados oportunamente / Número total de instrumentos asignados asignadas) × 100Entregables:1. Correo electrónico de asignación de instrumento contractual asignado.2. Correo electrónico Dirigido a la Directora y Subdirectora de Contratación en el que se remita la revisión realizada.3. Correo electronico dirigido al área usuaria remitiendo el instrumento contractual con la revisión realizada.Ubicación de las Evidencias:P:\Objetivos\2025\Dirección de Contratación\Janeth Zulay Tibocha Rodríguez\6. Propuesta de valor en los tiempos de respuesta en la revisión y elaboración de los instrumentos contractuales “core de negocio” exceptuados del manual de contratación</t>
  </si>
  <si>
    <t xml:space="preserve">Indicador de Gestión documental de expedientes </t>
  </si>
  <si>
    <t>A 22 de diciembre de 2025, alcanzar el 95% del cumplimiento en la entrega de los expedientes contractuales a su cargo para su creación en el sistema de gestión documental de la entidad y publicación en la plataforma SECOP II o TVEC, de los contratos celebrados y legalizados, a 15 de diciembre de 2025.&amp;nbsp;Indicador o Formula con la que se va a Realizar la Medición:Se obtendrá un 100% del cumplimiento del indicador si se cumplen las actividades mínimo al 95%. Se obtendrá calificación a partir del 85% de la meta: donde 84,9% da cero puntos y proporcional entre el 85% y 95%.&amp;nbsp;(número de expedientes publicados en SECOP II y entregados para archivo en el SGD de la entidad / número de contratos asignados que fueron celebrados y legalizados a 15 de diciembre de 2025)*100Entregables:1. Pantallazo de publicación en SECOP II de cada contrato&amp;nbsp;&amp;nbsp;2. Correo de respuesta del Archivo Cad en el que se identifique el ID de creación del expediente&amp;nbsp;Ubicación de las EvidenciasP:\Objetivos\2025\Dirección de Contratación\Janeth Zulay Tibocha Rodríguez\7.Indicador de Gestión documental de expedientes</t>
  </si>
  <si>
    <t xml:space="preserve"> Efectividad en los tiempos de Perfeccionamiento contractual </t>
  </si>
  <si>
    <t>Lograr a 31 de diciembre de 2025, como mínimo el 95% de cumplimiento efectivo en los tiempos de perfeccionamiento contractual a su cargo, conforme al Acuerdo de Nivel de Servicio (ANS), definidos para cada modalidad de contratación, considerando los contratos suscritos hasta el 19 de diciembre de 2025.Se obtendrá un 100% del cumplimiento del indicador si se cumplen las actividades mínimo al 95%. Se obtendrá calificación a partir del 85% de la meta: donde 84,9% da cero puntos y proporcional entre el 85% y 95%.&amp;nbsp;Indicador o Formula con la que se va a Realizar la Medición.Sumatoria de los % de cumplimiento de los tiempos de perfeccionamiento contractual/ número total de contratos asignados perfeccionados en el periodo )*100Entregables&amp;nbsp;1. Matriz de medición de tiempos de perfeccionamiento contractual&amp;nbsp;Ubicación de las EvidenciasP:\Objetivos\2025\Dirección de Contratación\Janeth Zulay Tibocha Rodríguez\3. Efectividad en los tiempos de Perfeccionamiento contractual</t>
  </si>
  <si>
    <t>80777848</t>
  </si>
  <si>
    <t>Javier Andres Moncada Torres</t>
  </si>
  <si>
    <t>Vicepresidencia de Transformación Digital e Innovación</t>
  </si>
  <si>
    <t>Ingeniero de Procesos y Gobierno Digital</t>
  </si>
  <si>
    <t>Cumplimiento de planes de acción y mejoramiento</t>
  </si>
  <si>
    <t>Cumplir durante 2025 como mínimo el 90% de las acciones formuladas durante la vigencia en los planes de acción y mejoramiento relacionados con las auditorias realizadas por la OCI en las actividades relacionadas con la Vicepresidencia de TD e Innovación. Q4&amp;nbsp;Indicador o Formula con la que se va a Realizar la Medición:# de acciones ejecutadas / # total de acciones incluidas en los planes a ser ejecutadas al 31/12/2025Entregables:1. Correo electrónico enviado en los cuales se informe el cumplimiento de la acción, la modificación de fecha o entregable acordado, o evidencia de su cierre en Daruma o sistema establecido para tal fin.2. Soporte de evidencias que correspondan en cada caso.</t>
  </si>
  <si>
    <t>Oportunidad en el reporte de ejecución presupuestal</t>
  </si>
  <si>
    <t>Gestionar y enviar oportunamente durante 2025 los informes mensuales de ejecución física y presupuestal de los contratos de la Vicepresidencia de TD e Innovación.Indicador o Formula con la que se va a Realizar la Medición:# informes reportados con oportunidad / # informes a reportarEntregables:Reporte periódico de informes de ejecución.</t>
  </si>
  <si>
    <t>Oportunidad en el reporte de cumplimiento de indicadores</t>
  </si>
  <si>
    <t>Realizar seguimiento periódico durante 2025 al reporte de indicadores de Plan de Acción Institucional y Plan Estratégico Institucional a cargo de la Vicepresidencia de TD e Innovación.Indicador o Formula con la que se va a Realizar la Medición:# indicadores reportados con oportunidad / # indicadores a reportarEntregables:Reporte periódico de indicadores de la Vicepresidencia</t>
  </si>
  <si>
    <t>Cumplimiento de ejecución del PAA</t>
  </si>
  <si>
    <t>Suscribir durante 2025 mínimo el 90% de los contratos establecidos en el PAA 2025 de la Vicepresidencia de TD e Innovación. Q4Indicador o Formula con la que se va a Realizar la Medición:# de contratos suscritos / # total de procesos de contratación establecidos en PAA al 31/12/2025Entregables:1. Contratos suscritos en 20252. PAA actualizado a 31 de diciembre 2025</t>
  </si>
  <si>
    <t>Gestión Postcontractual</t>
  </si>
  <si>
    <t>Gestionar y radicar durante 2025 los informes finales de supervisión y/o las actas de liquidación (si aplica) de contratos objeto de liquidación, que finalizaron entre el 01 de enero de 2025 y el 30 de septiembre de 2025. Q4Indicador o Formula con la que se va a Realizar la Medición:# de informes y/o actas de liquidación elaboradas / # total de contratos objeto de liquidación que finalizaron su ejecución entre el 1 de enero de 2025 y el 30 de septiembre de 2025.Entregables:1. Actas de Liquidación (si aplica) y/o informes Finales de supervisión2. Base de contratos objeto de liquidación</t>
  </si>
  <si>
    <t>1000218395</t>
  </si>
  <si>
    <t>Javier Camilo Mondragon Ravelo</t>
  </si>
  <si>
    <t>Auxiliar de Soluciones y Soporte al Ciudadano</t>
  </si>
  <si>
    <t>Evaluación de Conocimientos del Grupo de Ciudadanos</t>
  </si>
  <si>
    <t>·Objetivo: Obtener en la evaluación de conocimientos, ejecutada por el Líder de Soluciones a ciudadanos un puntaje superior o igual al 80%, que garantice la adherencia de los conocimientos frente a la gestión del proceso.&amp;nbsp;·Frecuencia del Monitoreo: Trimestral&amp;nbsp;·Formula de medición: "Obtener en la evaluación de conocimientos, ejecutada por el Líder de Soluciones a ciudadanos un puntaje superior o igual al 80%, que garantice la adherencia de los conocimientos frente a la gestión del proceso. Promedio de la evaluación trimestral de conocimiento en donde el resultado de obtenido porcentaje entre el 80% y 100%, equivale a 100%. Entre el 70% y el 79% se tomará como resultado el valor de la nota obtenida para el promedio. En caso de ser inferior al 70% se obtendrán 0%.&amp;nbsp;·Fecha inicio-fin: 01/05/25 al 31/12/25&amp;nbsp;&amp;nbsp;·Entregables: Primer entregable: Soporte de resultado de la evaluación enviado por correo electrónico los 10 primeros días hábiles a cierre del Q2 a la Directora y/o subdirectora del área de soluciones y soporte.&amp;nbsp;Segundo entregable: Soporte de resultado de la evaluación enviado por correo electrónico los 10 primeros días hábiles a cierre del Q3 a la Directora y/o subdirectora del área de soluciones y soporte.&amp;nbsp;Tercer entregable: Soporte de resultado de la evaluación enviado por correo electrónico los 10 primeros días hábiles a cierre del mes de diciembre a la Directora y/o subdirectora del área de soluciones y soporte.&amp;nbsp;Ruta: P:\Objetivos\2025\Dirección de Soluciones y Soporte Comercial\Javier Camilo Mondragon Ravelo&amp;nbsp;</t>
  </si>
  <si>
    <t>Calidad en las respuestas del Grupo de Ciudadanos</t>
  </si>
  <si>
    <t>·Objetivo: Promedio del resultado de los meses evaluados (resultado anual del indicador "calidad en las respuestas de PQRFSD del Grupo de ciudadanos")&amp;nbsp;·Frecuencia del Monitoreo: Anual&amp;nbsp;·Formula de medición: Promedio del resultado de los meses evaluados indicador "calidad en las respuestas de PQRFSD del Grupo de ciudadanos”Si el resultado es entre 85% y 100%: la calificación será 100 puntosSi el indicador es menor al 85% se medirá de la siguiente forma: (indicador /85) *100Nota: el resultado del año, se obtiene sobre el promedio de los meses medidos en el año 2025. ·Fecha inicio-fin: 01/01/25 al 31/12/25&amp;nbsp;·Entregables: Resultado de la medición remitido a los 10 días hábiles siguientes terminando el Q4, por correo electrónico por parte del Líder de ciudadanos a la Directora y/o Subdirectora de Soluciones y Soporte Comercial.&amp;nbsp;Ruta: P:\Objetivos\2025\Dirección de Soluciones y Soporte Comercial\Javier Camilo Mondragon Ravelo</t>
  </si>
  <si>
    <t>Guías del Grupo de Ciudadanos</t>
  </si>
  <si>
    <t>·Objetivo: Levantar las guías que describen las actividades específicas para la gestión de los siguientes subtipos de caso:&amp;nbsp;1. Postulación gran empresa.2. Falsos Prestamistas. 3. Estado de cuenta.4. Desbloqueo.&amp;nbsp;·Frecuencia del Monitoreo: Trimestral&amp;nbsp;·Formula de medición: La fórmula a utilizar es la siguiente: Cada guía tendrá la siguiente puntuación:1. Postulación gran empresa. Peso: 25 puntos2. Falsos prestamistas. Peso: 25 puntos 3. Estado de cuenta. Peso: 25 puntos4. Desbloqueo. Peso: 25 puntosSi el resultado es entre 75 y 100 puntos: la calificación será 100 puntosSi el puntaje es menor a 75 se medirá de conformidad al puntaje obtenido.&amp;nbsp;&amp;nbsp;·Fecha inicio-fin: 01/04/25 al 30/09/2025&amp;nbsp;·Entregables: Cargue en la intranet de las guías definidas&amp;nbsp;Primer entregable Q2: Guías de gestión subtipos: 1. Postulación gran empresa.2. Falsos prestamistas. &amp;nbsp;Presentados y aprobados dentro de los diez (10) días hábiles siguientes al cierre del Q2 mediante correo electrónico enviado a la Directora o subdirectora del área de soluciones y soporte.&amp;nbsp;Segundo entregable Q3: Guías de gestión subtipos:&amp;nbsp;3. Estado de cuenta.4. Desbloqueo.&amp;nbsp;&amp;nbsp;Presentados y aprobados dentro de los diez (10) días hábiles siguientes al cierre del Q3 mediante correo electrónico enviado a la Directora y/o subdirectora del área de soluciones y soporte.&amp;nbsp;Ruta: P:\Objetivos\2025\Dirección de Soluciones y Soporte Comercial\Javier Camilo Mondragon Ravelo</t>
  </si>
  <si>
    <t>Oportunidad de respuestas de las PQRSFD</t>
  </si>
  <si>
    <t>·Objetivo: Resolver oportunamente el 100% de los casos de PQRS atendidos en el 2025 en la entidad, de conformidad con los plazos legales. Mínimo el 98% donde menos de 98% obtendrá un puntaje de 0. Se medirá de acuerdo a la tabla equitativa: Donde al sacar un puntaje del 98% el puntaje será 98% y así hasta llegar a 100%.·Frecuencia del Monitoreo: Anual&amp;nbsp;·Formula de medición: La Tabla equivalente respecto al resultado anual del indicador de nivel de oportunidad en las respuestas a PQRS&amp;nbsp;Mínimo el 98% donde menos de 98% obtendrá un puntaje de 0. Se medirá de acuerdo a la tabla equitativa: Donde al sacar un puntaje del 98% el puntaje será 98% y así hasta llegar a 100%.&amp;nbsp;Nota: el resultado del año, se obtiene sobre el promedio de los meses medidos en Isolucion en 2025.&amp;nbsp;·Fecha inicio-fin: 01/01/25 al 31/12/25&amp;nbsp;·Entregables: Reporte de indicador ""Nivel de oportunidad en las respuestas a PQRS"" mensual en Isolución&amp;nbsp;Nota: el resultado del año, se obtiene sobre el promedio de los meses medidos en Isolucion en 2025."&amp;nbsp;Ruta: P:\Objetivos\2025\Dirección de Soluciones y Soporte Comercial\Javier Camilo Mondragon Ravelo&amp;nbsp;·Peso del objetivo: 25%</t>
  </si>
  <si>
    <t>Automatización respuestas del Grupo de Ciudadanos</t>
  </si>
  <si>
    <t>·Objetivo: Reducir los tiempos de respuesta de las solicitudes, para lo cual se implementará un sistema de automatización basado en el cruce de correspondencia de tres Subtipos de casos relevantes de la Línea de Atención a Ciudadanos, las cuales son:&amp;nbsp;1. Solicitud de información general2. Estado de garantías3. Devolución de comisiones&amp;nbsp;·Frecuencia del Monitoreo: Trimestral&amp;nbsp;·Formula de medición: La fórmula a utilizar es la siguiente: Cada automatización tendrá la siguiente puntuación 1. Automatización de la tipología Solicitud de información general. Peso: 33,33 puntos 2. Automatización de la tipología Estados de garantías. Peso: 33,33 puntos3. Automatización de la tipología Devolución de comisiones.&amp;nbsp;Peso: 33,33 puntosNota: Por cada documento que no se entregue en el periodo establecido, se descontaran 5 puntos&amp;nbsp;·Fecha inicio-fin: 01/04/25 al 30/09/2025&amp;nbsp;·Entregables: Primer entregable Q2: Informe presentado y aprobado de la automatización implementada y resultados obtenidos con la implementación, para la tipología Solicitud de información, enviado mediante correo electrónico a la Directora de soluciones y soporte comercial y/o Subdirectora a los 10 días hábiles siguientes de finalizado Q2.&amp;nbsp;Segundo entregable Q3: Informe presentado y aprobado de la automatización implementada y resultados obtenidos con la implementación, para las tipologías Estados de garantías y Devolución de comisiones, enviado mediante correo electrónico a la Directora de soluciones y soporte comercial y/o Subdirectora a los 10 días hábiles siguientes de finalizado Q3.&amp;nbsp;Ruta: P:\Objetivos\2025\Dirección de Soluciones y Soporte Comercial\Javier Camilo Mondragon Ravelo</t>
  </si>
  <si>
    <t>Subdirector de Riesgos de Garantías</t>
  </si>
  <si>
    <t>En el marco del PAI 2025, y con el propósito de abordar el Objetivo Estratégico 1: Promover la generación de créditos garantizados y reducir las barreras de acceso a la inclusión financiera, impactando favorablemente el tejido social y productivo del país, y a su vez, contribuir a la estrategia 1.1: Fortalecimiento del portafolio de productos y servicios del FNG en cuanto a la apuesta estratégica " Creación de modelo de apoyo y análisis del riesgo de productos nuevos", la Dirección de Riesgo de Garantías establece el siguiente objetivo:Desarrollar el perfilamiento y la tarifa de nuevos productos solicitados a lo largo del año, utilizando metodologías de riesgo alternativas a las tradicionales, que capturen de manera más precisa el riesgo, y permitan realizar comparaciones con las metodologías convencionales. Esto con el fin de ajustar las comisiones y optimizar la suficiencia tarifaria.Entregable Q2:&amp;nbsp;Script de R para el cálculo de la probabilidad de incumplimiento del producto de empresas del sector energético. Correo con la tarifa de productos no tradicionales. Peso: 40%Entregable Q3: Correo con la tarifa de productos no tradicionales solicitados. Comparación de los resultados de los modelos generados en una presentación para la Vicepresidencia de Riesgos en una reunión. Peso: 20%Entregable Q4: Seguimiento de los productos nuevos generados a través de las cosechas para evaluar la pérdida esperada a través de una presentación realizada al comité de Garantías. Peso: 20%</t>
  </si>
  <si>
    <t>Objetivo: Modelo Fintech</t>
  </si>
  <si>
    <t>79356993</t>
  </si>
  <si>
    <t>Javier Mauricio Manrique Ruiz</t>
  </si>
  <si>
    <t>Vicepresidencia de Operaciones</t>
  </si>
  <si>
    <t>Vicepresidente de Operaciones</t>
  </si>
  <si>
    <t>Automatización control de Arqueo Mensual Portafolio de Inversiones</t>
  </si>
  <si>
    <t>Estrategía de Apificación en el Canal Digital</t>
  </si>
  <si>
    <t>Rediseño del proceso de liquidación y cobro de comisiones</t>
  </si>
  <si>
    <t>Rediseño y Optimización de Procesos R&amp;R</t>
  </si>
  <si>
    <t>Desarrollos y Documentación Producto Garantía Global</t>
  </si>
  <si>
    <t>79854391</t>
  </si>
  <si>
    <t>Javier Vargas Castillo</t>
  </si>
  <si>
    <t>Ingeniero Líder de Desarrollo ABAP</t>
  </si>
  <si>
    <t>Modularización de las subrutinas del objeto critico Actualiza_Saldos</t>
  </si>
  <si>
    <t>Desarrollar e implementar durante el 2025 la solución de modularización que reemplazara las subrutinas del objeto critico INCLUDE: LZ_ACTUALIZA_SALDOSF01Formula:Modularización (desarrollo y despliegue en QAS) = 95% que se calcula con&amp;nbsp;proporcionalidad a la cantidad total de subrutinas del Include&amp;nbsp;Formula para calcular % de cumplimiento:&amp;nbsp;(# funciones implementadas / Total subrutinas utilizadas) * 100Salida a PRD = 5%Entregables:Q3:1. Evidencia de despliegue en ambiente QAS&amp;nbsp;(screen del LOG de transporte).2. Notificación por correo electrónico de solicitud de pruebas integrales al área usuaria.3. Documento técnico donde se identifique la solución implementada de modularización que reemplaza las subrutinas del objeto critico.Q4:4. Control de cambios (RFC) aprobado en Comité de Cambios de la solicitud de transporte a ambiente productivo.</t>
  </si>
  <si>
    <t>Optimización de performance del programa Consulta_Saldos</t>
  </si>
  <si>
    <t>Realizar durante el 2025 optimización del performance (mejora en tiempo de ejecución), aplicado al modulo de funciones Z_CONSULTA_SALDOSFormula:Desarrollos de Optimización = 95%Salida a PRD = 5%Entregables:Q3:1. Evidencia de despliegue en ambiente QAS&amp;nbsp;(screen del LOG de transporte).2. Notificación por correo electrónico de solicitud de pruebas integrales&amp;nbsp;al área usuaria.3. Documento técnico donde se identifique la solución implementada de modularización que reemplaza las subrutinas del objeto critico.Q4:4. Control de cambios (RFC) aprobado en Comité de Cambios de la solicitud de transporte a ambiente productivo.</t>
  </si>
  <si>
    <t>Supervisión y gestión de código personalizado en SAP ECC EHP8</t>
  </si>
  <si>
    <t>Implementar durante el 2025 funciones relacionadas con la supervisión y gestión de los desarrollos, con un enfoque en el cumplimiento de estándares de calidad y buenas practicas de programación.Las validaciones se definen en una variante adaptada a las necesidades del FNG haciendo uso de las siguientes herramientas:- SAP ABAP cockpit de pruebas (ATC)- SCIFormula:Porcentaje de cumplimiento es proporcional a la cantidad de entregables&amp;nbsp;completados / entregables definidosEntregables:Q2:&amp;nbsp;1. Documento tecnico: contiene el detalle de las configuraciones realizadas en DEV EHP8 utilizando las transacciones SCI, ATC Y SE03.Nota: las configuraciones de realizan en ambiente DEV y no necesitan transporte al ambiente PRD.2. Creación y parametrización de variante de validaciones a traves de&amp;nbsp;las transacciones SCI y ATC.3. Definición de rol(es) en ambiente DEV para la&amp;nbsp;aprobación de excepciones de la validación de desarrollos, definida en la transacción ATC.Q3:&amp;nbsp;4. Activación global de las verificaciones de objetos durante la liberación de ordenes de transporte, mediante la transacción SE03.</t>
  </si>
  <si>
    <t>1110512577</t>
  </si>
  <si>
    <t>Jenifer Paola Usma Arias</t>
  </si>
  <si>
    <t>Profesional de Bienestar Empresarial</t>
  </si>
  <si>
    <t xml:space="preserve"> Gestión Documental Informes Parciales de Supervisión </t>
  </si>
  <si>
    <t>Realizar durante el 2025 el respectivo cargue de los informes parciales de supervisión en cada uno de los contratos de la Dirección de Felicidad, los cuales deben de ser archivados en el repositorio Documental " Mercurio" y en el Sistema Electrónico de Contratación Pública " Secop II "Resultado de esta actividad, se realizará un informe mensual&amp;nbsp;en Excel con el detalle de los cargues realizados en Mercurio y Secop y su respectivamente ubicación (vinculo) como evidenciaLa formula de medición será:Informes mensuales de Mayo a Diciembre de 2025, cada informe tendrá un peso de 12,5%Si el informe no se presenta dentro de los tiempos establecidos su calificación será "0"Informe mensual remitido vía correo electrónico los doce (12) primeros días hábiles del mes siguiente a la Directora y Subdirectora de la Dirección de Felicidad</t>
  </si>
  <si>
    <t xml:space="preserve">Participación proyectos Inventarios </t>
  </si>
  <si>
    <t>Conformar el equipo del proyecto de inventarios del FNG y apoyar su ejecución en 2025 de acuerdo con el cronograma aprobado y según las instrucciones recibidas de la Dirección de Proyectos del FNG.Su medición será proporcional al porcentaje de avance de cada entregable (ejemplo: si se cumple al 80% el cronograma la calificación será 80 puntos) y la medición final será la suma del cumplimiento de todos los entregables.Su medición será de la siguiente forma:Q2 - Q3 : Entregar la información de los bienes muebles e inmuebles del FNG para la construcción del modulo de inventarios en el aplicativo indicado por la Entidad. Peso: 50%Q4: Ejecución de actividades de acuerdo con el cronograma establecido por la dirección de proyectos transformación digital e innovación para el proyecto de inventarios. Peso 50%</t>
  </si>
  <si>
    <t>Archivo actualizado de Planes de Ley 612 en el SGD</t>
  </si>
  <si>
    <t>A 31 de diciembre de 2025, garantizar que la&amp;nbsp;información correspondiente a los Planes de la Ley 612 se encuentre actualizada en el Sistema de Gestión Documental - MercurioLa medición será la sumatoria total de los porcentajes establecidos para cada entregable.De no cumplir con un entregable su calificación será "0" en ese entregableCarpeta en Mercurio "Planes 612" debidamente actualizada con sus respectivas subcarpetas:Plan de Bienestar -&amp;nbsp;Peso: 25%Plan de Capacitación&amp;nbsp;- Peso: 15%Plan de SG SST -&amp;nbsp;Peso: 40%Plan Estratégico de TH -&amp;nbsp;Peso: 10%Plan de Gestión del Conocimiento - Peso: 10%</t>
  </si>
  <si>
    <t>Capacitación de Comisiones de Servicio</t>
  </si>
  <si>
    <t>Realizar durante el segundo semestre de 2025, capacitación sobre el correcto diligenciamiento de las Comisiones de Servicio y entrega de informes con el fin de aclarar dudas de los colaboradores y optimizar el proceso.Al final de la Capacitación se realizará una evaluación sobre la asesoría presentada&amp;nbsp;Alcance estimado: Vicepresidencia Comercial, Asistente de Presidencia y Asistente de Vicepresidencia EjecutivaLa medición será, así:* Si el índice de satisfacción es superior a 95 puntos tendrá 100 puntos*Si el índice es entre 92 y 94, 9 tendrá 90 puntos*Si el índice es entre 90 y 91, 9 tendrá 80 puntos*Si la calificación es igual a menor a 80 puntos su calificación "0"Listado de asistencia a la Capacitación- Peso: 50%&amp;nbsp;Calificación de la asesoría prestada a través de la capacitación -&amp;nbsp;Peso 50%</t>
  </si>
  <si>
    <t xml:space="preserve"> Comisiones de Servicio</t>
  </si>
  <si>
    <t>Realizar durante el 2025 informe detallado trimestral sobre la ejecución de las Comisiones de Servicio que contenga los siguientes datos:*Ranking de Demanda*Ejecución Presupuestal x rubros*GráficasLa formula de medición será:Informe Semestral ( Enero a Junio 2025): 40%Informe trimestral (julio - Septiembre 2025):30%Informe trimestral (Octubre - Diciembre 2025):30%Si el informe no se remite dentro de las fechas establecidas su calificación será "0"Informe trimestral remitido vía correo electrónico los diez (10) primeros días hábiles del mes siguiente a la Directora y Subdirectora de la Dirección de Felicidad</t>
  </si>
  <si>
    <t>Oportunidad de flujos de pago del supervisor</t>
  </si>
  <si>
    <t>Tramitar durante el 2025 dentro de los cinco (5) días hábiles los flujos de pago de supervisor, sin exceder el día 28 de cada mes o el día hábil anterior en caso de que el 28 sea festivo o fin de semana.(se exceptuarán los periodos de incapacidad, vacaciones, licencias, permisos durante los cuales se delegará la labor a otro funcionario de la entidad).Nota. no se tendrán en cuenta los eventos excepcionales externos al proceso debidamente justificados y aprobados por el Director del área.La formula de medición será:Promedio del porcentaje de cumplimiento reportado por la Dirección de Contabilidad y Presupuesto en los meses de mayo a diciembre de 2025Informe en Excel con el acumulado mes a mes reportado por la Dirección de Contabilidad y PresupuestoCorreos Electrónico de la Dirección de Contabilidad y Presupuesto&amp;nbsp;</t>
  </si>
  <si>
    <t>Lograr a 31-12-2025 el cumplimiento de los planes del Decreto 612-2018, relacionados con Gestión Humana así:Plan Estratégico de Gestión Humana: peso 30%&amp;nbsp;Plan de Capacitación: peso 30%Plan de Bienestar :peso 30%Plan de Seguridad y Salud en el Trabajo: peso 10%Su evaluación será proporcional al resultado obtenido en cada plan.Su evaluación será proporcional al resultado obtenido en cada plan. (ejemplo: si se hace el 90% de las actividades la calificación será 90 puntos- Si la calificación es menor a 80% su calificación será cero).Acta de Comité Institucional de Gestión y Desempeño donde se evidencia el cumplimiento de los planes, presentados en cada Q.&amp;nbsp;</t>
  </si>
  <si>
    <t>1019113849</t>
  </si>
  <si>
    <t>Jennifer Tatiana Fuentes Camargo</t>
  </si>
  <si>
    <t>Profesional Senior de Programas Especiales</t>
  </si>
  <si>
    <t>1095794713</t>
  </si>
  <si>
    <t>Mayra Paola Perez Adarme</t>
  </si>
  <si>
    <t>Suscripción convenios de Programas Especiales</t>
  </si>
  <si>
    <t>DescripciónGestionar la suscripción de quince (15) convenios u otrosíes de programas especiales.&amp;nbsp;&amp;nbsp;Indicador o Formula con la que se va a Realizar la Medición:No. Convenios y otrosíes sucritos/15*100Formula = convenio 1 + convenio 2 + convenio 3 + …......... + convenio 15Nota aclaratoria: La medición se realizará de acuerdo con tabla proporcional donde 1 es el 6,6% y 15 el 100%.&amp;nbsp;Evidencia:Minuta de Convenio u otrosí firmados</t>
  </si>
  <si>
    <t>Compromisos interinstitucionales en el marco de los convenios vigentes</t>
  </si>
  <si>
    <t>DescripciónAsegurar el cumplimiento oportuno y completo de las obligaciones derivadas de los convenios vigentes en lo referente a la elaboración y envío de los informes, así como la programación de los comités técnicos de acuerdo con los plazos y condiciones establecidos en las respectivas minutas, mediante la articulación y&amp;nbsp;coordinación con las áreas responsables de suministrar los insumos técnicos, administrativos y financieros necesarios para su elaboración, con el propósito de garantizar el cumplimiento de los compromisos adquiridos por la entidad, optimizando los procesos de recopilación, validación y consolidación de la información dentro de los tiempos estipulados.**Prosperidad SocialNota: a la fecha existen 17 convenios vigentes de los cuales 13 informes se envían mensuales y 4 informes se envían trimestrales, la base de convenios vigentes se encontrará en la carpeta de objetivos&amp;nbsp;Indicador o Formula con la que se va a Realizar la MediciónTotalidad de informes enviados en el mes/totalidad de informes a enviar en el mes&amp;nbsp;EvidenciaCorreo electrónico de la subdirectora y/o profesional con el envío del informe y/o Actas de comités al mandante</t>
  </si>
  <si>
    <t>Revisión técnica y mejora continua de los procesos de la Subdirección de Programas Especiales</t>
  </si>
  <si>
    <t>DescripciónA corte de 31 de diciembre realizar la revisión, validación y/o actualización de los procesos asociados a la subdirección de programas especiales con el fin de garantizar la vigencia, pertinencia y alineación de dichos procesos con los lineamientos institucionales, normativos y operativos vigentes.&amp;nbsp;Nota aclaratoria: A la fecha la subdirección de programas especiales cuenta con 8 procesos de acuerdo al correo enviado por la subdirección de planeación&amp;nbsp;&amp;nbsp;&amp;nbsp;Indicador o Formula con la que se va a Realizar la Medición(No de procesos revisados validados y/o actualizados de la subdirección de programas especiales/8)*100&amp;nbsp;Evidencia﻿Correo electrónico a la subdirección de planeación y procesos con la revisión y/o actualización documental de los procesos de la subdirección de programas especiales</t>
  </si>
  <si>
    <t>Promoción y acercamiento de programas especiales</t>
  </si>
  <si>
    <t>DescripciónA 31 de diciembre, realizar 300 gestiones iniciales de relacionamiento institucional con entes territoriales, organismos internacionales, entes institucionales y/o agremiaciones. Se entenderá por 'gestión inicial' cualquier acción formal de primer contacto orientada al establecimiento de relaciones de colaboración. La gestión inicial representa el 50% del objetivo. El otro 50% del objetivo corresponde a concretar al menos 120 acercamientos efectivos para la articulación de convenios. Un 'acercamiento para articulación' se definirá como cualquier acción formal que implique el envío de escenarios de colaboración orientados a la suscripción de un convenio, siempre que exista un interés previo manifestado por la contraparte luego de una gestión inicial.&amp;nbsp;&amp;nbsp;&amp;nbsp;Indicador o Formula con la que se va a Realizar la MediciónNo de gestiones + No de acercamientos = 100%(No de Gestiones iniciales/300 * 50%) + (No de acercamientos/120 *50%)&amp;nbsp;Realizar 300 gestiones o más equivale al 100%, mínimo se deben realizar 240 gestiones; realizar menos de 240 se obtendrá un puntaje de 0. Se medirá de acuerdo a la tabla equitativa donde obtener un puntaje de 80 la calificación será de 80% y así hasta llegar a 100%&amp;nbsp;&amp;nbsp;Realizar 120 acercamientos o más equivale al 100% mínimo se deben realizar 96 acercamientos; realizar menos de 96 acercamientos se obtendrá un puntaje de 0. Se medirá de acuerdo a la tabla equitativa donde obtener un puntaje de 80 la calificación será de 80% y así hasta llegar a 100%&amp;nbsp;EvidenciaCorreo electrónico, mensajes WhatsApp, reuniones virtuales y/o presenciales.</t>
  </si>
  <si>
    <t>Subdirector de Estructuracion de Producto e Innovacion</t>
  </si>
  <si>
    <t>Gestión cupos garantía global</t>
  </si>
  <si>
    <t>Apoyar la gestión operativa y técnica para la salida de la modalidad de cupos dentro del producto de garantía global, mediante la coordinación con las áreas involucradas y el seguimiento de hitos clave, con el fin de completar el proceso de salida de esta modalidad al 31 de diciembre de 2025.Indicador: El objetivo se cumple al 100 % con la entrega del producto de cupos de cupos en garantía global, de lo contrario será 0%.Entregable: Informe en PDF con los resultados de las pruebas sobre los desarrollos y el apartado del Reglamento donde se formaliza el producto, enviado por correo al Director de Estructuración, innovación y gestión empresarial y a la Vicepresidente Comercial.Este entregable estará ubicado en la carpeta en público que se disponga para ello.</t>
  </si>
  <si>
    <t>Diseño de productos</t>
  </si>
  <si>
    <t>Investigar, diseñar, prototipar, y lanzar 5 productos nuevos de garantía, al 31 de diciembre de 2025, promoviendo el desarrollo económico, la inclusión financiera y con nuevos enfoques.Fórmula: (Número de productos lanzados / Número de productos a diseñar) * 100Entregables: Circulares firmadas y publicadas. Estos entregables estarán ubicados en la carpeta en público que se disponga para ello.</t>
  </si>
  <si>
    <t>Revisión portafolio de productos - Análisis y parametrización</t>
  </si>
  <si>
    <t>Realizar, al 31 de diciembre de 2025, una revisión profunda y detallada sobre 36 productos activos del portafolio del FNG, verificando su correcta parametrización y elaborando un análisis sobre el comportamiento de estos, aportando al fortalecimiento de las estrategias comerciales.Fórmula: (Número de productos revisados y analizados / Número de productos a revisar) ×100Entregables:Informe por producto con el análisis, conclusiones y recomendaciones, aprobado por el Director de Estructuración, innovación y gestión empresarial.Certificado de buena parametrización en SAP por cada uno de los productos revisados, aprobado por el Director de Estructuración, innovación y gestión empresarial.Estos entregables estarán ubicados en la carpeta en público que se disponga para ello.</t>
  </si>
  <si>
    <t xml:space="preserve">Matriz de seguimiento y gestión de proyectos de productos </t>
  </si>
  <si>
    <t>Diseñar e implementar, al 31 de diciembre de 2025 una matriz de seguimiento en Excel que esté bajo los criterios de un modelo de gerencia de proyectos, que consolide los frentes de trabajo de la Subdirección de estructuración, permitiendo registrar, visualizar y dar seguimiento a las actividades realizadas, con el fin de mejorar la organización, la trazabilidad y la eficiencia operativa del equipo.Indicador: El objetivo se cumple al 100 % con la ejecución de la totalidad de las actividades planteadas. Mínimo se debe cumplir con la ejecución del 80% de las actividades. Se medirá mediante tabla equitativa, en la cual alcanzar el 80% de las actividades representará un puntaje de 80 y así respectivamente. Menos del 80% de ejecución el puntaje será de 0.Entregables: Cronograma y plan de trabajo asociado al diseño de la matriz, con el visto bueno del Director de Estructuración, innovación y gestión empresarial.Matriz en Excel con la consolidación de los frentes de trabajo de la Subdirección de estructuración.Guía metodológica sobre la Matriz que concentre la gestión, a través de correo al Director de Estructuración, innovación y gestión empresarial.Estos entregables estarán ubicados en la carpeta en público que se disponga para ello.</t>
  </si>
  <si>
    <t>1032428361</t>
  </si>
  <si>
    <t>Jeny Paola Riaño Tapiero</t>
  </si>
  <si>
    <t>Especialista en calidad y oportunidad de respuesta</t>
  </si>
  <si>
    <t>Oportunidad de atención PQRFSD</t>
  </si>
  <si>
    <t>Descripción: Resolver oportunamente el 100% de los casos de PQRS atendidos en el 2025 en la entidad, de conformidad con los plazos legales.Frecuencia del Monitoreo: AnualIndicador o formula con la que se va a realizar la medición: La Tabla equivalente respecto al resultado anual del indicador de nivel de oportunidad en las respuestas a PQRSMínimo el 98% donde menos de 98% obtendrá un puntaje de 0. Se medirá de acuerdo con la tabla equitativa: Donde al sacar un puntaje del 98% el puntaje será 98% y así hasta llegar a 100%.Nota: el resultado del año se obtiene sobre el promedio de los meses medidos en Isolucion en 2025.Fecha inicio-fin dd/mm/aa: 01-01-2025 / 31-12-2025Entregables: Reporte de indicador "Nivel de oportunidad en las respuestas a PQRS" mensual en Isolución.</t>
  </si>
  <si>
    <t>Resultado de indicador de calidad</t>
  </si>
  <si>
    <t>Descripción: Promedio del resultado de los meses evaluados (indicador "calidad en las respuestas de PQRFSD de la Dirección de Soluciones y Soporte Comercial")Frecuencia del Monitoreo: AnualIndicador o formula con la que se va a realizar la medición: Promedio del resultado de los meses evaluados (indicador "calidad en las respuestas de PQRFSD de la Dirección de Soluciones y Soporte Comercial")Si el resultado es entre 85% y 100%: la calificación será 100 puntosSi el indicador es menor al 85% se medirá de la siguiente forma: (indicador /85)*100Nota: el resultado del año se obtiene sobre el promedio de los meses medidos en Isolucion en 2025.Fecha inicio-fin dd/mm/aa: 01-01-2025 / 31-12-2025Entregables: Reporte del indicador "calidad en las respuestas de PQRFSD de la Dirección de Soluciones y Soporte Comercial” mensual en IsoluciónNota: el resultado del año se obtiene sobre el promedio de los meses medidos en Isolucion en 2025.</t>
  </si>
  <si>
    <t>Auditoria de calidad de procesos Soluciones Tecnológicas</t>
  </si>
  <si>
    <t>Descripción: Realizar auditoria bimensual al proceso de soluciones tecnológicas de la Dirección de Soluciones y Soporte comercial de acuerdo con el instrumento de medición implementado.Frecuencia del monitoreo: BimensualIndicador o formula con la que se va a realizar la medición: Informe bimensual entregado dentro de los diez días hábiles siguientes al cierre del bimestre:El primer informe tendrá un peso de 40%El segundo informe tendrá un peso de 30%El tercer informe tendrá un peso de 30%.Penalidad: Por cada día hábil de retraso en la entrega, se descontará 2% sobre el peso de cada informeFecha inicio-fin dd/mm/aa: 01-05-2025 / 31-12-2025Entregables: El primer informe cubrirá el bimestre mayo-junio y se entregará dentro de los diez primeros días hábiles de julio mediante correo electrónico a la Directora y/o Subdirectora de la Dirección de Soluciones y Soporte Comercial.El segundo informe cubrirá el bimestre julio-agosto y se entregará dentro de los diez primeros días hábiles de septiembre mediante correo electrónico a la Directora y/o Subdirectora de la Dirección de Soluciones y Soporte Comercial.El tercer informe cubrirá el bimestre septiembre-octubre y se entregará dentro de los diez primeros días hábiles de noviembre mediante correo electrónico a la Directora y/o Subdirectora de la Dirección de Soluciones y Soporte Comercial.</t>
  </si>
  <si>
    <t>Auditoria de calidad de proceso Ciudadanos</t>
  </si>
  <si>
    <t>Descripción: Realizar auditoria bimensual al proceso de Ciudadanos de la Dirección de Soluciones y Soporte comercial de acuerdo con el instrumento de medición implementado.Frecuencia del monitoreo: BimensualIndicador o formula con la que se va a realizar la medición: Informe bimensual entregado dentro de los diez días hábiles siguientes al cierre del bimestre:El primer informe tendrá un peso de 40%El segundo informe tendrá un peso de 30%El tercer informe tendrá un peso de 30%.Penalidad: Por cada día hábil de retraso en la entrega, se descontará 2% sobre el peso de cada informeFecha inicio-fin dd/mm/aa: 01-05-2025 / 31-12-2025Entregables: El primer informe cubrirá el bimestre mayo-junio y se entregará dentro de los diez primeros días hábiles de julio mediante correo electrónico a la Directora y/o Subdirectora de la Dirección de Soluciones y Soporte Comercial.El segundo informe cubrirá el bimestre julio-agosto y se entregará dentro de los diez primeros días hábiles de septiembre mediante correo electrónico a la Directora y/o Subdirectora de la Dirección de Soluciones y Soporte Comercial.El tercer informe cubrirá el bimestre septiembre-octubre y se entregará dentro de los diez primeros días hábiles de noviembre mediante correo electrónico a la Directora y/o Subdirectora de la Dirección de Soluciones y Soporte Comercial.</t>
  </si>
  <si>
    <t>Descripción: Análisis de viabilidad de Centro de Experiencia Propio: Elaborar el estudio de factibilidad y viabilidad de contar con un Centro de Experiencia propio.Frecuencia del monitoreo: AnualIndicador o formula con la que se va a realizar la medición: Elaborar el estudio de factibilidad y viabilidad de contar con un Centro de Experiencia propio, el cual contiene las siguientes fases y entregables:1. Diagnóstico del Centro de Experiencia actual y variables a considerar en el estudio de factibilidad, fecha entrega: 15/05/25.2. Un informe que contenga las necesidades de la organización, fecha entrega: 01/07/253. Estructuración del anexo técnico del Centro de experiencia, fecha entrega: 11/07/254. Elaboración de la matriz y análisis de riesgos, fecha entrega: 31/07/255. Estudio de Mercado para el Centro de Experiencia, fecha entrega: 15/08/25Los entregables del 1 al 5 tendrán un peso individual del 15% y los mismos deberán ser cargados en la carpeta P:\Gestion Estratégica, dentro de los tiempos estipulados en la ficha.Nota: Si se presenta retraso en el cargue de los entregables se realizará una penalización del 1% por día de retraso.Informe final de Viabilidad del Centro de Experiencia Propio. Entregable: Número de Acta Comité Directivo en el que se presentó el Informe final de Viabilidad del Centro de Experiencia Propio, presentado a Comité Directivo a más tardar el 15 de septiembre de 2025La suma de los entregables del 1 al 5 suman 75% y el informe final tiene un peso del 25% lo que equivale al 100% del objetivo.Fecha inicio-fin dd/mm/aa: 01-05-2025 / 15-09-2025Entregables: 1. Diagnóstico del Centro de Experiencia actual y variables a considerar en el estudio de factibilidad2. Un informe que contenga las necesidades de la organización 3. Estructuración del anexo técnico del Centro de Experiencia.4. Elaboración de la matriz y análisis de riesgos5. Estudio de Mercado para el CE del FNG.Informe final: Número de Acta Comité Directivo en el que se presentó el Informe final de Viabilidad del Centro de Experiencia Propio, presentado a Comité Directivo a más tardar el 15 de septiembre de 2025.</t>
  </si>
  <si>
    <t>Auditorías de calidad PQRFSD y casos excepcionales</t>
  </si>
  <si>
    <t>Descripción: Realizar a partir del mes de junio mínimo 169 auditorías mensuales a las respuestas generadas desde la Dirección de Soluciones y Soporte Comercial.Auditorías mensuales: Si se realizan 10 auditorías menos de la meta establecida, el resultado mensual será: 100%.Si se realizan 20 auditorías menos de la meta establecida, el resultado mensual será: 85%.Si se realizan 30 auditorías menos de la meta establecida, el resultado mensual será: 75%.Si se realizan 40 auditorías menos de la meta establecida, el resultado mensual será: 0%.Nota: En caso de presentarse novedades como vacaciones o calamidades durante un mes específico, la cantidad de auditorías a realizar será ajustada de manera proporcional a los días efectivamente laborados. Esto significa que el número total de auditorías esperadas se recalculará considerando únicamente los días hábiles del mes en cuestión, manteniendo la equidad en la medición del cumplimiento.Frecuencia del monitoreo: mensualIndicador o formula con la que se va a realizar la medición: En diciembre 2025 se tomará el promedio desde junio hasta diciembre para obtener el resultado definitivo.Fecha inicio-fin dd/mm/aa: 01-06-2025 / 31-12-2025Entregables: Informe mensual de calidad a partir del mes de junio entregado a la Directora y/o Subdirectora del área mediante correo electrónico dentro de los diez (10) días hábiles siguientes a la terminación del mes (mes vencido).</t>
  </si>
  <si>
    <t>80775271</t>
  </si>
  <si>
    <t>Jesus Alarcon Torres</t>
  </si>
  <si>
    <t>Especialista de Soluciones Tecnologicas</t>
  </si>
  <si>
    <t>Creación de Historias de Usuario o Implementación - Ciudadanos</t>
  </si>
  <si>
    <t>Objetivos:Creación de Historias de Usuario o Implementación - CiudadanosFrecuencia del Monitoreo: TrimestralIndicador o formula con la que se va a realizar la medición: Creación y asignación de caso en Aranda con la Historia de Usuario para las solicitudes realizadas por el grupo de Ciudadanos, definido de la siguiente manera:1. Aprobación por parte de el especialista de Ciudadanos de la historia de usuario o desarrollo implementado, creada - 60 puntos2. Creación de caso en Aranda con la historia de usuario, en caso de implementación no se tendrá caso y se validara con la aprobación de entrega del desarrollo - 20 puntos.3. Aprobación por parte de TI de la Historia de usuario para Estimación, en caso de desarrollo interno, se validara con la aprobación de la entrega del desarrollo - 20 puntos&amp;nbsp;Fecha inicio-fin dd/mm/aa: 01/04/25 al 31/12/25Entregables: Primer entregable: Documento de especificación de Historia de Usuario de nuevo desarrollo o evidencia de desarrollo implementado en ambiente de PRD, junto con la aprobación del especialista dentro de los diez (10) días hábiles siguientes al cierre del Q2 mediante correo electrónico a la Directora y/o Subdirectora del área, de las 2 primeras solicitudes definidasSegundo entregable: Documento de especificación de Historia de Usuario de nuevo desarrollo o evidencia de desarrollo implementado en ambiente de PRD, junto con la aprobación del especialista dentro de los diez (10) días hábiles siguientes al cierre del Q3 mediante correo electrónico a la Directora y/o Subdirectora del área, de las 2 siguientes solicitudes definidasTercer entregable: Documento de especificación de Historia de Usuario de nuevo desarrollo o evidencia de desarrollo implementado en ambiente de PRD, junto con la aprobación del especialista dentro de los diez (10) días hábiles siguientes al cierre del Q4 mediante correo electrónico a la Directora y/o Subdirectora del área, de las 3 siguientes solicitudes definidas</t>
  </si>
  <si>
    <t>Implementar WhatsApp y Chatbot Pagina Web con Servicios FNG - Ambiente de Pruebas</t>
  </si>
  <si>
    <t>Objetivos: Implementar WhatsApp y Chatbot Pagina Web con Servicios FNG - Ambiente de Pruebas Frecuencia del Monitoreo: Trimestral Indicador o formula con la que se va a realizar la medición: Su evaluación será así:  Implementación de todas las opciones descritas en el flujograma 100%  Pendiente por implementar una opción de las descritas en el flujograma 90%  Pendiente por implementar dos opciones de las descritas en el flujograma 80%  Pendiente por implementar tres o más opciones de las descritas en el flujograma 0&amp;nbsp;Fecha inicio-fin dd/mm/aa: 01/07/25 al 30/09/25 Entregables: Entregar la implementación del flujograma de Whatsapp y Chatbot Página Web desarrollado al 2025-07-15 por ComWare, en ambiente de pruebas bajo herramientas de gestión del FNG a cierre del mes de Septiembre.  Entrega de informe de pruebas realizadas y link de validación.&amp;nbsp;</t>
  </si>
  <si>
    <t>Validación y Seguimiento del Cumplimiento Tecnológico de los Anexos y Obligaciones Contractuales del Centro de Experiencia</t>
  </si>
  <si>
    <t>Objetivos:Validación y Seguimiento del Cumplimiento Tecnológico de los Anexos y Obligaciones Contractuales del Centro de ExperienciaFrecuencia del Monitoreo: Mensual&amp;nbsp;Indicador o formula con la que se va a realizar la medición: Documentar la validación realizada de las obligaciones tecnológicas a la Directora y/o Subdirectora del área mediante correo electrónico dentro de los diez (10) días hábiles siguientes al cierre de mes: la calificación será 100 puntosDocumentar la validación realizada de las obligaciones tecnológicas a la Directora y/o Subdirectora del área mediante correo electrónico dentro de los quince (15) días hábiles siguientes al cierre de mes: la calificación será 70 puntosDocumentar la validación realizada de las obligaciones tecnológicas a la Directora y Subdirectora del área mediante correo electrónico fuera de los diez (15) días hábiles siguientes al cierre de mes: la calificación será 0 puntosEl resultado del año, se obtiene sobre el promedio de los meses medidos en el 2025.Nota: En caso de realizarse cambio de proveedor o pasar el Centro de Experiencia al FNG, la actividad se realizara con el proveedor o de manera interna.&amp;nbsp;Fecha inicio-fin dd/mm/aa: 01/06/25 al 31/12/25Entregables: Carpeta de evidencias actualizadas por usuario en Publico del cumplimiento del Anexo Técnico 6Archivo de Control de Usuarios actualizado con las características de cumplimiento del Anexo Técnico 6 en PublicoActualización del Archivo de Seguimiento ComWare 2025 en Publico, con las observaciones y descripción de cumplimiento de los aspectos tecnológicos contractuales al Centro de ExperienciaPresentación con la trazabilidad de cada una de las obligaciones y gestión realizada para cierre de los puntos pendientes por parte del proveedor (Remisión de correos, reuniones de validación con proveedor y/o supervisor técnico del contrato, o cualquier actividad adicional que aplique)Nota: Dentro de los diez (10) días hábiles siguientes al cierre de Q4 se presentara el resultado mes a mes de la puntuación obtenida, y con ello la calificación final</t>
  </si>
  <si>
    <t>Recuperar la información de los casos borrados (2020-2024)</t>
  </si>
  <si>
    <t>Objetivos:Recuperar la información de los casos borrados (2020-2024) Recuperar la información de los 708 casos sin información en CRM, gestionados entre al año 2020 y el 2024.&amp;nbsp;Frecuencia del Monitoreo: Mensual&amp;nbsp;Indicador o formula con la que se va a realizar la medición: Formula de medición = (casos recuperados validados)/(Casos totales)x100 Entre el 90% y el 100% de los casos recuperados, la calificación será del 100% Inferior al 90% de los casos recuperados, la calificación será del el % obtenido Inferior al 80% de los casos recuperados, la calificación será 0 Fecha inicio-fin dd/mm/aa: 01/05/2025 al 30/08/2025 Entregables: Primer entregable: 10 días hábiles siguientes al cierre del mes de Junio, reunión de socialización y presentación de avance de casos recuperados  Segundo entregable:&amp;nbsp;10 días hábiles siguientes al cierre del mes de Julio, reunión de socialización y presentación de avance de casos recuperados Tercer entregable:&amp;nbsp;10 días hábiles siguientes al cierre del mes de Agosto, reunión de socialización y presentación del total de casos recuperados</t>
  </si>
  <si>
    <t>Objetivos: Análisis de viabilidad de Centro de Experiencia Propio: Elaborar el estudio de factibilidad y viabilidad de contar con un Centro de Experiencia propio.&amp;nbsp;Frecuencia del Monitoreo: AnualIndicador o formula con la que se va a realizar la medición:Elaborar el estudio de factibilidad y viabilidad de contar con un Centro de Experiencia propio, el cual contiene las siguientes fases y entregables:1. Diagnóstico del Centro de Experiencia actual y variables a considerar en el estudio de factibilidad, fecha entrega: 15/05/25.2. Un informe que contenga las necesidades de la organización, fecha entrega: 01/07/253. Estructuración del anexo técnico del Centro de experiencia, fecha entrega: 11/07/254. Elaboración de la matriz y análisis de riesgos,fecha entrega: 31/07/255. Estudio de Mercado para el Centro de Experiencia, fecha entrega: 15/08/25Los entregables del 1 al 5 tendrán un peso individual del 15% y los mismos deberán ser cargados en la carpeta P:\Gestion Estratégica, dentro de los tiempos estipulados en la ficha.Nota: Si se presenta retraso en el cargue de los entregables se realizará una penalización del 1% por día de retraso.Informe final de Viabilidad del Centro de Experiencia Propio. Entregable: Número de Acta Comité Directivo en el que se presentó el Informe final de Viabilidad del Centro de Experiencia Propio, presentado a Comité Directivo a más tardar el 15 de septiembre de 2025La suma de los entregables del 1 al 5 suman 75% y el informe final tiene un peso del 25% lo que equivale al 100% del objetivo.Fecha inicio-fin dd/mm/aa: 01-05-2025 / 15-09-2025Entregables: 1. Diagnóstico del Centro de Experiencia actual y variables a considerar en el estudio de factibilidad2. Un informe&amp;nbsp;que contenga las necesidades de la organización3. Estructuración del anexo técnico del Centro de Experiencia.4. Elaboración de la matriz y análisis de riesgos5. Estudio de Mercado para el CE del FNG.Informe final: Número de Acta Comité Directivo en el que se presentó el Informe final de Viabilidad del Centro de Experiencia Propio, presentado a Comité Directivo a más tardar el 15 de septiembre de 2025.Ruta de los entregables: P:\Objetivos\2025\Dirección de Soluciones y Soporte Comercial\Jesus Alarcon Torres</t>
  </si>
  <si>
    <t xml:space="preserve">Creación de Historias de Usuario - Intermediarios Financieros </t>
  </si>
  <si>
    <t>Objetivos:Creación de Historias de Usuario - Intermediarios Financieros&amp;nbsp;Frecuencia del Monitoreo:TrimestralIndicador o formula con la que se va a realizar la medición: Creación y asignación de caso en Aranda con la Historia de Usuario para las solicitudes realizadas por el grupo de Intermediarios Financieros, definido de la siguiente manera:1. Aprobación por parte de la especialista de Intermediarios Financieros de la historia de usuario creada - 60 puntos2. Creación de caso en Aranda con la historia de usuario - 20 puntos.3. Aprobación por parte de TI de la Historia de usuario para Estimación - 20 puntos&amp;nbsp;Fecha inicio-fin dd/mm/aa: 01/04/25 al 31/12/25Entregables:Primer entregable: Documento de especificación e Historia de Usuario de nuevo desarrollo dentro de los diez (10) días hábiles siguientes al cierre del Q2 mediante correo electrónico a la Directora y Subdirectora del área, de las 5 primeras solicitudes definidasSegundo entregable: Documento de especificación e Historia de Usuario de nuevo desarrollo dentro de los diez (10) días hábiles siguientes al cierre del Q3 mediante correo electrónico a la Directora y Subdirectora del área, de las 7 siguientes solicitudes definidasTercer entregable: &amp;nbsp;Documento de especificación e Historia de Usuario de nuevo desarrollo dentro de los diez (10) días hábiles siguientes al cierre del Q4 mediante correo electrónico a la Directora y Subdirectora del área, de las 7 siguientes solicitudes definidasNota: En caso que alguno de los requerimientos ya se encuentre gestionado por otra área del FNG, este no será tenido en cuenta en la medición; para ello se deberán incluir la evidencia de gestión por parte del área correspondiente&amp;nbsp;</t>
  </si>
  <si>
    <t>Resolver oportunamente el 100% de los casos de PQRS atendidos en el 2025 en la entidad, de conformidad con los plazos legales.</t>
  </si>
  <si>
    <t>Objetivos:Resolver oportunamente el 100% de los casos de PQRS atendidos en el 2025 en la entidad, de conformidad con los plazos legales.Mínimo el 98% donde menos de 98% obtendrá un puntaje de 0. Se medirá de acuerdo a la tabla equitativa: Donde al sacar un puntaje del 98% el puntaje será 98% y así hasta llegar a 100%. Frecuencia del Monitoreo: Anual&amp;nbsp;Indicador o formula con la que se va a realizar la medición: La Tabla equivalente respecto al resultado anual del indicador de nivel de oportunidad en las respuestas a PQRSMínimo el 98% donde menos de 98% obtendrá un puntaje de 0. Se medirá de acuerdo a la tabla equitativa: Donde al sacar un puntaje del 98% el puntaje será 98% y así hasta llegar a 100%.Nota: el resultado del año, se obtiene sobre el promedio de los meses medidos en Isolucion en 2025.Fecha inicio-fin dd/mm/aa: 01/01/25 al 31/12/25Entregables: Reporte de indicador "Nivel de oportunidad en las respuestas a PQRS" mensual en IsoluciónNota: el resultado del año, se obtiene sobre el promedio de los meses medidos en Isolucion en 2025.</t>
  </si>
  <si>
    <t>13746917</t>
  </si>
  <si>
    <t>Jesus David Rincon Coral</t>
  </si>
  <si>
    <t>Director del Sistema Integral de Administración de Riesgos - SIAR</t>
  </si>
  <si>
    <t>Establecer un plan de trabajo para mejorar la calificación de madurez del Plan de Continuidad de Negocio (PCN) respecto a la medición del año 2024.</t>
  </si>
  <si>
    <t>Análisis preliminar del proyecto de circular de la SFC sobre la integración de los riesgos ambientales y sociales, así como del proyecto de implementación del Sistema de Administración del Riesgo de Conductas (SARCO) dentro del Sistema Integral de Administración de Riesgos (SIAR)</t>
  </si>
  <si>
    <t>Implementar el seguimiento de las Grandes Exposiciones en los términos de la Circular Externa 003 de 2024 de la Superintendencia Financiera de Colombia (SFC)</t>
  </si>
  <si>
    <t xml:space="preserve">Diseño de herramienta interna para la gestión de Sistema de Administración de Riesgo Operacional SARO </t>
  </si>
  <si>
    <t>Actualización de las políticas, lineamientos y metodología para la gestión de Riesgos Fiscales en el FNG</t>
  </si>
  <si>
    <t>1022372546</t>
  </si>
  <si>
    <t>Jhan Adair Ortiz Ramirez</t>
  </si>
  <si>
    <t>Investigar, diseñar, prototipar, y lanzar 1 producto nuevo de garantía, al 31 de diciembre de 2025, enfocado en atender a los emprendedoresFórmula: (Número de productos lanzados / Número de productos a diseñar) * 100Entregable: Circular firmada y publicada</t>
  </si>
  <si>
    <t xml:space="preserve">Revisión portafolio de productos </t>
  </si>
  <si>
    <t>Realizar, al 31 de diciembre de 2025, una revisión detallada de 18 productos del portafolio del FNG para elaborar un análisis que permita determinar si se requiere su depuración o la definición de estrategias de mejora en comunicación y/o enfoque comercial.Fórmula: (Número de productos revisados y analizados / Número de productos a revisar) ×100Entregables: 18 informes en Word por cada producto con su análisis, conclusiones, recomendaciones y plan de trabajo, con aprobación del Director de estructuración, innovación y gestión empresarial.</t>
  </si>
  <si>
    <t>Simulador garantía global</t>
  </si>
  <si>
    <t>Diseñar y entregar, en el primer semestre de 2025, a la fuerza comercial del FNG un simulador de comisión para el producto de Garantía Global, que permita estimar de forma anticipada la tarifa asociada al riesgo y facilite la negociación de la tarifa de administración con los Intermediarios Financieros. El simulador deberá incluir un módulo dirigido al deudor que calcule el costo de la garantía asociada al crédito y los beneficios tributarios aplicables.Fórmula: El objetivo se cumple al 100 % con la entrega de los dos simuladores de comisión, de lo contrario será 0%Entregable: Correo electrónico con los Simuladores entregados a la fuerza comercial.</t>
  </si>
  <si>
    <t>80858115</t>
  </si>
  <si>
    <t>Jhohan Edisson Bustos Murcia</t>
  </si>
  <si>
    <t>Profesional de Garantias</t>
  </si>
  <si>
    <t>Al 16 de junio del 2025 cursar y aprobar los cinco (5) módulos del curso de Inteligencia Artificial Generativa (IAGen): Fundamentos para la función pública de América Latina y el Caribe - Edición Colombia (BID).Indicador: Cumple 100% / No cumple 0%&amp;nbsp;Evidencia: Certificados de aprobación en la ruta O:\Objetivos\2025\Direccion de Operaciones</t>
  </si>
  <si>
    <t>Herramienta Validación Campos Anexos</t>
  </si>
  <si>
    <t>A 31/12/2025 Diseñar una macro para la validación de los campos de los anexos de registro (5 - 5A) y Actualización de saldos (7 y 7A), para disminuir los tiempos de revisión de documentación en los casos de políticas de CRM. Indicador: Cumple / No cumpleEvidencia: Herramienta</t>
  </si>
  <si>
    <t>En 4Q del 2025, Asistir y aprobar el Nivel Avanzado de la Universidad de la Garantía con un porcentaje mínimo del 85% en la evaluación final (tanto la teórica como la práctica) INDICADOR:Evaluación práctica (50%)Evaluación teórica (50%) EVIDENCIA:La evidencia de cumplimiento será el listado de asistencia y la evaluación&amp;nbsp;</t>
  </si>
  <si>
    <t>Estrategia de Apificación</t>
  </si>
  <si>
    <t>Circularización  - Productos Tradicionales</t>
  </si>
  <si>
    <t>A 31/12/2025 1. Realizar encuesta/reunión con los IF para validación de correos de envío de la circularización. 2. Validar campos requeridos con los IF 3. Ajustar código de la circularización que se envía el 5 y 15 de cada mes. Para que los IF tengan la información de las garantías actualizada. Indicador: Cumple / No cumpleEvidencia: Encuestas/Validación campos/Ajuste código</t>
  </si>
  <si>
    <t>1070606494</t>
  </si>
  <si>
    <t>Jhon Alexander Alvarez Vergara</t>
  </si>
  <si>
    <t>Realizar a 30 de septiembre de 2025 una herramienta ofimatica que permita elaborar las cartas de forma automática, correspondientes a pagos y traslados en los diferentes intermediarios financieros que así lo requieran, de acuerdo con los flujos de pago y traslados remitidos por el Departamento de Inversiones.EVALUACIÓN: Cumple o no cumpleEVIDENCIA: Entrega de la herramienta ofimatica a través de un correo electrónico al subdirector de tesorería informando la ruta en la cual queda:•	La herramienta&amp;nbsp;•	Pruebas realizadas•	Actualización de la documentación y publicación en Isolucion.&amp;nbsp;</t>
  </si>
  <si>
    <t>Clasificación soportes Sistema de Gestión Documental - Mercurio</t>
  </si>
  <si>
    <t>A partir del 1 de Enero de 2025 finalizar máximo a los 4 días habiles, los flujos de pago en la herramienta Mercurio, realizados durante la semana , en caso de presentarse alguna novedad debe informar mediente correo eletrconico al Subdirector de Tesoreria la causa que origina el retraso.&amp;nbsp;EVALUACIÓN: Este objetivo sera evaluado de forma semanal de acuerdo con el reporte que se genera en Mercurio contra el consolidado de pagos diarios. Será calificable a partir del 95% de acuerdo con la siguiente tabla métrica:&amp;nbsp;&amp;gt;=95 % = 100%&amp;lt; 94.99 % = 0%&amp;nbsp;&amp;nbsp;&amp;nbsp;EVIDENCIA: Reportes generados de forma semanal por el Subdirector de Tesoreria hasta el 31 de diciembre de 2025.</t>
  </si>
  <si>
    <t>A 30 de septiembre de 2025, actualizar los 87 documentos asociados a la Dirección de Tesorería (manual, procedimientos, instructivos y formatos),&amp;nbsp;conforme al inventario generado para tal fin.CRITERIO DE MEDICIÓNEl objetivo será evaluado en forma proporcional al número de documentos actualizados, siendo necesario un cumplimiento mínimo del 90%. Un cumplimiento inferior al 90%, es decir, 89,99% o menos, será calificado con 0 puntos.FÓRMULA DE CÁLCULO(Número de documentos actualizados / 87) * 100ENTREGABLES / EVIDENCIADocumentos actualizados y aprobados en el aplicativo ISOlución o aplicativo vigente.&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t>
  </si>
  <si>
    <t>1031146556</t>
  </si>
  <si>
    <t>Jhon Edison Raba Forero</t>
  </si>
  <si>
    <t>Análisis y estructuración para la Modernización IDP</t>
  </si>
  <si>
    <t>Descripción del Objetivo:Realizar un análisis funcional y estructural del IDP con fin de obtener la información necesaria para escoger la mejor opción que se adapte a las necesidades del FNG, teniendo en cuenta que se requiere la actualización del IDP que esta operando actualmente.&amp;nbsp;Indicador o Formula con la que se va a Realizar la Medición:(# de entregables validados y entregados / Total de entregables definidos) * 100Entregables:Q2-Análisis del FortiAuthenticator.Q3-Informe técnico y estructurado de la modernización del IDP.</t>
  </si>
  <si>
    <t>Descripción del Objetivo:Contribuir a la automatización y digitalización de dos procesos institucionales mediante el diseño, desarrollo e implementación de aplicaciones, utilizando las herramientas tecnológicas definidas por la entidad. El equipo desarrollador será responsable de asegurar el cumplimiento de los entregables definidos para cada fase, de acuerdo con el siguiente cronograma:Q2 (25%) Inicio desarrollos y entrega para pruebas (Tributaria - Listas Restrictivas).&amp;nbsp;&amp;nbsp;Q3 (25%) Entrega y despliegue de la solucion ( Tributaria - Listas Restictivas)Q3 (25%) Inicio desarrollos y entrega para pruebas (Generación Demanda)&amp;nbsp;Q4 (25%) Entrega y despliegue de la solución (Generación Demanda)&amp;nbsp;Listas restrictivas&amp;nbsp;Tributaria&amp;nbsp;Generación demanda&amp;nbsp;Indicador o Formula con la que se va a Realizar la Medición:(# automatizaciones finalizados / Total automatizaciones planificadas 2025) * 100Total automatizaciones planificadas 2025 = 3Entregables:Q2:Documento de diseño tecnico y estimación de las automatizaciones para cruce en Listas RestrictivasDocumento de diseño tecnico y estimación de la Automatización de información de Reservas.Aprobación de pruebas integrales y RFC para digitalización y automatización de información de potenciales clientes del proceso de generación de demanda&amp;nbsp;Q3:&amp;nbsp;Despliegue (orden de transporte) de la solución en QA para pruebas integrales para cruce en Listas Restrictivas.Aprobación de Pruebas integrales para digitalización y Automatización de información de Reservas.Q4:Entrega y despliegue en produccion (documento de RFC) para cruce en Listas Restrictivas&amp;nbsp;Documento RFC de la Automatización de información de Reservas.</t>
  </si>
  <si>
    <t>Estructurar y separar  GIT y Jenkins del ambiente de desarrollo</t>
  </si>
  <si>
    <t>Descripción del Objetivo:Actualizar y migrar el ambiente de desarrollo e independizar el ambiente de desarrollo del portal transaccional de las herramientas DevOps (Jenkins, GitLab)&amp;nbsp;Indicador o Formula con la que se va a Realizar la Medición: (# de actualizaciones realizadas / Total de actualizaciones definidas) * 100Entregables: Q2 - Q3 - Q4: Evidencia técnica de migración Q3 - Q4: Informes de pruebas y validación Q4: Documentación de arquitectura actualizada Q4: Acta de cierre de la migración</t>
  </si>
  <si>
    <t>Desarrollo de aplicación de Inventario tecnológico para la Subdirección de Servicios Tecnológicos</t>
  </si>
  <si>
    <t>Descripción del Objetivo:Automatizar el inventario tecnológico, gestionando la asignación de los activos fijos a los usuarios de la entidad.Indicador o Formula con la que se va a Realizar la Medición: (# de componentes entregados / Total de componentes definidos) * 100Entregables: Q2 Documento HU. Q3 Correo de aprobación de la HU por parte de Aplicaciones y Documento de Arquitectura. Q4 Documento de pruebas Integrales y RFC de puesta en producción.</t>
  </si>
  <si>
    <t>Planear y desarrollar la actualización la plataforma base de los Portales Institucionales</t>
  </si>
  <si>
    <t>Descripción del Objetivo:Actualizar y migrar la plataforma tecnológica de los portales Institucional, Transaccional, Deudores y Proveedores, garantizando mayor estabilidad, seguridad y escalabilidad.&amp;nbsp;Indicador o Formula con la que se va a Realizar la Medición:(# de portales migrados con éxito / Total de portales identificados) * 100EntregablesQ2 - Informe del Análisis, diagnostico y estructuración.Q3 - Documento con pantallazos de la migración.Q4 - RFC puesta en productivo.</t>
  </si>
  <si>
    <t>Descripción del Objetivo:El objetivo es lograr un 100% de cumplimiento en la ejecución y finalización de los proyectos estratégicos de tecnologías de la información que han sido ejecutados y finalizados según la hoja de ruta del Plan Estratégico de Tecnologías de la Información (PETI) del FNG programados para el año 2025, de acuerdo con el alcance, cronogramas y resultados esperados.&amp;nbsp;&amp;nbsp;Indicador o Formula con la que se va a Realizar la Medición:(# Proyectos finalizados / Total proyectos programados para finalizar en el&amp;nbsp;2025) * 100&amp;nbsp;&amp;nbsp;&amp;nbsp;Total proyectos programados 2025 = 9Entregables:Q2:• Informe de avance&amp;nbsp;(número de proyectos completados hasta la fecha).Q3:• Informe de avance intermedio (número de proyectos en fase final).Q4:• Informe de finalización de todos los proyectos del PETI 2025.</t>
  </si>
  <si>
    <t>Subdirector de Educación Económica y Financiera</t>
  </si>
  <si>
    <t>9395436</t>
  </si>
  <si>
    <t>Jorge Enrique Arevalo Caceres</t>
  </si>
  <si>
    <t>Diseñar tres nuevos módulos, atendiendo las solicitudes y/o necesidades que se identifiquen.Medición:Cada Módulo nuevo = 33.3%Formula= Modulo 1 + módulo 2 + modulo 3 = 100%Evidencias:﻿Módulo nuevo: material pedagógico, con VoBo de la dirección y/o Vicepresidencia Comercial</t>
  </si>
  <si>
    <t>Formación externa</t>
  </si>
  <si>
    <t>Al cierre de diciembre de 2025 desarrollar 4 espacios académicos temáticos dirigidos a públicos externos.Medición:(Nº de espacios académicos diseñados) / 4 x 100 = 100%Ejemplo: (1=25%, 2=50%, 3 = 75%, 4 = 100%)Evidencia:Soportes y/o registro fotográfico de los espacios académicos</t>
  </si>
  <si>
    <t>Al 31 de diciembre, asegurar el sostenimiento de 5 rutas de inclusión crediticia ya existentes y crear 3 nuevas rutas durante el año 2025, como mecanismos de formación y preparación para el acceso a crédito, uso de las garantías, y acercamiento a la oferta crediticia de los intermediarios financieros.Medición:(No. de rutas activas y nuevas / 8) x 100Ejemplo: (1=12.5%, 2=25%, 3 = 37.5%, ......., 8 = 100%)Evidencias:Listado actualizado de rutas activas; informes de avance por ruta; memorias de reuniones, listas de asistencia y/o registros fotográficos</t>
  </si>
  <si>
    <t>Al cierre de diciembre de 2025 haber entregado 6 guiones al proveedor, revisados internamente con la supervisión del contrato, para su implementación en el canal e-learning institucional.&amp;nbsp;Medición:(Nº de guiones validados) / 6 x 100 = 100%Ejemplo: (1 = 16%, 2 = 33%, 3 = 50%, 4 = 66%, 5 = 83%, 6 = 100%)Evidencia:Contenido final por módulo,&amp;nbsp;guiones enviados al proveedor revisados internamente con la supervisión del contrato</t>
  </si>
  <si>
    <t>Lograr al 31 de diciembre de 2025 la consolidación del programa de educación económica y financiera "Garantiza tu futuro", a través de un evento de entrega de informe de gestión del programa, y a su vez iniciar el proceso de certificación del programa ante la Superintendencia Financiera, para lo cual la cual se desarrollarán las siguientes actividades:  1. Al 31 de diciembre realizar evento de entrega del informe de gestión ante aliados y actores externos. Peso: 50%&amp;nbsp; 2.&amp;nbsp;Iniciar el proceso de alistamiento de documentos y evidencias que consiste en el cumplimiento del check list definido con la Superintendencia Financiera para la obtención de certificación del programa. Peso: 50%Medición:El objetivo se cumple al 100% con la ejecución de todas las actividades. El resultado final corresponderá a la suma de los porcentajes de cumplimiento de cada actividad ejecutada y debidamente soportada.&amp;nbsp;Evidencias:Actividad 1:&amp;nbsp;&amp;nbsp;Documento de informe de gestión e informe del evento que contiene registro fotográfico y publicación en redes del evento&amp;nbsp; Actividad 2: Soportes de documentos y evidencias requeridas en el check list definido por la Superintendencia Financiera.</t>
  </si>
  <si>
    <t>1015454598</t>
  </si>
  <si>
    <t>Jineth Vanessa Garay Barrera</t>
  </si>
  <si>
    <t>Profesional de Soluciones a Intermediarios Financieros</t>
  </si>
  <si>
    <t>Objetivo: Construir cinco (5) videos tutoriales y/o guiones de abril a septiembre del año 2025 sobre los rechazos mas frecuentes en el proceso operativo, para la edición por parte del área de Marca Institucional y cargue por parte del área de Experiencia en la caja de herramientas de autocapacitación para los Intermediarios Financieros.Su evaluación será: Entre cuatro (4) y cinco (5) es igual a 100 puntos, entre dos (2) y tres (3) será igual a 85 puntos, menor a dos (2) puntos su calificación será cero (0).Frecuencia: AnualIndicador: 4 – 5 =100%2 – 3 = 85%&amp;lt;2 = 0%Fecha inicio - fin: 01-04-2025 / 30-09-2025Entregable: 1. Q2 y Q3:&amp;nbsp;Entrega del material construido (videos y/o guiones) a marca institucional para su edición con copia a la Subdirectora y Directora de Soluciones y Soporte comercial a los 10 días hábiles siguientes para Q2 con los avances y Q3 entrega final&amp;nbsp;En la ruta: P:\Objetivos\2025\Dirección de Soluciones y Soporte Comercial\Jineth Vanessa Garay Barrera</t>
  </si>
  <si>
    <t xml:space="preserve">Disminuir el tiempo de respuesta de casos excepcionales  </t>
  </si>
  <si>
    <t>Objetivo: Lograr la disminución en el tiempo de respuesta de quince (15) días hábiles a diez (10) días hábiles, en el 50% de los casos excepcionales radicados por el portal transaccional por los intermediarios Financieros.Frecuencia: Anual Indicador: La fórmula a utilizar es la siguiente: No. De casos atendidos dentro de los 10 días hábiles / total de casos atendidos al mesFecha inicio - fin: 01-06-2025 / 31-12-2025Entregables: Q3 y Q4: Informe CRM con la medición del Q, revisado y aprobado por correo electrónico por parte de la Subdirectora y/o Directora de Soluciones y Soporte Comercial dentro los 10 días hábiles siguientes a la terminación de cada Q&amp;nbsp;En la Ruta: P:\Objetivos\2025\Dirección de Soluciones y Soporte Comercial\Vanessa Garay Barrera</t>
  </si>
  <si>
    <t xml:space="preserve">Resolver oportunamente el 100% de los casos de PQRS atendidos en el 2025 en la entidad, de conformidad con los plazos legales. </t>
  </si>
  <si>
    <t>Objetivo: Resolver oportunamente el 100% de los casos de PQRS atendidos en el 2025 en la entidad, de conformidad con los plazos legales.&amp;nbsp;Mínimo el 98% donde menos de 98% obtendrá un puntaje de 0. Se medirá de acuerdo a la tabla equitativa: Donde al sacar un puntaje del 98% el puntaje será 98% y así hasta llegar a 100%.Frecuencia: Anual Indicador: La Tabla equivalente respecto al resultado anual del indicador de nivel de oportunidad en las respuestas a PQRSMínimo el 98% donde menos de 98% obtendrá un puntaje de 0. Se medirá de acuerdo a la tabla equitativa: Donde al sacar un puntaje del 98% el puntaje será 98% y así hasta llegar a 100%.Nota: el resultado del año, se obtiene sobre el promedio de los meses medidos en Isolucion en 2025Fecha inicio - fin: 01-01-2025 / 31-12-2025Entregables: Reporte de indicador "Nivel de oportunidad en las respuestas a PQRS" mensual en IsoluciónNota: el resultado del año, se obtiene sobre el promedio de los meses medidos en Isolucion en 2025.P:\Objetivos\2025\Dirección de Soluciones y Soporte Comercial\Jineth Vanessa Garay Barrera</t>
  </si>
  <si>
    <t xml:space="preserve">Calidad en las respuestas de PQRFSD del Grupo de Intermediarios  </t>
  </si>
  <si>
    <t>Objetivo: Alcanzar una calificación promedio acumulada mínima del 85% durante el año 2025 en las evaluaciones de calidad que miden la gestión y atención de los casos excepcionales radicados por intermediarios financieros a través de los canales FNG (correo electrónico y portal).Frecuencia: Anual Indicador:  Promedio del resultado de los meses evaluados indicador "calidad en las respuestas de PQRFSD de sus casos atendidos"Si el resultado es entre 85% y 100%: la calificación será 100 puntosSi el indicador es menor al 85%&amp;nbsp;se medirá de la siguiente forma: (indicador /85)*100&amp;nbsp;Nota: el resultado del año, se obtiene sobre el promedio de los meses medidos en el año 2025.Fecha inicio - Fin: 01-04-2025 / 31-12-2025Entregables: Resultado de medición remitido a los 10 días hábiles siguiente terminado el Q4 por correo electrónico por parte del Especialista de Intermediario Financieros a la Directora y Subdirectora de Soluciones y Soporte Comercial&amp;nbsp;</t>
  </si>
  <si>
    <t xml:space="preserve">Documentación Intermediarios Financieros </t>
  </si>
  <si>
    <t>Objetivo: Actualizar trece (13) documentos del proceso de gestión de casos excepcionales y nueve (9) documentos del proceso de gestión de casos de novedades de Intermediarios Financieros al 31 de diciembre de 2025, garantizando su disponibilidad, acceso; facilitando la consulta y aplicación a través de la Intranet mediante la colaboración del especialista en calidad y oportunidad de respuestaFrecuencia: Anual Indicador: La fórmula a utilizar es la siguiente: No. De documentos actualizados/22x 100Su evaluación será: menor o igual a 79.9% es igual a cero (0) puntos y la meta será del 93% es decir 93% equivale a 100 puntos, la medición se realizará aplicando regla de tres.Fecha inicio - fin: 01-04-2024 / 31-12-2024Entregables:&amp;nbsp;1. Q2 - Primer Entrega de 7 documentos actualizados enviados y aprobados a la Subdirectora y/o Directora de Soluciones y Soporte comercial a los 10 días hábiles siguientes de finalizado el Q.&amp;nbsp;2. Q3 - Segunda Entrega de 7 documentos actualizados enviados y aprobado por la Subdirectora y/o Directora de Soluciones y Soporte comercial&amp;nbsp;a los 10 días hábiles siguientes de finalizado el Q.&amp;nbsp;3. Q4 - Tercera Entrega de 8 documentos actualizados y consolidado final enviados y aprobado por la Subdirectora y/o Directora de Soluciones y Soporte comercial y cargado en la Intranet a los 10 días hábiles siguientes de finalizado el Q.</t>
  </si>
  <si>
    <t>Fortalecimiento del conocimiento  a Intermediarios Financieros a través de capacitaciones</t>
  </si>
  <si>
    <t>Objetivo: Fortalecer la capacitación de los intermediarios financieros en la gestión de garantías asegurando la correcta aplicación de la normativa vigente, a través de la realización de 250 sesiones virtuales y presenciales de capacitación y asesoramiento personalizado durante del año 2025.Frecuencia: Anual Indicardor:La fórmula a utilizar es la siguiente:Si el resultado es entre 214 y 250: la calificación será de 100 puntos&amp;nbsp;Si las sesiones son menores a 214 se medirá de la siguiente manera:&amp;nbsp;(No. Sesiones / 214) * 100&amp;nbsp;Fecha inicio - fin: 01-01-2025 / 31-12-2025Entregable: Informe de las sesiones realizadas con los intermediarios, enviado y aprobado vía correo electrónico a la Directora y/o Subdirectora de Soluciones y Soporte Comercial a los 10 días hábiles siguientes de finalizado el Q2 y Q3 con los avances y Q4 los resultados de cierre.</t>
  </si>
  <si>
    <t>1026300323</t>
  </si>
  <si>
    <t>Johan Camilo Duque Carreño</t>
  </si>
  <si>
    <t>En el 2Q de 2025&amp;nbsp;- Dictar y evaluar el módulo básico de la Universidad de la Garantía (Tradicional y Garantía Global)INDICADOR:Cumple / No cumpleENTREGABLES / EVIDENCIA: Listado de asistencia y encuestas ubicadas en la Ruta:P:\Objetivos\2025\Direccion de Operaciones\</t>
  </si>
  <si>
    <t>Automatizar la extracción de metadatos clave del documento Anexo No. 2 en el proceso de reclamación de garantías del FNG</t>
  </si>
  <si>
    <t>Al 31/12/2025, Construir prototipo de una herramienta en Python que permita extraer automáticamente, con mínimo de precisión, los metadatos relevantes (nombre, documento, firma, dirección, ciudad, etc.) del Anexo No. 2, con el fin de optimizar el proceso de revisión de reclamaciones.&amp;nbsp;Indicador: Cumple 100% / No cumple 0%&amp;nbsp;&amp;nbsp;Evidencia: Prototipo Herramienta en Python</t>
  </si>
  <si>
    <t>Subdirector de Arquitectura de Datos</t>
  </si>
  <si>
    <t>Descripción:Presentar antes del 31 de diciembre una certificación oficial en alguna ruta de formación de Microsoft o Databricks, que fortalezca las capacidades técnicas internas del equipo y esté en concordancia con la infraestructura de datos que se está implementando (Este objetivo se encuentra alineado con el objetivo estratégico: 6.2. Cualificación del talento humano; Apuesta estratégica, Desarrollo de habilidades técnicas, blandas y digitales del talento humano para la transformación digital del FNG):• Evidencia del certificado: peso 100% - Entrega Q4Medición:Cumple/No CumpleEntregables:Certificado expedidoPeso: 15%Ruta: Z:\Objetivos\2025\Dirección de Planeación</t>
  </si>
  <si>
    <t>Descripción:Lograr a 31 de diciembre de 2025, un tablero de control en Tableau que consolide las principales métricas e indicadores clave (KPIs) para el seguimiento estratégico de la movilización de garantías, permitiendo la visualización oportuna y centralizada de los datos relevantes que faciliten la toma de decisiones informadas por parte de las áreas responsables. (Este objetivo se encuentra alineado con el objetivo estratégico: 4. Evolucionar los sistemas de información y aplicaciones del FNG; Apuesta estratégica, Automatizaciones 5.0):•  Modelo visual del diseño del tablero: peso 45% - Entrega Q3• Tablero de control operativo implementado en Tableau: peso 55% - Entrega Q4Medición:Su evaluación será proporcional a la suma de los porcentajes relacionados a cada entregable completado a satisfacciónEntregables:Informe de avance de las actividades relacionadas para entrega en Q3 y Q4 respectivamentePeso: 10%Ruta: Z:\Objetivos\2025\Dirección de Planeación</t>
  </si>
  <si>
    <t>Lograr a 31-12-2025 la integración del proceso SARG con la arquitectura Lakehouse, asegurando el cumplimiento del 100% de los componentes técnicos y funcionales definidos, los cuales se describen a continuación (Este objetivo se encuentra alineado con el objetivo estrategico 4.2. Proyectos de transformación digital e innovación; Apuesta estratégica, Gestión de proyectos estratégicos de innovación y transformación con base tecnológica (DIRECTRIZ)):• Diagnóstico de requerimientos del proceso SARG: peso 25% - Entrega Q3• Diseño de la arquitectura de integración con Lakehouse: peso 25% - Entrega Q3• Desarrollo y prueba del flujo de integración de datos: peso 25% - Entrega Q4• Validación y puesta en marcha del proceso integrado: peso 25% - Enetrega Q4Medición:Su evaluación será proporcional a la suma de los porcentajes relacionados a cada entregable completado a satisfacciónEntregables:Informe de avance de las actividades relacionadas para entrega en Q3 y Q4 respectivamente, revisados y aprobados por el Director de Planeación Peso: 35%Ruta: Z:\Objetivos\2025\Dirección de Planeación</t>
  </si>
  <si>
    <t>Lograr a 31-12-2025 la puesta en producción del asistente de inteligencia artificial para la lectura de circulares u otro componente definido por la alta gerencia del FNG, asegurando el cumplimiento del 100% de los componentes relacionados a continuación  (Este objetivo se encuentra alineado con el objetivo estrategico 5.1. Consolidación de la Arquitectura Empresarial; Apuesta estratégica, Solución operativa usando tecnología de inteligencia artificial (IA chat bot)):• Catálogo documental del corpus de conocimiento (Listado de circulares, manuales y/o anexos): peso 30% - Entrega Q2• Arquitectura de despliegue y configuración de servicios en el LakeHouse: peso 40% - Entrega Q3• Integración del agente en la plataforma corporativa Microsoft Teams: peso 30% - Entrega Q4Medición:Su evaluación será proporcional a la suma de los porcentajes relacionados a cada entregable completado a satisfacciónEntregables:Acta de recibido a satisfacción por parte del Director de planeación de los componentes de la apuesta de asistente IA para entrega en Q4. Peso: 20%Ruta: Z:\Objetivos\2025\Dirección de Planeación</t>
  </si>
  <si>
    <t>Lograr a 31 de diciembre de 2025, un estudio integral sobre los clientes del FNG, utilizando las fuentes de información disponibles, con el fin de caracterizar sus principales atributos socio-demográficos y analizar su comportamiento en relación con el uso de las garantías. El estudio permitirá generar conocimiento útil para orientar decisiones estratégicas. (Este objetivo se encuentra alineado con el objetivo estrategico 2. Optimización Financiera; Apuesta estratégica, Fortalecimiento de modelo de proyección y planeación financiera, mediante herramienta tecnológica estructuración y visualización):•  Word con la propuesta metodologica aprobada por subdirector de arquitectura de datos: peso 35% - Entrega Q3• Informe sobre la caracterización historica de los clientes y patrones: peso 40% - Entrega Q4• Hoja de ruta de los siguientes estudios: peso 25% - Entrega Q4Medición:Su evaluación será proporcional a la suma de los porcentajes relacionados a cada entregable completado a satisfacciónEntregables:Informe de avance de las actividades relacionadas para entrega en Q3 y Q4 respectivamentePeso: 10%Ruta: Z:\Objetivos\2025\Dirección de Planeación</t>
  </si>
  <si>
    <t>Descripción:Lograr a 31-12-2025, el desarrollo del modulo descriptivo de recuperación de cartera mediante la construcción de un Tablero interactivo y un modelo analítico relacionado con la recuperación de cartera, asegurando el cumplimiento del 100% de los componentes técnicos, analíticos y operativos definidos a continuación (Este objetivo se encuentra alineado con el objetivo estrategico 2. Optimización Financiera; Apuesta estratégica, Diseño de estrategia de recuperación de cartera):• Tablero descriptivo: peso 50% - Entrega en Q3• Diseño metodológico del modelo analítico para cartera: peso 15% - Entrega en Q4• Socialización y recibo de retroalimentación por parte de las áreas responsables de recuperación de cartera: peso 10% - Entrega en Q4• Desarrollo del informe final y su viabilidad de aplicación en las estrategias de recuperación de cartera: peso 25% - Entrega Q4Medición:Su evaluación será proporcional a la suma de los porcentajes relacionados a cada entregable completado a satisfacciónEntregables:Informe de avance de las actividades relacionadas para entrega en Q3 y Q4 respectivamente Peso: 10%Ruta: Z:\Objetivos\2025\Dirección de Planeación</t>
  </si>
  <si>
    <t>Subdirector de Soluciones y Soporte Comercial</t>
  </si>
  <si>
    <t>Resolver oportunamente las PQRSFD</t>
  </si>
  <si>
    <t>Descripción del objetivo: Resolver oportunamente el 100% de los casos de PQRS atendidos en el 2025 en la entidad, de conformidad con los plazos legales. Mínimo el 98% donde menos de 98% obtendrá un puntaje de 0. Se medirá de acuerdo a la tabla equitativa: Donde al sacar un puntaje del 98% el puntaje será 98% y así hasta llegar a 100%.Frecuencia del Monitoreo: AnualIndicador o formula con la que se va a realizar la medición: La Tabla equivalente respecto al resultado anual del indicador de nivel de oportunidad en las respuestas a PQRS.Mínimo el 98% donde menos de 98% obtendrá un puntaje de 0. Se medirá de acuerdo con la tabla equitativa: Donde al sacar un puntaje del 98% el puntaje será 98% y así hasta llegar a 100%.Fecha inicio-fin de/mm/a: 01-01-2025 / 31-12-2025Entregables: Reporte de indicador "Nivel de oportunidad en las respuestas a PQRS" mensual en IsoluciónNota: el resultado del año se obtiene sobre el promedio de los meses medidos en Isolución en 2025.Ruta: P:\Objetivos\2025\Dirección de Soluciones y Soporte Comercial\Johanna Carolina Puentes Ramirez</t>
  </si>
  <si>
    <t>Cumplir con el indicador de calidad en las respuestas</t>
  </si>
  <si>
    <t>Descripción: Promedio del resultado de los meses evaluados (indicador "calidad en las respuestas de PQRFSD de la Dirección de Soluciones y Soporte Comercial")Frecuencia del monitoreo: AnualIndicador o formula con la que se va a realizar la medición: Promedio del resultado de los meses evaluados (indicador "calidad en las respuestas de PQRFSD de la Dirección de Soluciones y Soporte Comercial")Si el resultado es entre 85% y 100%: la calificación será 100 puntosSi el indicador es menor al 85% se medirá de la siguiente forma: (indicador /85) *100Nota: el resultado del año se obtiene sobre el promedio de los meses medidos en Isolución en 2025.Fecha inicio-fin dd/mm/aa: 01-01-2025 / 31-12-2025Entregables: Reporte del indicador "calidad en las respuestas de PQRFSD de la Dirección de Soluciones y Soporte Comercial” mensual en IsoluciónNota: el resultado del año se obtiene sobre el promedio de los meses medidos en Isolución en 2025.Ruta: P:\Objetivos\2025\Dirección de Soluciones y Soporte Comercial\Johanna Carolina Puentes Ramirez</t>
  </si>
  <si>
    <t>Análisis de Viabilidad Centro de Experiencia propio</t>
  </si>
  <si>
    <t>Descripción: Elaborar el estudio de factibilidad y viabilidad de contar con un Centro de Experiencia propio.Frecuencia del monitoreo: AnualIndicador o formula con la que se va a realizar la medición: Su evaluación será así: Elaborar el estudio de factibilidad y viabilidad de contar con un Centro de Experiencia propio, el cual contiene las siguientes fases y entregables:1. Diagnóstico del Centro de Experiencia actual y variables a considerar en el estudio de factibilidad, fecha entrega: 15/05/25.2. Un informe que contenga las necesidades de la organización, fecha entrega: 01/07/253. Estructuración del anexo técnico del Centro de experiencia, fecha entrega: 11/07/254. Elaboración de la matriz y análisis de riesgos, fecha entrega: 31/07/255. Estudio de Mercado para el Centro de Experiencia, fecha entrega: 15/08/25Los entregables del 1 al 5 tendrán un peso individual del 15% y los mismos deberán ser cargados en la carpeta P:\Gestion Estratégica, dentro de los tiempos estipulados en la ficha.Nota: Si se presenta retraso en el cargue de los entregables se realizará una penalización del 1% por día de retraso.&amp;nbsp;Informe final de Viabilidad del Centro de Experiencia Propio. Entregable: Número de Acta Comité Directivo en el que se presentó el Informe final de Viabilidad del Centro de Experiencia Propio, presentado a Comité Directivo a más tardar el 15 de septiembre de 2025La suma de los entregables del 1 al 5 suman 75% y el informe final tiene un peso del 25% lo que equivale al 100% del objetivo. Fecha inicio-fin dd/mm/aa: 01-05-2025 / 15-09-2025Entregables: 1. Diagnóstico del Centro de Experiencia actual y variables a considerar en el estudio de factibilidad2. Un informe que contenga las necesidades de la organización 3. Estructuración del anexo técnico del Centro de Experiencia.4. Elaboración de la matriz y análisis de riesgos5. Estudio de Mercado para el CE del FNG.Informe final: Número de Acta Comité Directivo en el que se presentó el Informe final de Viabilidad del Centro de Experiencia Propio, presentado a Comité Directivo a más tardar el 15 de septiembre de 2025.Ruta: P:\Objetivos\2025\Dirección de Soluciones y Soporte Comercial\Johanna Carolina Puentes Ramirez</t>
  </si>
  <si>
    <t>Implementar la fase III - Proyecto Chatbot</t>
  </si>
  <si>
    <t>Descripción: Implementar la fase III del proyecto de Chatbot, en el canal de WhatsApp y Chat de la página Web del FNG, enfocadas en optimizar la experiencia del cliente a través de nuevos desarrollos y/o ajustes funcionales."Frecuencia del monitoreo: TrimestralIndicador o formula con la que se va a realizar la medición: Realizar la implementación de la Fase III del proyecto de Chatbot para la Dirección de Soluciones y Soporte Comercial a cierre de Q4Q3: 1er entregable:&amp;nbsp;Documento que contenga la definición y descripción de mejoras a implementar, el cual deberá aprobarse por parte de la directora de Soluciones y Soporte Comercial a más tardar el 15 de julio por correo electrónico Peso: 30 puntos&amp;nbsp;Q4:&amp;nbsp;2er entregable: Presentación que contiene las evidencias de mejoras implementadas, a más tardar el (15) de diciembre, enviadas y aprobadas por correo electrónico a la Directora de Soluciones y Soporte Comercia. Peso: 70 puntos.Fecha inicio-fin dd/mm/aa: 16/06/2025 al 15-12-2025Entregables: Q3: 1er entregable: Documento que contenga la definición y descripción de mejoras a implementar, el cual deberá aprobarse por parte de la directora de Soluciones y Soporte Comercial a más tardar el 15 de julio por correo electrónico. Peso: 30 puntos Q4:&amp;nbsp;2er entregable: Presentación que contiene las evidencias de mejoras implementadas, a más tardar el (15) de diciembre, enviadas y aprobadas por correo electrónico a la Directora de Soluciones y Soporte Comercial. Peso: 70 puntos.&amp;nbsp;Ruta: P:\Objetivos\2025\Dirección de Soluciones y Soporte Comercial\Johanna Carolina Puentes Ramirez</t>
  </si>
  <si>
    <t>Auditorias de calidad de las PQRSFD y casos Excepcionales</t>
  </si>
  <si>
    <t>1019022585</t>
  </si>
  <si>
    <t>John Alexander Vaca</t>
  </si>
  <si>
    <t>Creativo</t>
  </si>
  <si>
    <t>DESCRIPCIÓNPara el Q2, definir, implementar y ejecutar el plan de comunicaciones estratégicas que contribuyan a reforzar el posicionamiento del FNG, el cual debe incluir:Plan de relacionamiento con mediosPlan de pauta en mediosINDICADORQ2 (50%): plan de comunicaciones estratégicas que incluya plan de relacionamiento con medios y  plan de pauta en mediosQ4 (50%): informe de la implementación del planENTREGABLEQ2: presentar al VP ejecutivo, en reunión de avances del área, el plan de comunicaciones estratégicasQ4: enviar un informe al VP ejecutivo con las evidencias de la implementación del plan</t>
  </si>
  <si>
    <t>DESCRIPCIÓNRediseñar la interfaz de la Intranet a 31 de julio de 2025 INDICADORQ2 (50%) Presentar, en reunión de avances del área, el prototipo de rediseño de la Intranet al vicepresidente ejecutivo para su aprobación Q3 (50%) Realizar la divulgación de la nueva interfaz de la Intranet en los canales internosENTREGABLESQ2: Correo del vicepresidente ejecutivo dando su aprobación al rediseño de la Intranet.Q3: Informe que incluya: Evidencias del rediseño de la Intranet Evidencias de divulgación del rediseño de la Intranet en canales internos</t>
  </si>
  <si>
    <t>Cultura de servicio</t>
  </si>
  <si>
    <t>DESCRIPCIÓNA 31 de diciembre de 2025, Realizar mínimo 10 acciones, campañas y/o actividades enmarcadas en cultura de servicio FNGINDICADORQ4: (100%) campañas, acciones y/o actividades realizadas durante el año 2025ENTREGABLEQ4: presentación de las 10 campañas, acciones y/o actividades de cultura del servicio realizadas durante el año 2025</t>
  </si>
  <si>
    <t>FNG Lovers</t>
  </si>
  <si>
    <t>DESCRIPCIÓNA cierre de Q3 de 2025 (30 de septiembre), diseñar y proponer la campaña con las diferentes acciones que fortalecerán la marca interna: FNG LoversINDICADORQ3: (100%) presentación de la propuesta de la campañaENTREGABLEQ3: correo enviado a la Dirección de Felicidad con la campaña presentada</t>
  </si>
  <si>
    <t>Estrategia canales internos de comunicación</t>
  </si>
  <si>
    <t>DESCRIPCIÓNA 31 de agosto proponer y ejecutar una estrategia que contenga acciones para reforzar los canales internos de comunicaciónINDICADORQ3: (50%) presentación de la estrategiaQ4 (50%): ejecución de la estrategia&amp;nbsp;ENTREGABLEQ3: correo enviado al jefe directo con la presentación de la estrategiaQ4: informe enviado por correo al jefe directo con las evidencias de la ejecución de la estrategia&amp;nbsp;</t>
  </si>
  <si>
    <t>DESCRIPCIÓNPara el 2025, lograr una califación de 9,45 en la encuesta de satisfacción de cliente interno, manteniendo el resultado obtenido en 2024INDICADORQ4 (100%) Obtener una medición de 9,45 en la encuesta de satisfacción del cliente interno equivale al 100% de la calificación, 9,40 equivaldrá al 90%, 9,30 al 80% y 9,20 al 0%ENTREGABLEQ4: resultado de la encuesta</t>
  </si>
  <si>
    <t xml:space="preserve">Campañas y acciones de comunicación </t>
  </si>
  <si>
    <t>DESCRIPCIÓNA 31 de diciembre de 2025, proponer mínimo 20 campañas y/o acciones de comunicación que conmemoren fechas relevantes, celebraciones especiales, hitos, etc. Según necesidad de las diferentes áreasINDICADORQ4: (100)% las 20 campañas y/o acciones realizadas durante el año 2025ENTREGABLEQ4: presentación de las 20 campañas y/o acciones realizadas durante el año 2025</t>
  </si>
  <si>
    <t>3203390</t>
  </si>
  <si>
    <t>John Jairo Calderon Calderon</t>
  </si>
  <si>
    <t>Profesional de Gestión Administrativa</t>
  </si>
  <si>
    <t>Actas de Liquidación</t>
  </si>
  <si>
    <t>Elaborar y radicar ante la Dirección de Contratación durante la vigencia 2025, las Actas de liquidación de los contratos de la dirección de felicidad que requieran ser liquidados, que terminen su plazo de ejecución dentro del Q&amp;nbsp;y a los cuales se les realice el ultimo pago dentro del mismo trimestre.&amp;nbsp;Dicha radicación deberá realizarse dentro de los 2 meses siguiente a la terminación del plazo de ejecución o en caso de que a la fecha de terminación del plazo de ejecución no se haya realizado el ultimo pago al contratista, dentro de los 2 meses siguiente a la realización del ultimo pago por parte del FNG.&amp;nbsp;(N.º&amp;nbsp;de&amp;nbsp;Actas de liquidación radicadas en la Dirección de Contratación de los contratos de la Dirección de Felicidad terminados y pagados dentro del Q que requieran ser liquidados, en cumplimiento del plazo de dos (2) meses siguiente a la terminación del plazo de ejecución o en su defecto dentro del mes siguiente a la realización del ultimo pago&amp;nbsp;/ Nro de contratos terminados y pagados dentro del Q que requieren ser liquidados )×100Entregables:Remitir un informe trimestral a la Directora de la Dirección de Felicidad, dentro de los diez (10) días hábiles siguientes a la finalización del Q, que detalle el nivel de cumplimiento del plazo establecido para la radicación de las actas de liquidación de los contratos que lo requieran, en la Dirección de Contratación durante el Q, dentro del mes siguiente a la terminación del plazo de ejecución o en caso de que a la fecha de terminación del plazo de ejecución no se haya realizado el ultimo pago al contratista, dentro del mes siguiente a la realización del ultimo pago por parte del FNG.&amp;nbsp;&amp;nbsp;Dicho informe debe cumplir como minimo con los siguientes items:&amp;nbsp;( Nro del Contrato, fecha de terminación del plazo de ejecución, fecha del ultimo pago realizado al contratista, fecha de radicación del Acta de liquidación en la Dirección de Contratación)Ruta evidencias:P:\Objetivos\2025\Dirección de Felicidad\John Jairo Calderon Calderon</t>
  </si>
  <si>
    <t>Ejecución del Plan Anual de Adquisiciones</t>
  </si>
  <si>
    <t>Ejecutar para 2025 el Plan Anual de Adquisiciones aprobado para la Dirección de Felicidad.&amp;nbsp; Su evaluación será proporcional al numero de procesos aprobados y contratados para la vigencia, de acuerdo con el PAA aprobado por el Comité Institucional de Gestión y Desempeño. La evaluación iniciará a partir del Q2.&amp;nbsp; Su medición será:  No. de procesos ejecutados (contrato firmado) /No. procesos aprobados&amp;nbsp;*100Entregables: Su medicion será: Informe de ejecución de los contratos a Q2: 30% Informe de ejecución de los contratos a Q3 : 30% Informe de ejecución de los contratos a Q4: 40%Ruta evidencias:P:\Objetivos\2025\Dirección de Felicidad\John Jairo Calderon Calderon</t>
  </si>
  <si>
    <t>Lograr a 31 de diciembre de 2025 el cumplimiento del 100% de los&amp;nbsp;planes del Decreto 612-2018, relacionados con la Dirección de Felicidad, los cuales son monitoreados por el Comité Institucional de Gestión y Desempeño, así:&amp;nbsp;&amp;nbsp; Plan Estrategico de Gestión Humana: peso 10%  Plan de Capacitación: peso 20% Plan de Bienestar :peso 20% Plan de Seguridad y Salud en el Trabajo: peso 20% Plan de Gestión Ambiental 10% Plan Institucional de Archivo 20% Su evaluación será proporcional al resultado obtenido en cada plan. (ejemplo: si se hace el 90% de las actividades la calificación sera 90 puntos- Si la calificación es menor a 80% su calificación sera cero).Entregables: Acta de Comité Institucional de Gestión y Desempeño donde se evidencia el cumplimiento de los planes,&amp;nbsp;presentados en cada Q.Ruta: P:\Objetivos\2025\Dirección de Felicidad\John Jairo Calderon Calderon</t>
  </si>
  <si>
    <t>Plan Anual de Adquisiciones</t>
  </si>
  <si>
    <t>Garantizar durante la vigencia 2025, la ejecución oportuna del Plan Anual de Adquisiciones de la Dirección de Felicidad, cumpliendo con los tiempos previstos para la radicación de los procesos contractuales ante la Dirección de Contratación, de conformidad con el PAA aprobado para la vigencia.&amp;nbsp; (Número de procesos contractuales programados en el Plan Anual de Adquisiciones (PAA) de la Dirección de Felicidad para ser radicados durante el trimestre / Número de procesos contractuales efectivamente radicados ante la Dirección de Contratación dentro de los plazos establecidos en el PAA) × 100Entregables:  Remitir un informe trimestral a la Directora de la Dirección de Felicidad, dentro de los diez (10) días hábiles siguientes a la finalización de cada trimestre, en el cual se detalle el nivel de cumplimiento de los plazos establecidos en el PAA para la radicación de los procesos contractuales en la Dirección de Contratación durante el Q. Asimismo, en dicho informe se debe incluir el correo electrónico por medio del cual se realiza la respectiva radicación a la Dirección de Contratación.Ruta: P:\Objetivos\2025\Dirección de Felicidad\John Jairo Calderon Calderon</t>
  </si>
  <si>
    <t>Informes Parciales de Supervisión</t>
  </si>
  <si>
    <t>Revisar durante el 2025 los informes parciales de supervisión de los contratos de la Dirección de felicidad que se encuentran en ejecución durante la vigencia 2025 y que le sean asignados a cada abogado de la Dirección de Felicidad.(N.º&amp;nbsp;de&amp;nbsp;informes parciales de supervisión remitidos a los abogados para su revisión / N.º&amp;nbsp;de informes parciales de supervisión revisados por el abogado dentro de los dos (2) días hábiles siguientes a la recepción del informe )×100Entregable:Cada abogado de la Dirección de Felicidad deberá remitir un informe trimestral a la Directora de la Dirección de Felicidad, dentro de los diez (10) días hábiles siguientes a la finalización de cada trimestre, en el cual se detalle el nivel de cumplimiento del plazo establecido de dos (2) días hábiles para la revisión y envío de los informes parciales de supervisión a su cargo, dirigidos a la supervisora o a quien haga sus veces.Ruta:P:\Objetivos\2025\Dirección de Felicidad\John Jairo Calderon Calderon</t>
  </si>
  <si>
    <t xml:space="preserve">Informes Finales de Supervisión </t>
  </si>
  <si>
    <t>Elaborar y radicar ante la Dirección de Contratación durante la vigencia 2025, los informes Finales de Supervisión de los contratos de la dirección de felicidad que terminen y sean pagados efectivamente por el FNG dentro del Q. Dicha radicación deberá realizarse dentro del mes siguiente a la terminación del plazo de ejecución ( cuando aplique ) o en caso de que a la fecha de terminación del plazo de ejecución no se haya realizado el ultimo pago al contratista, dentro del mes siguiente a la realización del ultimo pago por parte del FNG.&amp;nbsp; (N.º&amp;nbsp;de&amp;nbsp;informes Finales de supervisión de los contratos terminados y pagados dentro del Q, radicados en la Dirección de Contratación en cumplimiento del plazo de un (1) mes siguiente a la terminación del plazo de ejecución o en su defecto dentro del mes siguiente a la realización del ultimo pago&amp;nbsp;por parte del FNG&amp;nbsp;/ Nro de contratos terminados y pagados dentro del Q) )×100Entregables: Remitir un informe trimestral a la Directora de la Dirección de Felicidad, dentro de los diez (10) días hábiles siguientes a la finalización del Q, que detalle el nivel de cumplimiento del plazo establecido para la radicación de&amp;nbsp;los Informes Finales de Supervisión en la Dirección de Contratación durante el Q. Dicho informe debe cumplir como mínimo con los siguientes ítems:&amp;nbsp;( Nro del Contrato, fecha de terminación del plazo de ejecución, fecha del ultimo pago realizado al contratista, fecha de radicación del informe final de supervisión a la Dirección de Contratación).Ruta evidencias:P:\Objetivos\2025\Dirección de Felicidad\John Jairo Calderon Calderon</t>
  </si>
  <si>
    <t>Creación Expedientes Contractuales en Mercurio y Secop/ TVEC</t>
  </si>
  <si>
    <t>Realizar durante el 2025 el seguimiento a la creación de los expedientes contractuales en Mercurio, SECOP y/o TVEC por parte del abogado encargado del proceso en la Dirección de Contratación, dentro del mes siguiente a la fecha de inicio del plazo de ejecución de los contratos suscritos por la Dirección de Felicidad.(Número de contratos suscritos durante el trimestre / Número de expedientes contractuales creados por contrato dentro del mes siguiente a la fecha de inicio del plazo de ejecución ) × 100Entregables:Remitir informe trimestral a la Directora de la Dirección de Felicidad, dentro de los diez (10) días hábiles siguientes a la finalización de cada trimestre, en el que se detalle el nivel de cumplimiento respecto a la creación de los expedientes contractuales en Mercurio, SECOP y/o TVEC de los contratos suscritos durante el trimestre, verificando que dicha creación se haya efectuado dentro del mes siguiente a la fecha de inicio del plazo de ejecución de cada contrato.Ruta Evidencias:P:\Objetivos\2025\Dirección de Felicidad\John Jairo Calderon Calderon</t>
  </si>
  <si>
    <t>Contratar y ejecutar en el año 2025 los estudios y diseños para adelantar las adecuaciones locativas de la sede principal e iniciar el proceso de contratación para la ejecución de la obra. La evaluación tendrá los siguientes entregables:El contrato suscrito de consultoría mes de junio, tendrá un peso del 20%El contrato suscrito de Interventoría mes de junio, tendrá un peso del 20%El Acta de inicio de consultoría, mes de&amp;nbsp;junio tendrá un peso del 10%El Acta de inicio de Interventoría, entregado mes de junio tendrá un peso del 10%Informe parcial de supervisión presentado a 30 de julio tendrá un peso del 10%El Acta de recibo final de los diseños, entregado el mes de octubre tendrá un peso del 15%Presentar al comité de adquisición de Bienes y Servicios el proceso de contratación de la obra correspondiente a la ejecución del resultado de la consultoría en el mes de noviembre. El cual tendrá un peso del 15%Al tener siete entregables se obtendrá el 100%, de lo contrario será proporcional a los obtenidos según el porcentaje descrito.Su medición será: Al tener siete entregables se obtendrá el 100%, de lo contrario será proporcional a los obtenidos según el porcentaje descrito.Cumplimiento de entregables, por cada mes de retardo se sancionara con un 5% del total del peso del objetivo.Se exceptuaran los casos extraordinarios, como por ejemplo: solicitud de otro si al contrato por parte del contratista, demoras en los tiempos de ejecución por hechos atribuibles a un tercero, declaración de desierto del proceso, entre otros.En todo caso las excepciones deberán ser autorizadas por el Vicepresidente Ejecutivo.Ruta evidencias:P:\Objetivos\2025\Dirección de Felicidad\John Jairo Calderon Calderon&amp;nbsp;</t>
  </si>
  <si>
    <t>1020808165</t>
  </si>
  <si>
    <t>Jonathan Felipe Sanchez Montenegro</t>
  </si>
  <si>
    <t>Profesional de Modelos Técnicos</t>
  </si>
  <si>
    <t>Implementar la integración del modelo prospectivo al VMD Empresarial Vigilados, esta integración debe contemplar las etapas de Desarrollo de la propuesta, Actualización documental, Desarrollo de Aplicativos. La integración deberá realizarse antes del 30 de Diciembre de 2025. Esté objetivo se alinea con el objetivo estratégico "3. Fortalecer la gestión y administración integral del riesgo para generar un adecuado ambiente de control" del PAI con la estrategia 3.1 Consolidar la gestión integral de riesgos, bajo la apuesta Aplicación de modelos prospectivos transversales a los sistemas de riesgos.&amp;nbsp;&amp;nbsp;&amp;nbsp;&amp;nbsp;&amp;nbsp;&amp;nbsp;&amp;nbsp;&amp;nbsp;&amp;nbsp;&amp;nbsp;&amp;nbsp;&amp;nbsp;&amp;nbsp;&amp;nbsp;&amp;nbsp;&amp;nbsp;&amp;nbsp;&amp;nbsp;&amp;nbsp;&amp;nbsp;&amp;nbsp;&amp;nbsp;&amp;nbsp;&amp;nbsp;&amp;nbsp;&amp;nbsp;&amp;nbsp;&amp;nbsp;&amp;nbsp;&amp;nbsp;&amp;nbsp;&amp;nbsp;&amp;nbsp;&amp;nbsp;&amp;nbsp;&amp;nbsp;&amp;nbsp;&amp;nbsp;Entregable 1: Implementar un análisis descriptivo y estadístico sobre los indicadores Financieros utilizados para la estimación del VMD empresarial vigilados, a más tardar 30 de Junio de 2025. El análisis debe ser socializado con el Director de Modelos Técnicos y/o Vicepresidente de Riesgos.&amp;nbsp;&amp;nbsp;Evidencia: Presentación en PPT con el análisis realizado.&amp;nbsp;Porcentaje: 27% Entregable 2: Desarrollar una propuesta metodológica para la inclusión de un componente prospectivo en la metodología actual de VMD Empresarial Vigilados. La propuesta deberá ser socializada a más tarde el 31 de Agosto de 2025, la propuesta deberá ser discutida en el Comité SIAR.&amp;nbsp;Evidencia: Presentación de la propuesta al Comité SIAR&amp;nbsp;Porcentaje: 27% Entregable 3: Actualizar la documentación relacionada a la estimación del VMD empresarial Vigilados para integrar el componente prospectivo en la metodología de estimación del VMD Empresarial Vigilados. La documentación debe ser actualizada antes del 30 de Septiembre de 2025. Los documentos deberán estar publicados en Isolución.&amp;nbsp;Evidencia: Documentación con el ajuste realizado&amp;nbsp;Porcentaje: 27% Entregable 4: Diseñar códigos de ejecución para la implementación del componente prospectivo en la estimación del VMD empresarial Vigilados. Los códigos deberán ser actualizados antes del 30 de septiembre de 2025.&amp;nbsp;&amp;nbsp;Evidencia: Instructivo donde se especifique la ejecución del componente prospectivo&amp;nbsp;Porcentaje: 20%&amp;nbsp;&amp;nbsp;&amp;nbsp;&amp;nbsp;&amp;nbsp;&amp;nbsp;&amp;nbsp;&amp;nbsp;&amp;nbsp;&amp;nbsp;&amp;nbsp;&amp;nbsp;&amp;nbsp;&amp;nbsp;&amp;nbsp;&amp;nbsp;&amp;nbsp;&amp;nbsp;&amp;nbsp;Indicador de medición: Suma de porcentaje de cumplimiento de los entregables</t>
  </si>
  <si>
    <t>Realizar una ruta de aprendizaje de Microsoft Learn para aprender a utilizar los servicios en la nube de Azure enfocados en Ciencia de Datos, Machine Learning o IA. Esta ruta de aprendizaje debe realizarse antes de 30 de septiembre y se debe presentar el certificado generado por la pagina.La ruta que aprendizaje que realizaré es https://learn.microsoft.com/es-es/training/paths/explore-azure-machine-learning-workspace/</t>
  </si>
  <si>
    <t>Participar en el Proyecto Modelo de Gobierno de Datos, con la transferencia de conocimiento y el acompañamiento en la aplicación de pruebas para la migración del segundo caso de uso sobre el proceso del cálculo de reservas en la nube Azure. Dicha acompañamiento&amp;nbsp;se debe ajustar al cronograma del contratista DataKnow y debera realizarse antes del 30 de noviembre. Esté objetivo se alinea con el "IT015: Modelo de Gobierno de Datos" del PETI.&amp;nbsp;&amp;nbsp;&amp;nbsp;&amp;nbsp;&amp;nbsp;&amp;nbsp;&amp;nbsp;&amp;nbsp;&amp;nbsp;&amp;nbsp;&amp;nbsp;&amp;nbsp;&amp;nbsp;&amp;nbsp;&amp;nbsp;&amp;nbsp;&amp;nbsp;&amp;nbsp;&amp;nbsp;&amp;nbsp;&amp;nbsp;&amp;nbsp;&amp;nbsp;&amp;nbsp;&amp;nbsp;&amp;nbsp;&amp;nbsp;&amp;nbsp;&amp;nbsp;&amp;nbsp;&amp;nbsp;&amp;nbsp;&amp;nbsp;&amp;nbsp;&amp;nbsp;&amp;nbsp;&amp;nbsp;&amp;nbsp;Entregable 1: Realizar el entendimiento con el proveedor del proceso de reservas y la ejecución de los códigos. Las reuniones realizadas debe quedar como evidencia y se realizara grabación de las sesiones y se dejara como entregable. Este entendimiento debe realizarse a más tardar el 31 de Agosto de 2025.&amp;nbsp;Evidencia: Grabación de la sesiones.&amp;nbsp;Porcentaje: 53% Entregable 2: Verificar la funcionalidad de la migración realizada por el proveedor en la nube con un set de pruebas acordado entre el proveedor y el FNG. El set de pruebas y la verificación deberá ser presentada antes del 30 de Noviembre de 2025.&amp;nbsp;Evidencia: Set de pruebas&amp;nbsp;&amp;nbsp;Porcentaje: 47%&amp;nbsp;&amp;nbsp;&amp;nbsp;&amp;nbsp;&amp;nbsp;&amp;nbsp;&amp;nbsp;&amp;nbsp;&amp;nbsp;&amp;nbsp;&amp;nbsp;&amp;nbsp;&amp;nbsp;&amp;nbsp;&amp;nbsp;&amp;nbsp;&amp;nbsp;&amp;nbsp;&amp;nbsp;Indicador de medición: Suma de porcentaje de cumplimiento de los entregables</t>
  </si>
  <si>
    <t xml:space="preserve"> Ajuste metodología actual de muestro</t>
  </si>
  <si>
    <t>Rediseñar, antes del 30 de octubre de 2025, la metodología actual de muestreo periódico. La metodología debe ser presentada al Comité SIAR y socializada con las áreas involucradas.&amp;nbsp;&amp;nbsp;&amp;nbsp;&amp;nbsp;&amp;nbsp;&amp;nbsp;&amp;nbsp;&amp;nbsp;&amp;nbsp;&amp;nbsp;&amp;nbsp;&amp;nbsp;&amp;nbsp;&amp;nbsp;&amp;nbsp;&amp;nbsp;&amp;nbsp;&amp;nbsp;&amp;nbsp;&amp;nbsp;&amp;nbsp;&amp;nbsp;&amp;nbsp;&amp;nbsp;&amp;nbsp;&amp;nbsp;&amp;nbsp;&amp;nbsp;&amp;nbsp;&amp;nbsp;&amp;nbsp;&amp;nbsp;&amp;nbsp;&amp;nbsp;&amp;nbsp;&amp;nbsp;&amp;nbsp;&amp;nbsp;Entregable 1: Revisar conjuntamente con el equipo de vinculación, aseguramiento y calidad la propuesta de rediseño de la metodología a más tardar el 31 de julio de 2025 y como evidencia se registrará un acta de la sesión.&amp;nbsp;Evidencia: acta de la sesión.&amp;nbsp;Porcentaje: 50% Entregable 2: Presentar la versión final de la metodología del modelo de muestreo periódico a más tardar el 30 de octubre al comité SIAR.&amp;nbsp;Evidencia: Presentación de la propuesta al Vicepresidente de Riesgos - Comité SIAR&amp;nbsp;Porcentaje: 50%&amp;nbsp;&amp;nbsp;&amp;nbsp;&amp;nbsp;&amp;nbsp;&amp;nbsp;&amp;nbsp;&amp;nbsp;&amp;nbsp;&amp;nbsp;&amp;nbsp;&amp;nbsp;&amp;nbsp;&amp;nbsp;&amp;nbsp;&amp;nbsp;&amp;nbsp;&amp;nbsp;&amp;nbsp;&amp;nbsp;&amp;nbsp;Indicador de medición: Suma de porcentaje de cumplimiento de los entregables</t>
  </si>
  <si>
    <t>Director de Microfinanzas y Programas Especiales</t>
  </si>
  <si>
    <t>Fortalecimiento de Alianzas interinstitucionales</t>
  </si>
  <si>
    <t>Definir planes de trabajo con gremios, entidades publico/privadas y organizaciones sociales que contribuyan a la movilización de  garantías destinadas para las actividades agropecuarias y agroindustriales</t>
  </si>
  <si>
    <t>Consolidar el programa de educación económica y financiera "Garantiza tu Futuro"</t>
  </si>
  <si>
    <t>1013611049</t>
  </si>
  <si>
    <t>Jose Dario Hernandez Caro</t>
  </si>
  <si>
    <t>Gerente de Cuenta Dirección Genera Bogotá - Oriente</t>
  </si>
  <si>
    <t xml:space="preserve">Visitas área </t>
  </si>
  <si>
    <t>Realizar&amp;nbsp;576 visitas a contactos de Direcciones Generales de la subdirección desde el 01 de Enero de 2025 hasta el 31 de Diciembre del 2025.   Tabla Equitativa Mínimo el 80%. Realizar 576 visitas o más obtendrá un puntaje de 100. Mínimo 461 visitas, realizar menos de 461 visitas obtendrá un puntaje de 0. Se medirá de acuerdo a la tabla equitativa: donde al sacar un puntaje del 80% el puntaje será 80% y así hasta llegar a 100%.   Evidencia: Correo electrónico de la analista de datos de la dirección de estrategia  Portafolio: El portafolio asignado y distribución del presupuesto para cada subdirección comercial de la Dirección General estará aprobado previamente por el Director Comercial a través de correo electrónico. La evidencia se encuentra en la ruta P:\Objetivos</t>
  </si>
  <si>
    <t>Cumplimiento movilización</t>
  </si>
  <si>
    <t>Lograr al 31 de Diciembre de 2025 un cumplimiento del presupuesto de movilización sobre el 101% de ejecución correspondiente al presupuesto asignado del 1ro de Enero de 2025 al 31 de Diciembre de 2025.  Calificación proporcional Calificación proporcional mínima 85% Lograr un cumplimiento del 101% o mas permitirá obtener un puntaje del 100%. Un resultado inferior al 85% resultará en un puntaje de 0%.  Formula: (Vr.obtenido - Vr. minimo)/(Vr.maximo-Vr. minimoo)*100 La calificacion se mide con tabla proporcional.  Portafolio: El portafolio asignado y distribución del presupuesto para cada subdirección comercial de la Dirección General estará aprobado previamente por el Director Comercial a través de correo electrónico. La evidencia se encuentra en la ruta P:\Objetivos.</t>
  </si>
  <si>
    <t>Capacitación novaciones</t>
  </si>
  <si>
    <t>Realizar capacitación de novaciones y prórrogas al 50% de los intermediarios financieros asignados con presupuesto entre el 01 de Enero de 2025 hasta el 31 de Diciembre del 2025.  Mínimo el 50%. Realizar el 50% de las capacitaciones o más obtendrá un puntaje de 100. Mínimo capacitar al 50% de los intermediarios, realizar menos del 50% obtendrá un puntaje de 0. Se medirá de acuerdo a la tabla equitativa: donde al sacar un puntaje del 50% el puntaje será 50% y así hasta llegar a 100%.   Evidencia: Evidencia: Plan de cuenta de CRM con asunto Capacitación Novaciones y prórrogas, herramientas de normalización o similares. Correo electrónico de la analista de datos de la dirección&amp;nbsp;de&amp;nbsp;estrategia.  Portafolio: El portafolio asignado y distribución del presupuesto para cada subdirección comercial de la Dirección General estará aprobado previamente por el Director Comercial a través de correo electrónico. La evidencia se encuentra en la ruta P:\Objetivos.</t>
  </si>
  <si>
    <t>Número de créditos garantizados</t>
  </si>
  <si>
    <t>Lograr al 31 de Diciembre de 2025 un total de 800.000 en número de créditos garantizados, durante el periodo comprendido entre el 01 de Enero de 2025 hasta el 31 de Diciembre&amp;nbsp;del&amp;nbsp;2025.Calificación EquitativaMínimo 725.000.Realizar 800.000 créditos garantizados o más obtendrá un puntaje de 100%.Mínimo 725.000 créditos garantizados, realizar menos de 725.000 créditos garantizados obtendrá un puntaje de 0.Se medirá de acuerdo a la tabla equitativa: donde al sacar un puntaje del 91% el puntaje será 91% y así hasta llegar a 100%.Evidencia: Correo electrónico de la analista de datos de la dirección de estrategia en la ruta&amp;nbsp;P:\Objetivos</t>
  </si>
  <si>
    <t>Visitas DG</t>
  </si>
  <si>
    <t>Realizar 216 visitas a contactos de Direcciones Generales de los intermediarios financieros asignados en el portafolio, durante el periodo comprendido entre el 01 de Enero de 2025 y el 31 de Diciembre de 2025.  Calificación Equitativa Mínimo el 80%.  Realizar 216 visitas o más obtendrá un puntaje de 100%.  Mínimo 173 visitas, realizar menos de 173&amp;nbsp;visitas obtendrá un puntaje de 0.  Se medirá de acuerdo a la tabla equitativa: donde al sacar un puntaje del 80% el puntaje será 80% y así hasta llegar a 100%.  Evidencia: Correo electrónico de la analista de datos de la dirección de estrategia  Portafolio: El portafolio asignado y distribución del presupuesto para cada subdirección comercial de la Dirección General estará aprobado previamente por el Director Comercial a través de correo electrónico. La evidencia se encuentra en la ruta P:\Objetivos. &amp;nbsp;&amp;nbsp;&amp;nbsp;&amp;nbsp;</t>
  </si>
  <si>
    <t>11225825</t>
  </si>
  <si>
    <t>Jose Manuel Fierro Sanchez</t>
  </si>
  <si>
    <t>Profesional de Soluciones Tecnológicas</t>
  </si>
  <si>
    <t>Flujograma de integración de canales de WhatsApp y Chatbot fase III</t>
  </si>
  <si>
    <t>Evaluación de Capacitación y Conocimiento.</t>
  </si>
  <si>
    <t>Actualización de la estructura organizacional de los usuarios en CRM.</t>
  </si>
  <si>
    <t>Implementación del canal seguro o SFTP y Estructura de Carpetas para IF</t>
  </si>
  <si>
    <t>Descripción: Implementar el canal SFTP y configurar las carpetas de circularización e inspección para los Intermediarios Financieros (IF) que movilizan con la base de estrategia entregada el 06 de junio de 2025  Nota: Canal seguro o SFTP: canal para transferencia de información de manera rápida y segura.Frecuencia del monitoreo:&amp;nbsp;Mensual Indicador o formula con la que se va a realizar la medición: Mayor a 80 IF con SFTP y carpetas configuradas, la calificación será del 100%  Entre 79 IF y 70 IF con SFTP y carpetas configuradas, la calificación será del 80%  Inferior a 70 IF con SFTP y carpetas configuradas, la calificación será de 0%.Fecha inicio-fin dd/mm/aa:&amp;nbsp;2/06/2025 al 31/12/2025.Entregables: Reporte mensual de IF migrados con evidencia de la implementación de las carpetas de circularización e inspección, presentadas y aprobados dentro de los diez (10) días hábiles siguientes al cierre de cada mes mediante correo electrónico enviado a la directora y/o subdirectora del área.</t>
  </si>
  <si>
    <t>79989261</t>
  </si>
  <si>
    <t>Jose Martin Romero Cabezas</t>
  </si>
  <si>
    <t>Profesional Senior de Gestión Documental</t>
  </si>
  <si>
    <t>Tabla de Retención Documental</t>
  </si>
  <si>
    <t>Realizar a 31 de diciembre realizar la actualización de las Tablas de Retención Documental.  Q3: Revisión de las TRD con cada unidad administrativa del FNG. 60%  Q4: Tablas de Retención Documental, memoria descriptiva y soportes revisados por la Subdirectora de Gestión Administrativa y listos para ser radicados en el Archivo General de la Nación para convalidación. 40%</t>
  </si>
  <si>
    <t>Creación y planeación de formatos</t>
  </si>
  <si>
    <t>A 31 de octubre se deberá tener informe con las mejoras a implementar para la creación y planeación de formatos. 70%  Q4: Al 31 de octubre informe con la revisión del proceso para la creación y planeación de formatos que se encuentra en el Manual para la gestion de la información documentada en el FNG aprobado por la Subdirectora de Gestión Administrativa. 30%</t>
  </si>
  <si>
    <t>Automatización de flujos de tramité de la Subdirección de Gestión Administrativa</t>
  </si>
  <si>
    <t>Diseñar los trámites de servicios ofrecidos por la Subidrección de Gestión Administrativa con fin facilitar la gestión de los mismos:Q2: Flujo para solicitud de alquiler de espacios para eventos del FNG (Incluye servicios Generales). Peso 30%Q3: Flujo para solicitud de compra de alimentos para eventos del FNG.&amp;nbsp;Peso 30%Q4: Flujo para uso correcto de mercurio: 3 videos para facilitar el uso de Mercurio (memorando electrónico, consultas y reportes, elaboración flujos de pago).&amp;nbsp;Peso 40%</t>
  </si>
  <si>
    <t>Sensibilización Archivística - flujo pagos</t>
  </si>
  <si>
    <t>Realizar a 31 de agosto sensibilización respecto de la completitud de los expedientes contractuales.  Realizar una sensibilización para abarcar la completitud de los expedientes contractuales con el fin de que contengan tanto la parte correspondiente al contrato como los pagos ejecutados en el desarrollo del mismo. Se debe incluir la estructura para nombrar los archivos, en todas las etapas de los flujos de pago.</t>
  </si>
  <si>
    <t>Ejecutar para 2025 el Plan Anual de Adquisiciones aprobado para la Dirección de Felicidad.&amp;nbsp; Su evaluación será proporcional al numero de procesos aprobados y contratados para la vigencia, de acuerdo con el PAA aprobado por el Comité Institucional de Gestión y Desempeño. La evaluación iniciará a partir del Q2.&amp;nbsp;</t>
  </si>
  <si>
    <t>Lograr a 31-12-2025 el cumplimiento del 100% de los&amp;nbsp;planes del Decreto 612-2018, relacionados con la Dirección de Felicidad, los cuales son monitoreados por el Comité Institucional de Gestión y Desempeño.  Plan Estrategico de Gestión Humana: peso 10%  Plan de Capacitación: peso 20% Plan de Bienestar :peso 20% Plan de Seguridad y Salud en el Trabajo: peso 20% Plan de Gestión Ambiental 10% Plan Institucional de Archivo 20%</t>
  </si>
  <si>
    <t>80420725</t>
  </si>
  <si>
    <t>Jose Omar Buitrago Morales</t>
  </si>
  <si>
    <t>Conductor</t>
  </si>
  <si>
    <t>Desplazamientos Presidente</t>
  </si>
  <si>
    <t>No rodamiento vehículo en fines de semana</t>
  </si>
  <si>
    <t>Control del vehículo</t>
  </si>
  <si>
    <t>Mantenimiento del Vehículo</t>
  </si>
  <si>
    <t>93374068</t>
  </si>
  <si>
    <t>Juan Carlos Rodriguez Perdomo</t>
  </si>
  <si>
    <t>Gestión de proyectos de la hoja de ruta PETI_IT013</t>
  </si>
  <si>
    <t>Durante el 2025 ejecutar el rol de "Gerente de proyecto" de las iniciativas y proyectos de la hoja ruta PETI&amp;nbsp;IT013_Actualización técnica del sistema SAP ERPEntregables:Q1: 50 % Informe de cutover IT013 EHP8 PRD; Documentación aprobación IT013 RFC EHP8 PRD;&amp;nbsp;Material de presentación ppt Go-live IT013 EHP8 PRDQ2: 50% Documento de recomendaciones técnicas IT013 consultoría AYESA</t>
  </si>
  <si>
    <t>Gestión de proyectos de la hoja de ruta PETI_IT005</t>
  </si>
  <si>
    <t>Durante el 2025 ejecutar el rol de "Gerente de proyecto" de las iniciativas y proyectos de la hoja ruta PETI&amp;nbsp;IT005_Piloto de Motor de gestión productos y servicios de garantíasEntregables:Q3: 50% Plan de gestión proyecto IT005 Piloto del motor de gestión productos de garantíasQ4: 50% Conclusiones y recomendaciones mapa ruta y caso de negocio proyecto IT005 Piloto del motor de gestión productos de garantías</t>
  </si>
  <si>
    <t>Fortalecimiento de las capacidades de innovación en el FNG</t>
  </si>
  <si>
    <t>Durante el 2025 proponer esquema (estrategia, gobierno y modelo) base de innovación que apalanque los procesos de innovación del FNG.IT034_InnovalabEntregables:Q3: 50%&amp;nbsp;propuesta IT034 de modelo, gobierno, estrategia de innovaciónQ4: 50 % Informe de avance IT034 del programa Innovalab</t>
  </si>
  <si>
    <t>Durante el 2025 realizar la actualización de la versión del Manual de gestión de proyectos de IT.&amp;nbsp;Dirección PTDIEntregables:Q3: 50% Templates de artefactos PGP, mapa stakeholders y PMR, Cargue y codificación templates de artefactos de PGP, mapa stakeholders y PMRQ4: 50% Manual de Gestión de proyectos de TI actualizado, con artefactos PGP, mapa stakeholders y PMR</t>
  </si>
  <si>
    <t>Aseguramiento de calidad de gestión de proyectos, de los proyectos de la hoja de ruta PETI_IT030</t>
  </si>
  <si>
    <t>Durante el 2025 realizar la mentoría y aseguramiento de calidad de gestión de proyectos, de&amp;nbsp;los proyectos de la hoja de ruta PETI&amp;nbsp;&amp;nbsp;IT030_Rediseño y optimización de procesos R&amp;amp;REntregables:Q4: 100% Informe PMR de revisión del proyecto IT030. Incluye conclusiones y recomendaciones&amp;nbsp;</t>
  </si>
  <si>
    <t>Gestión de proyectos de la hoja de ruta PETI_IT026</t>
  </si>
  <si>
    <t>Durante el 2025 ejecutar el rol de "Gerente de proyecto" de las iniciativas y proyectos de la hoja ruta PETI&amp;nbsp;IT026_Ejecución SAP Clean Core / Remedial aplicativos funcionalesEntregables:Q3: 50% Plan de gestión de proyecto IT026; Informe de avance proyecto IT026Q4: 50% Informe de avance proyecto IT026</t>
  </si>
  <si>
    <t>79295762</t>
  </si>
  <si>
    <t>Juan Carlos Romero Angel</t>
  </si>
  <si>
    <t>Director de Estrategia Comercial</t>
  </si>
  <si>
    <t>Diseñar e implementar durante el año 2025 una estrategia integral orientada a fortalecer el relacionamiento con el ecosistema Fintech, con el propósito de incrementar la movilización de la originada por estas entidades originadoras de crédito.</t>
  </si>
  <si>
    <t>Capacitar operativamente, durante el año 2025, al 90% de los intermediarios financieros vinculados de forma exclusiva al producto "Garantía Global" e intermediarios vinculados para productos tradicionales durante 2025 que hayan alcanzado la condición de formalizados al corte del 30 de noviembre de 2025.</t>
  </si>
  <si>
    <t>Diseñar e implementar durante el año 2025 una estrategia integral orientada a incrementar la movilización del producto "Garantía Global".</t>
  </si>
  <si>
    <t>Director de de Estructuración e Innovación de Productos y Gestión Empresarial</t>
  </si>
  <si>
    <t>Profundización y análisis de calidad del portafolio de productos de garantía</t>
  </si>
  <si>
    <t>Estructuración del modelo de costeo de productos</t>
  </si>
  <si>
    <t>Fortalecimiento metodológico para el diseño y rediseño de productos de garantía</t>
  </si>
  <si>
    <t>Promoción y gestión servicios de consultoría empresarial</t>
  </si>
  <si>
    <t>Diseño en etapa inicial producto de subasta inversa de garantía</t>
  </si>
  <si>
    <t>1108832649</t>
  </si>
  <si>
    <t>Juan David Oviedo Garcia</t>
  </si>
  <si>
    <t>En el 4Q de 2025 Dictar y evaluar el módulo avanzado de la Universidad de la GarantíaINDICADOR: Cumple / No cumpleENTREGABLES / EVIDENCIA: Listado de asistencia y encuestas ubicadas en la Ruta:P:\Objetivos\2025\Dirección de Operaciones\Juan David Oviedo Garcia</t>
  </si>
  <si>
    <t>Historias de usuario</t>
  </si>
  <si>
    <t>A 30/06/2025 Elaborar y radicar historia de usuario (HU) para que permita cargar codeudores en forma masiva para el proceso 9 - Sin demanda Judicial para los producto de Preferente.A 30/09/2025 Elaborar y radicar historia de usuario (HU) para que en la tx ZCML02_1 - Asignación liquidaciones- se permita marcar o desmarcar de manera masiva las garantías.&amp;nbsp;A 31/12/2025 Elaborar y radicar historia de usuario (HU) para&amp;nbsp;crear una opción en SAP mediante plantilla que permita el rechazo parcial o total de las garantías mediante las Tx ZCML001, ZCML001_1, ZCML001_4 y ZCML001_5Indicador: Cumple / No cumple.&amp;nbsp;Evidencia: Ticket con el caso - Historia de usuario radicada en el aplicativo Aranda.</t>
  </si>
  <si>
    <t>Al 16 de junio del 2025 cursar y aprobar los cinco (5) módulos del curso de Inteligencia Artificial Generativa (IAGen): Fundamentos para la función pública de América Latina y el Caribe - Edición Colombia (BID).&amp;nbsp;Indicador: Cumple 100% / No cumple 0%&amp;nbsp;&amp;nbsp;Evidencia: Certificados de aprobación en la ruta P:\Objetivos\2025\Dirección de Operaciones\Juan David Oviedo Garcia</t>
  </si>
  <si>
    <t>Unificación Anexo 14 y Anexo 21</t>
  </si>
  <si>
    <t>Alertas automáticas - Reclamaciones pendientes</t>
  </si>
  <si>
    <t>A 31/12/2025 Configurar alertas automáticas dentro de SAP que notifiquen al equipo de reclamaciones sobre liquidaciones que estén cerca de su fecha límite o que necesiten atención urgente.Indicador: Cumple / No cumple.Evidencia: Alertas funcionandoENTREGABLES / EVIDENCIA: Listado de asistencia y encuestas ubicadas en la Ruta:P:\Objetivos\2025\Dirección de Operaciones\Juan David Oviedo Garcia</t>
  </si>
  <si>
    <t>79956044</t>
  </si>
  <si>
    <t>Juan David Parada Tovar</t>
  </si>
  <si>
    <t>Profesional de Gestión Contractual</t>
  </si>
  <si>
    <t>Objetivo:Lograr a&amp;nbsp;31 de diciembre de 2025,&amp;nbsp;como mínimo el 95% de cumplimiento efectivo en los tiempos de perfeccionamiento contractual a su cargo, conforme al Acuerdo de Nivel de Servicio (ANS), definidos para cada modalidad de contratación, considerando los contratos suscritos hasta&amp;nbsp;el 19 de diciembre de 2025.Se obtendrá un 100% del cumplimiento del indicador si se cumplen las actividades mínimo al 95%. Se obtendrá calificación a partir del 85% de la meta: donde 84,9% da cero puntos y proporcional entre el 85% y 95%.&amp;nbsp;Fórmula:Sumatoria de los % de cumplimiento de los tiempos de perfeccionamiento contractual/ número total de contratos asignados perfeccionados en el periodo )*100Entregables:1. Matriz de medición de tiempos de perfeccionamiento contractual&amp;nbsp;Enlace evidencia:smb://192.168.2.6/Publico/Objetivos/2025/Dirección de Contratación/Juan David Parada Tovar/03.&amp;nbsp;Efectividad en los tiempos de Perfeccionamiento contractual</t>
  </si>
  <si>
    <t>Objetivo:Lograr que a partir de 1 de agosto de 2025 se realice la revisión del 90% de los instrumentos contractuales para la adquisición de bienes y servicios exceptuados del manual de contratación “Core de Negocio” por parte de la Dirección de Contratación, en menores tiempos a los establecidos, así: 1) La revisión del documento de justificación se realizará en máximo en 24 horas corrientes siguientes a su radicación; 2) la revisión de la minuta de contrato u otrosí se realizará en máximo 48 horas corrientes a su radicación (con la completitud documental) por parte de las áreas usuarias.&amp;nbsp;&amp;nbsp;&amp;nbsp;&amp;nbsp;Sumatoria de las etapas por su peso. Por cada hora&amp;nbsp;de atraso en el cumplimiento de los entregables, se descontará un 5% del peso de cada entregable.Fórmula:(Número instrumentos contractuales revisados oportunamente / Número total de instrumentos asignados asignadas) × 100Entregables:1. Correo electrónico de asignación de instrumento contractual asignado.2. Correo electrónico Dirigido a la Directora y Subdirectora de Contratación en el que se remita la revisión realizada.3. Correo electronico dirigido al área usuaria remitiendo el instrumento contractual con la revisión realizada.Enlace evidencia:smb://192.168.2.6/Publico/Objetivos/2025/Dirección de Contratación/Juan David Parada Tovar/06. Propuesta de valor en los tiempos de respuesta en la revisión y elaboración de los instrumentos contractuales “core de negocio” exceptuados del manual de contratación</t>
  </si>
  <si>
    <t>Objetivo:Adelantar la verificación de los soportes de la ejecución contractual archivado en Mercurio y publicados en SECOP o TVEC, de acuerdo con la asignación de contratos vigentes a la fecha de cada corte (31 de mayo, 31 de julio, 30 de septiembre y 30 de noviembre de 2025) como resultado de la muestra aleatoria bimensual. Deberá documentar los requerimientos que deba impulsar para gestionar la completitud del expediente, tanto en MERCURIO, como su publicidad en SECOP II o TVEC; así como, el segumiento y la validación de completitud dirigido a cada supervisor de contrato.Se obtendrá un 100% del cumplimiento del indicador si se cumplen con la verificación de la totalidad de expedientes asignados de la muestra aleatoria. Se obtendrá calificación a partir del 90% de la meta: donde 89,9% da cero puntos y proporcional entre el 90% y 100%.Fórmula:(sumatoria del % de cumplimiento individual de cada contrato gestionado / Número total de contratos asignados de la muestra bimensual) × 100Entregables:1. Correo electrónico dirigido a la Supervisión del contrato y su equipo de apoyo, solicitando la completitud de los soportes de la ejecución contractual, el cargue en MERCURIO y su publicación en SECOP II o TVEC. o correo informando sobre la completutudo del expddiente verificado.2. Pantallazo de MERCURIO y SECOP II o TVEC en donde se evidencie el cargue de la información de acuerdo a cada corte.Enlace Evidencia:smb://192.168.2.6/Publico/Objetivos/2025/Dirección de Contratación/Juan David Parada Tovar/05. Gestión de los documentos que soportan la ejecución contractual para la vigencia 2025</t>
  </si>
  <si>
    <t>Objetivo:A 22 de diciembre de 2025, alcanzar el 95% del cumplimiento en la entrega de los expedientes contractuales a su cargo para su creación en el sistema de gestión documental de la entidad y publicación en la plataforma SECOP II o TVEC, de los contratos celebrados y legalizados, a 15 de diciembre de 2025.&amp;nbsp;Se obtendrá un 100% del cumplimiento del indicador si se cumplen las actividades mínimo al 95%. Se obtendrá calificación a partir del 85% de la meta: donde 84,9% da cero puntos y proporcional entre el 85% y 95%.&amp;nbsp;Fórmula:(número de expedientes publicados en SECOP II y entregados para archivo en el SGD de la entidad / número de contratos asignados que fueron celebrados y legalizados a 15 de diciembre de 2025)*100Entregables:1. Pantallazo de publicación en SECOP II de cada contrato&amp;nbsp;&amp;nbsp;2. Correo de respuesta del Archivo Cad en el que se identifique el ID de creación del expediente&amp;nbsp;enlace evidencia:smb://192.168.2.6/Publico/Objetivos/2025/Dirección de Contratación/Juan David Parada Tovar/07. Indicador de Gestión documental de expedientes&amp;nbsp;</t>
  </si>
  <si>
    <t>Objetivo:Lograr al&amp;nbsp;31 de diciembre de 2025, como minímo el&amp;nbsp;95% del cumplimiento efectivo en los tiempos a su cargo para la&amp;nbsp;&amp;nbsp;aprobación de las garantias constituidas a favor del FNG . Considerando los contratos o modificaciones contractuales suscritas hasta&amp;nbsp;el 19 de diciembre de 2025.Se obtendrá un 100% del cumplimiento del indicador si se cumplen las actividades mínimo al 95%. Se obtendrá calificación a partir del 85% de la meta: donde 84,9% da cero puntos y proporcional entre el 85% y 95%.&amp;nbsp;Fórmula: Sumatoria del % de cumplimiento individual de cada contrato / Total de garantías aprobadas en el periodo) *100&amp;nbsp;Entregables:1. Matriz de medición de tiempos de aprobación de garantías&amp;nbsp;enlace evidencia:smb://192.168.2.6/Publico/Objetivos/2025/Dirección de Contratación/Juan David Parada Tovar/04. Efectividad en la aprobación de garantias&amp;nbsp;</t>
  </si>
  <si>
    <t>Objetivo:Realizar como mínimo el cierre del 95% de los contratos finalizados y asignados entre el 01 de mayo de 2024 y&amp;nbsp;31 de agosto de 2025, mediante la suscripción de informes finales de supervisión y/o actas de liquidación. Para la medición del indicador se tendrá en cuenta las siguientes etapas:Etapa 1 (50%): A 31 de julio de 2025, realizar el cierre de los contratos finalizados y pendientes de liquidación o cierre a 31 de diciembre de 2024, mediante la elaboración y suscripción de informes finales de supervisión y/o actas de liquidación.Etapa 2 (50%): A 15 de diciembre de 2025, realizar el cierre de los contratos inalizados a asignados y 31 de agosto de 2025, mediante la elaboración y suscripción de informes finales de supervisión y/o actas de liquidación.&amp;nbsp;Se obtendrá un 100% del cumplimiento del indicador si se cumplen las actividades mínimo al 95%. Se obtendrá calificación a partir del 85% de la meta: donde 84,9% da cero puntos y proporcional entre el 85% y 95%.Fórmula:Para el cumplimiento de cada etapa:&amp;nbsp;(número de actas o informes realizados)/(número de actas o informes asignados)*100Para el resultado final:&amp;nbsp;(sumatoria de los % de cumplimiento de cada vigencia / 2)&amp;nbsp;Entregables:1. Actas de Liquidación y/o informes Finales de supervisión2.&amp;nbsp;&amp;nbsp;Pantallazo de Publicación del documento postcontractual&amp;nbsp;&amp;nbsp;en SECOP II y&amp;nbsp;&amp;nbsp;de archivo en mercurioEvidencia Enlace:smb://192.168.2.6/Publico/Objetivos/2025/Dirección de Contratación/Juan David Parada Tovar/01. Liquidación de Contratos 2024-2025</t>
  </si>
  <si>
    <t>Objetivo:A 20 de diciembre de 2025, gestionar el 95% de&amp;nbsp;&amp;nbsp;informes finales de supervisión y/o las actas de liquidación de contratos terminados entre el 1 de septiembre y el 30 de noviembre de 2025, que reporten la completitud de los pagos a la fecha de corte.&amp;nbsp;Se obtendrá un 100% del cumplimiento del indicador si se cumplen las actividades mínimo al 95%. Se obtendrá calificación a partir del 85% de la meta: donde 84,9% da cero puntos y proporcional entre el 85% y 95%.Fórmula:(número de actas o informes realizados)/(número de actas o informes asignados)*100Entregables:1. Correos electrónicos dirigidos a la Supervisión del contrato y equipo de apoyo para adelantar la liquidación y/o informe final&amp;nbsp;enlace evidencia:smb://192.168.2.6/Publico/Objetivos/2025/Dirección de Contratación/Juan David Parada Tovar/02. Gestión Postcontractual de Contratos Terminados entre el 01 de septiembre y 30 de noviembre de 2025</t>
  </si>
  <si>
    <t>1010197797</t>
  </si>
  <si>
    <t>Juan David Rubio Galindo</t>
  </si>
  <si>
    <t>Desarrollo visualización de informes Power BI</t>
  </si>
  <si>
    <t>Implementación de dashboard en Power BI que permita visualizar información actualizada del área de inversiones, con el fin de facilitar la generación de reportes y el análisis eficiente de los datos para la toma de decisiones estratégicas.Entregables:*Correo enviado al Director de Inversiones antes del 31 de agosto de 2025: 50%Presentación Power BI con Informe semanal.&amp;nbsp;&amp;nbsp;*Correo enviado al Director de Inversiones antes del 30 de Noviembre de 2025: 50%Presentación Power BI con Informe de Comité de Inversiones de Junta Directiva.&amp;nbsp;Evidencias: P:\Objetivos\2025\Dirección de Inversiones\Juan David Rubio Galindo</t>
  </si>
  <si>
    <t>A 31 diciembre de 2025 lograr como mínimo el cumplimiento del 90% de las acciones formuladas durante la vigencia en los planes de acción y mejoramiento relacionados con las auditorias realizadas por la OCI, SFC, Revisoría Fiscal y CGR en las actividades relacionadas con la Dirección de Inversiones.Entregables:*Correo electrónico enviado a el VP Financiero máximo 31 de Diciembre en el cual se informe a la Oficina de control Interno - OCI el cumplimiento de la acción, la modificación de fecha o entregable acordado, a estos correos deben adjuntarse los soporte de evidencias que correspondan en cada caso.Evidencias: P:\Objetivos\2025\Dirección de Inversiones\Juan David Rubio Galindo</t>
  </si>
  <si>
    <t>Operaciones de Mercado Monetario Simultánea Activa</t>
  </si>
  <si>
    <t>(PAI - Objetivo Estratégico 2. Asegurar la sostenibilidad financiera del FNG que contribuya con el crecimiento de la operación: Operación de mercado monetario)&amp;nbsp;&amp;nbsp;Implementar a 30 de Septiembre de&amp;nbsp;2025 en el aplicativo (Dialogo Producción) las simultáneas activas como una alternativa adicional para la gestión&amp;nbsp;de liquidez del Portafolio de Inversiones del FNG.Entregables:*Correo electrónico al Director de Inversiones con fecha 31 de Julio de 2025 que contenga el análisis preliminar y avance de pruebas integrales para la implementación en Dialogo Producción de las simultaneas activas.&amp;nbsp;Peso 50%&amp;nbsp;&amp;nbsp;&amp;nbsp;&amp;nbsp;&amp;nbsp;&amp;nbsp;&amp;nbsp;&amp;nbsp;&amp;nbsp;&amp;nbsp;&amp;nbsp;&amp;nbsp;&amp;nbsp;&amp;nbsp;&amp;nbsp;&amp;nbsp;&amp;nbsp;&amp;nbsp;&amp;nbsp;&amp;nbsp;&amp;nbsp;&amp;nbsp;&amp;nbsp;&amp;nbsp;&amp;nbsp;&amp;nbsp;&amp;nbsp;&amp;nbsp;&amp;nbsp;&amp;nbsp;&amp;nbsp;*Correo electrónico al Director de Inversiones con fecha 30 de Septiembre de 2025 que incluya la configuración realizada en Dialogo Producción de las simultaneas activas.&amp;nbsp;Peso 50%&amp;nbsp;Evidencias: P:\Objetivos\2025\Dirección de Inversiones\Juan David Rubio Galindo&amp;nbsp;&amp;nbsp;&amp;nbsp;</t>
  </si>
  <si>
    <t>Generar una utilidad del portafolio (PyG) para el año 2025 correspondiente a una tir del 8%Entregables:*Informe presentado al Comité Financiero en el mes de enero de 2026 y acta de esta sesiónEscala:&amp;gt;=8%&amp;nbsp;&amp;nbsp;&amp;nbsp;&amp;nbsp;&amp;nbsp;&amp;nbsp;&amp;nbsp;&amp;nbsp;&amp;nbsp;&amp;nbsp;&amp;nbsp;&amp;nbsp;&amp;nbsp;&amp;nbsp;&amp;nbsp;&amp;nbsp;&amp;nbsp;&amp;nbsp;&amp;nbsp;&amp;nbsp;&amp;nbsp;&amp;nbsp;&amp;nbsp;&amp;nbsp;&amp;nbsp;&amp;nbsp;&amp;nbsp;=100%&amp;gt;=7,5% y &amp;lt;8%&amp;nbsp;&amp;nbsp;&amp;nbsp;&amp;nbsp;&amp;nbsp;&amp;nbsp;&amp;nbsp;&amp;nbsp;&amp;nbsp;&amp;nbsp;=90%&amp;gt;=7,0% y &amp;lt;7,50%&amp;nbsp;&amp;nbsp;&amp;nbsp;&amp;nbsp;&amp;nbsp;&amp;nbsp;&amp;nbsp;&amp;nbsp;&amp;nbsp;&amp;nbsp;=80%&amp;gt;=6,50% y &amp;lt;7,00%&amp;nbsp;&amp;nbsp;&amp;nbsp;&amp;nbsp;&amp;nbsp;&amp;nbsp;&amp;nbsp;&amp;nbsp;=70%&amp;gt;=6,00% y &amp;lt;6,50%&amp;nbsp;&amp;nbsp;&amp;nbsp;&amp;nbsp;&amp;nbsp;&amp;nbsp;&amp;nbsp;&amp;nbsp;=60%&amp;gt;=5,50% y &amp;lt;6,00%&amp;nbsp;&amp;nbsp;&amp;nbsp;&amp;nbsp;&amp;nbsp;&amp;nbsp;&amp;nbsp;&amp;nbsp;=50%&amp;gt;=5,00% y &amp;lt;5,50%&amp;nbsp;&amp;nbsp;&amp;nbsp;&amp;nbsp;&amp;nbsp;&amp;nbsp;&amp;nbsp;&amp;nbsp;=40%&amp;gt;=4,50% y &amp;lt;5,00%&amp;nbsp;&amp;nbsp;&amp;nbsp;&amp;nbsp;&amp;nbsp;&amp;nbsp;&amp;nbsp;&amp;nbsp;=30%&amp;gt;=3,50% y &amp;lt;4,50%&amp;nbsp;&amp;nbsp;&amp;nbsp;&amp;nbsp;&amp;nbsp;&amp;nbsp;&amp;nbsp;&amp;nbsp;=20%&amp;gt;=3,0% y &amp;lt;3,50%&amp;nbsp;&amp;nbsp;&amp;nbsp;&amp;nbsp;&amp;nbsp;&amp;nbsp;&amp;nbsp;&amp;nbsp;&amp;nbsp;&amp;nbsp;&amp;nbsp;=10%&amp;lt;3&amp;nbsp;&amp;nbsp;&amp;nbsp;&amp;nbsp;&amp;nbsp;&amp;nbsp;&amp;nbsp;&amp;nbsp;&amp;nbsp;&amp;nbsp;&amp;nbsp;&amp;nbsp;&amp;nbsp;&amp;nbsp;&amp;nbsp;&amp;nbsp;&amp;nbsp;&amp;nbsp;&amp;nbsp;&amp;nbsp;&amp;nbsp;&amp;nbsp;&amp;nbsp;&amp;nbsp;&amp;nbsp;&amp;nbsp;&amp;nbsp;&amp;nbsp;&amp;nbsp;&amp;nbsp;&amp;nbsp;&amp;nbsp;&amp;nbsp;&amp;nbsp;&amp;nbsp;&amp;nbsp;&amp;nbsp;=0%Evidencias: P:\Objetivos\2025\Dirección de Inversiones\Juan David Rubio Galindo</t>
  </si>
  <si>
    <t>Actualización Documental Dirección de Inversiones</t>
  </si>
  <si>
    <t>Actualizar la base documental (Manuales, procedimientos, matrices, indicadores) que involucre a la Dirección de Inversiones (antes Dirección Financiera)Entregables:*Correo electrónico con informe de avance enviado al Director de Inversiones antes del 31 de julio, adjuntando listado de actualización documental. 50%*Correo electrónico con informe final de actualización enviado al Director de Inversiones antes del 31 de diciembre, adjuntando listado de actualización documental. 50%Evidencias: P:\Objetivos\2025\Dirección de Inversiones\Juan David Rubio Galindo</t>
  </si>
  <si>
    <t>1010196313</t>
  </si>
  <si>
    <t>Juan Pablo Reinoso Angel</t>
  </si>
  <si>
    <t>Descripción del ObjetivoLograr que a partir de 1 de agosto de 2025 se realice la revisión del 90% de los instrumentos contractuales para la adquisición de bienes y servicios exceptuados del manual de contratación “Core de Negocio” por parte de la Dirección de Contratación, en menores tiempos a los establecidos, así: 1) La revisión del documento de justificación se realizará en máximo en 24 horas corrientes siguientes a su radicación; 2) la revisión de la minuta de contrato u otrosí se realizará en máximo 48 horas corrientes a su radicación (con la completitud documental) por parte de las áreas usuarias.&amp;nbsp;&amp;nbsp;&amp;nbsp;Sumatoria de las etapas por su peso. Por cada hora de atraso en el cumplimiento de los entregables, se descontará un 5% del peso de cada entregable.Indicador o Formula con la que se va a Realizar la Medición.(Número instrumentos contractuales revisados oportunamente / Número total de instrumentos asignados asignadas) × 100Entregables&amp;nbsp;1. Correo electrónico de asignación de instrumento contractual asignado.2. Correo electrónico Dirigido a la Directora y Subdirectora de Contratación en el que se remita la revisión realizada.3. Correo electronico dirigido al área usuaria remitiendo el instrumento contractual con la revisión realizada.Ubicación de las EvidenciasP:\Objetivos\2025\Dirección de Contratación\Juan Pablo Reinoso Angel\6. Propuesta de valor en los tiempos de respuesta en la revisión y elaboración de los instrumentos contractuales “core de negocio” exceptuados del manual de contratación</t>
  </si>
  <si>
    <t>Descripción del ObjetivoA 22 de diciembre de 2025, alcanzar el 95% del cumplimiento en la entrega de los expedientes contractuales a su cargo para su creación en el sistema de gestión documental de la entidad y publicación en la plataforma SECOP II o TVEC, de los contratos celebrados y legalizados, a 15 de diciembre de 2025.&amp;nbsp;Se obtendrá un 100% del cumplimiento del indicador si se cumplen las actividades mínimo al 95%. Se obtendrá calificación a partir del 85% de la meta: donde 84,9% da cero puntos y proporcional entre el 85% y 95%.&amp;nbsp;Indicador o Formula con la que se va a Realizar la Medición.(número de expedientes publicados en SECOP II y entregados para archivo en el SGD de la entidad / número de contratos asignados que fueron celebrados y legalizados a 15 de diciembre de 2025)*100Entregables&amp;nbsp;1. Pantallazo de publicación en SECOP II de cada contrato&amp;nbsp;2. Correo de respuesta del Archivo Cad en el que se identifique el ID de creación del expediente&amp;nbsp;Ubicación de las EvidenciasP:\Objetivos\2025\Dirección de Contratación\Juan Pablo Reinoso Angel\7. Indicador de Gestión documental de expedientes</t>
  </si>
  <si>
    <t>Descripción del ObjetivoRealizar como mínimo el cierre del 95% de los contratos finalizados y asignados entre el 01 de mayo de 2024 y&amp;nbsp;31 de agosto de 2025, mediante la suscripción de informes finales de supervisión y/o actas de liquidación. Para la medición del indicador se tendrá en cuenta las siguientes etapas:Etapa 1 (50%): A 31 de julio de 2025, realizar el cierre de los contratos finalizados y pendientes de liquidación o cierre a 31 de diciembre de 2024, mediante la elaboración y suscripción de informes finales de supervisión y/o actas de liquidación.Etapa 2 (50%): A 15 de diciembre de 2025, realizar el cierre de los contratos inalizados a asignados y 31 de agosto de 2025, mediante la elaboración y suscripción de informes finales de supervisión y/o actas de liquidación.&amp;nbsp;Se obtendrá un 100% del cumplimiento del indicador si se cumplen las actividades mínimo al 95%. Se obtendrá calificación a partir del 85% de la meta: donde 84,9% da cero puntos y proporcional entre el 85% y 95%.Indicador o Formula con la que se va a Realizar la Medición.Para el cumplimiento de cada etapa:(número de actas o informes realizados)/(número de actas o informes asignados)*100Para el resultado final:(sumatoria de los % de cumplimiento de cada vigencia / 2)&amp;nbsp;Entregables&amp;nbsp;1. Actas de Liquidación y/o informes Finales de supervisión2.&amp;nbsp;Pantallazo de Publicación del documento postcontractual&amp;nbsp;en SECOP II y&amp;nbsp;de archivo en mercurioUbicación de las EvidenciasP:\Objetivos\2025\Dirección de Contratación\Juan Pablo Reinoso Angel\1. Liquidación de Contratos 2024-2025</t>
  </si>
  <si>
    <t>Descripción del ObjetivoLograr a 31 de diciembre de 2025, como mínimo el 95% de cumplimiento efectivo en los tiempos de perfeccionamiento contractual a su cargo, conforme al Acuerdo de Nivel de Servicio (ANS), definidos para cada modalidad de contratación, considerando los contratos suscritos hasta el 19 de diciembre de 2025.Se obtendrá un 100% del cumplimiento del indicador si se cumplen las actividades mínimo al 95%. Se obtendrá calificación a partir del 85% de la meta: donde 84,9% da cero puntos y proporcional entre el 85% y 95%.&amp;nbsp;Indicador o Formula con la que se va a Realizar la Medición.Sumatoria de los % de cumplimiento de los tiempos de perfeccionamiento contractual/ número total de contratos asignados perfeccionados en el periodo )*100Entregables&amp;nbsp;1. Matriz de medición de tiempos de perfeccionamiento contractual&amp;nbsp;Ubicación de las EvidenciasP:\Objetivos\2025\Dirección de Contratación\Juan Pablo Reinoso Angel\3.&amp;nbsp;Efectividad en los tiempos de Perfeccionamiento contractual</t>
  </si>
  <si>
    <t>Descripción del ObjetivoA 20 de diciembre de 2025, gestionar el 95% de&amp;nbsp;informes finales de supervisión y/o las actas de liquidación de contratos terminados entre el 1 de septiembre y el 30 de noviembre de 2025, que reporten la completitud de los pagos a la fecha de corte.Se obtendrá un 100% del cumplimiento del indicador si se cumplen las actividades mínimo al 95%. Se obtendrá calificación a partir del 85% de la meta: donde 84,9% da cero puntos y proporcional entre el 85% y 95%.Indicador o Formula con la que se va a Realizar la Medición.(número de actas o informes realizados)/(número de actas o informes asignados)*100Entregables&amp;nbsp;1. Correos electrónicos dirigidos a la Supervisión del contrato y equipo de apoyo para adelantar la liquidación y/o informe final&amp;nbsp;Ubicación de las EvidenciasP:\Objetivos\2025\Dirección de Contratación\Juan Pablo Reinoso Angel\2. Gestión Postcontractual de Contratos Terminados entre el 01 de septiembre y 30 de noviembre de 2025</t>
  </si>
  <si>
    <t>Descripción del ObjetivoLograr al 31 de diciembre de 2025, como minímo el 95% del cumplimiento efectivo en los tiempos a su cargo para la&amp;nbsp;aprobación de las garantias constituidas a favor del FNG . Considerando los contratos o modificaciones contractuales suscritas hasta el 19 de diciembre de 2025.Se obtendrá un 100% del cumplimiento del indicador si se cumplen las actividades mínimo al 95%. Se obtendrá calificación a partir del 85% de la meta: donde 84,9% da cero puntos y proporcional entre el 85% y 95%.&amp;nbsp;Indicador o Formula con la que se va a Realizar la Medición.Sumatoria del % de cumplimiento individual de cada contrato / Total de ganratías aprobadas en el periodo) *100&amp;nbsp;Entregables&amp;nbsp;1. Matriz de medición de tiempos de aprobación de garantias&amp;nbsp;Ubicación de las EvidenciasP:\Objetivos\2025\Dirección de Contratación\Juan Pablo Reinoso Angel\4.&amp;nbsp;Efectividad en la aprobación de garantias</t>
  </si>
  <si>
    <t>Descripción del ObjetivoAdelantar la verificación de los soportes de la ejecución contractual archivado en Mercurio y publicados en SECOP o TVEC, de acuerdo con la asignación de contratos vigentes a la fecha de cada corte (31 de mayo, 31 de julio, 30 de septiembre y 30 de noviembre de 2025) como resultado de la muestra aleatoria bimensual. Deberá documentar los requerimientos que deba impulsar para gestionar la completitud del expediente, tanto en MERCURIO, como su publicidad en SECOP II o TVEC; así como, el segumiento y la validación de completitud dirigido a cada supervisor de contrato.Se obtendrá un 100% del cumplimiento del indicador si se cumplen con la verificación de la totalidad de expedientes asignados de la muestra aleatoria. Se obtendrá calificación a partir del 90% de la meta: donde 89,9% da cero puntos y proporcional entre el 90% y 100%.Indicador o Formula con la que se va a Realizar la Medición.(sumatoria del % de cumplimiento individual de cada contrato gestionado / Número total de contratos asignados de la muestra bimensual) × 100Entregables&amp;nbsp;1. Correo electrónico dirigido a la Supervisión del contrato y su equipo de apoyo, solicitando la completitud de los soportes de la ejecución contractual, el cargue en MERCURIO y su publicación en SECOP II o TVEC. o correo informando sobre la completutudo del expddiente verificado.2. Pantallazo de MERCURIO y SECOP II o TVEC en donde se evidencie el cargue de la información de acuerdo a cada corte.Ubicación de las EvidenciasP:\Objetivos\2025\Dirección de Contratación\Juan Pablo Reinoso Angel\5. Gestión de los documentos que soportan la ejecución contractual para la vigencia 2025</t>
  </si>
  <si>
    <t>Subdirector de Comunicaciones y Mercadeo</t>
  </si>
  <si>
    <t>Descripción:Para el Q2, definir, implementar y ejecutar el plan de comunicaciones estratégicas que contribuyan a reforzar el posicionamiento del FNG, el cual debe incluir:- Plan de relacionamiento con medios- Plan de pauta en mediosMedición:Q2 (50%): plan de comunicaciones estratégicas aprobado que incluya plan de relacionamiento con medios y&amp;nbsp;plan de pauta en mediosQ4 (50%): informe de la implementación del planEntregables:Q2: presentar al VP ejecutivo, en reunión de avances del área, el plan de comunicaciones estratégicasQ4: enviar un informe al VP ejecutivo con las evidencias de la implementación del plan</t>
  </si>
  <si>
    <t>Descripción: Para el 2025, lograr una calificación de 9,45 en la encuesta de satisfacción de cliente interno, manteniendo el resultado obtenido en 2024Medición:Calificación del áreaQ4 (100%) Obtener una medición de 9,45 en la encuesta de satisfacción del cliente interno equivale al 100% de la calificación, 9,40 equivaldrá al 90%, 9,30 al 80% y 9,20 al 0%Entregables:Q4: resultado de la encuesta﻿</t>
  </si>
  <si>
    <t>Rediseño de la Intranet</t>
  </si>
  <si>
    <t>Descripción: Rediseñar la interfaz de la Intranet a 31 de julio de 2025&amp;nbsp;Medición: % de avance de las actividadesQ2 (50%) Presentar, en reunión de avances del área, el prototipo de rediseño de la Intranet al vicepresidente ejecutivo para su aprobación&amp;nbsp;Q3 (50%) Realizar la divulgación de la nueva interfaz de la Intranet en los canales internosEntregables:﻿Q2: Correo del vicepresidente ejecutivo dando su aprobación al rediseño de la Intranet.Q3: Informe que incluya:&amp;nbsp;- Evidencias del rediseño de la Intranet&amp;nbsp;- Evidencias de divulgación del rediseño de la Intranet en canales internos</t>
  </si>
  <si>
    <t>Descripción:Para la vigencia 2025, definir la estrategia de participación en eventos y asegurar su implementación. La estrategia debe incluir:&amp;nbsp;- Concepto creativo- Línea gráfica por audiencia- Estilo de diseño de stand&amp;nbsp;- Propuesta de esquema de divulgación en redes- Merchandising&amp;nbsp;- Activación de marcaMedición:Q2 (50%): presentación de la estrategiaQ4 (50%): informe final con resultados de la ejecución de la estrategiaEntregables:Q2: presentación de la estrategiaQ4:&amp;nbsp;informe final con resultados de la ejecución de la estrategia, presentado a la directora de Marca Institucional</t>
  </si>
  <si>
    <t>Descripción:Al cierre del Q4, realizar una investigación de posicionamiento de la marca, que permita generar contenidos para comunicaciones externas contribuyendo a fortalecer la imagen del FNG como facilitador de acceso al crédito, que contenga:&amp;nbsp;- Análisis del discurso de la competencia, clientes y potenciales clientes- Territorios de marca- Aspectos clave que debe contener la narrativa del FNG, con base en los resultados obtenidosMedición:Q3 (50): metodología de la investigación&amp;nbsp;Q4 (50%): resultados de la investigación&amp;nbsp;Entregables:Q3: correo de aprobación de la metodología por parte del VP EjecutivoQ4: presentación de los resultados de la investigación</t>
  </si>
  <si>
    <t>Descripción:A 31 de agosto proponer y ejecutar una estrategia que contenga acciones para reforzar los canales internos de comunicaciónMedición:Q3: (50%) presentación de la estrategia&amp;nbsp;Q4 (50%): ejecución de la estrategia&amp;nbsp;Entregables:Q3: correo enviado al jefe directo con la presentación de la estrategiaQ4: informe enviado por correo al jefe directo con las evidencias de la ejecución de la estrategia&amp;nbsp;</t>
  </si>
  <si>
    <t>Seriados audiovisuales</t>
  </si>
  <si>
    <t>Descripción:En la vigencia 2025 diseñar y ejecutar la realización de un seriado de mínimo 3 capítulos en el que se expliquen nuevos productos, programas especiales y servicios no financieros del FNGMedición:Actividades ejecutadasJulio (50%): plantear la idea, el concepto creativo y canales de emisión del seriadoOctubre (50%): publicación de tres capítulos de acuerdo con el plan de divulgación aprobadoEntregables:Julio: presentación con la idea de seriado aprobadaOctubre: correo enviado al jefe directo con el informe de publicación de los tres capítulos</t>
  </si>
  <si>
    <t>1018502151</t>
  </si>
  <si>
    <t>Juan Sebastian Londoño Azuero</t>
  </si>
  <si>
    <t>Profesional en Analisis del Negocio</t>
  </si>
  <si>
    <t>Descripción:Lograr a 31-12-2025 la puesta en producción del asistente de inteligencia artificial para la lectura de circulares u otro componente definido por la alta gerencia del FNG, asegurando el cumplimiento del 100% de los componentes relacionados a continuación&amp;nbsp;(Este objetivo se encuentra alineado con el objetivo estrategico 5.1. Consolidación de la Arquitectura Empresarial; Apuesta estratégica, Solución operativa usando tecnología de inteligencia artificial (IA chat bot)):• Catálogo documental del corpus de conocimiento (Listado de circulares, manuales y/o anexos): peso 30% - Entrega Q2• Arquitectura de despliegue y configuración de servicios en el LakeHouse: peso 40% - Entrega Q3• Integración del agente en la plataforma corporativa Microsoft Teams: peso 30% - Entrega Q4Indicador o Formula:Su evaluación será proporcional a la suma de los porcentajes relacionados a cada entregable completado a satisfacciónEntregables:Acta de recibido a satisfacción por parte del Director de planeación de los componentes de la apuesta de asistente IA para entrega en Q4.Ruta:﻿P:\Objetivos\2025\Dirección de Planeación</t>
  </si>
  <si>
    <t>Descripción:Lograr a 31 de diciembre de 2025, un tablero de control en Tableau que consolide las principales métricas e indicadores clave (KPIs) para el seguimiento estratégico de la movilización de garantías, permitiendo la visualización oportuna y centralizada de los datos relevantes que faciliten la toma de decisiones informadas por parte de las áreas responsables. (Este objetivo se encuentra alineado con el objetivo estratégico: 4. Evolucionar los sistemas de información y aplicaciones del FNG; Apuesta estratégica, Automatizaciones 5.0):•&amp;nbsp;Modelo visual del diseño del tablero: peso 45% - Entrega Q3• Tablero de control operativo implementado en Tableau: peso 55% - Entrega Q4Indicador o Formula:Su evaluación será proporcional a la suma de los porcentajes relacionados a cada entregable completado a satisfacciónEntregables:Informe de avance de las actividades relacionadas para entrega en Q3 y Q4 respectivamenteRuta:﻿P:\Objetivos\2025\Dirección de Planeación</t>
  </si>
  <si>
    <t>Descripción:Lograr a 31-12-2025 la integración del proceso SARG con la arquitectura Lakehouse, asegurando el cumplimiento del 100% de los componentes técnicos y funcionales definidos, los cuales se describen a continuación (Este objetivo se encuentra alineado con el objetivo estrategico 4.2. Proyectos de transformación digital e innovación; Apuesta estratégica, Gestión de proyectos estratégicos de innovación y transformación con base tecnológica (DIRECTRIZ)):• Diagnóstico de requerimientos del proceso SARG: peso 25% - Entrega Q3• Diseño de la arquitectura de integración con Lakehouse: peso 25% - Entrega Q3• Desarrollo y prueba del flujo de integración de datos: peso 25% - Entrega Q4• Validación y puesta en marcha del proceso integrado: peso 25% - Enetrega Q4Indicador o Formula:Su evaluación será proporcional a la suma de los porcentajes relacionados a cada entregable completado a satisfacciónEntregables:Informe de avance de las actividades relacionadas para entrega en Q3 y Q4 respectivamente, revisados y aprobados por el Director de Planeación Ubicación:﻿P:\Objetivos\2025\Dirección de Planeación</t>
  </si>
  <si>
    <t>Descripción:Lograr a 31-12-2025, el desarrollo del modulo descriptivo de recuperación de cartera mediante la construcción de un Tablero interactivo y un modelo analítico relacionado con la recuperación de cartera, asegurando el cumplimiento del 100% de los componentes técnicos, analíticos y operativos definidos a continuación (Este objetivo se encuentra alineado con el objetivo estratégico 2. Optimización Financiera; Apuesta estratégica, Diseño de estrategia de recuperación de cartera):• Tablero descriptivo: peso 50% - Entrega en Q3• Diseño metodológico del modelo analítico para cartera: peso 15% - Entrega en Q4• Socialización y recibo de retroalimentación por parte de las áreas responsables de recuperación de cartera: peso 10% - Entrega en Q4• Desarrollo del informe final y su viabilidad de aplicación en las estrategias de recuperación de cartera: peso 25% - Entrega Q4Indicador o Formula:Su evaluación será proporcional a la suma de los porcentajes relacionados a cada entregable completado a satisfacciónEntregable:Acta de recibido a satisfacción por parte del Director de planeación de los componentes de la apuesta de asistente IA para entrega en Q4.Ruta:P:\Objetivos\2025\Dirección de Planeación</t>
  </si>
  <si>
    <t>Descripción:Lograr a 31 de diciembre de 2025, un estudio integral sobre los clientes del FNG, utilizando las fuentes de información disponibles, con el fin de caracterizar sus principales atributos socio-demográficos y analizar su comportamiento en relación con el uso de las garantías. El estudio permitirá generar conocimiento útil para orientar decisiones estratégicas. (Este objetivo se encuentra alineado con el objetivo estratégico 2. Optimización Financiera; Apuesta estratégica, Fortalecimiento de modelo de proyección y planeación financiera, mediante herramienta tecnológica estructuración y visualización):•&amp;nbsp;Word con la propuesta metodológica aprobada por subdirector de arquitectura de datos: peso 35% - Entrega Q3• Informe sobre la caracterización histórica de los clientes y patrones: peso 40% - Entrega Q4• Hoja de ruta de los siguientes estudios: peso 25% - Entrega Q4Indicador o Formula:Su evaluación será proporcional a la suma de los porcentajes relacionados a cada entregable completado a satisfacciónEntregables:Informe de avance de las actividades relacionadas para entrega en Q3 y Q4 respectivamenteRuta:P:\Objetivos\2025\Dirección de Planeación</t>
  </si>
  <si>
    <t>Descripción:Presentar antes del 31 de diciembre una certificación oficial en alguna ruta de formación de Microsoft o Databricks, que fortalezca las capacidades técnicas internas del equipo y esté en concordancia con la infraestructura de datos que se está implementando (Este objetivo se encuentra alineado con el objetivo estratégico: 6.2. Cualificación del talento humano; Apuesta estratégica, Desarrollo de habilidades técnicas, blandas y digitales del talento humano para la transformación digital del FNG):• Evidencia del certificado: peso 100% - Entrega Q4Indicador o Formula:Cumple/No CumpleEntregables:Certificado o insignia expedido.Ruta:﻿P:\Objetivos\2025\Dirección de Planeación</t>
  </si>
  <si>
    <t>1032461867</t>
  </si>
  <si>
    <t>Juan Sebastian Manrique Dueñas</t>
  </si>
  <si>
    <t>Dirección de Cumplimiento</t>
  </si>
  <si>
    <t>Profesional Senior Gestión de Cumplimiento</t>
  </si>
  <si>
    <t>1013586929</t>
  </si>
  <si>
    <t>Yulieth Sofia Calderon Caicedo</t>
  </si>
  <si>
    <t>Programa de Transparencia y ética pública</t>
  </si>
  <si>
    <t>Implementar el PTEP del FNG de conformidad con el Decreto 1122 de 2024:1. Diseñar mecanismo de participación para la definición de la Declaración del Programa. Entregable: evidencia de socialización por boletín y resultados de la encuesta. Fecha límite 31 de mayo de 2025. Peso:40%2. Documentar la sección otras iniciativas del PTEP con eje en Personas Políticamente Expuestas. Entregable: Documento con la redacción de la sección. Fecha límite31 de&amp;nbsp;mayo de 2025. Peso:30%3. Elaboración de contenido para la difusión del PTEP, entregable evidencia de publicación en Boletín del FNG fecha limite 31 de mayo de 2025. Peso: 30%Nota: Para cada actividad se entiende un sobrecumplimiento cuando exista eficiencia operativa, en este caso se entenderá cuando la entrega de las actividades sea previa a la fecha límite establecida. La medición se debe realizar sobre el peso individual de cada actividad; en el cual, si el resultado de la actividad se entrega con (15) días de anticipación, se adicionará el 5% del porcentaje establecido inicialmente. Si el resultado de la actividad se entrega con (30) días de anticipación, se adicionará el 10% del porcentaje establecido inicialmente.</t>
  </si>
  <si>
    <t>Gestión FATCA - CRS</t>
  </si>
  <si>
    <t>Determinar los sujetos con responsabilidad tributaria internacional de acuerdo con las Resoluciones expedidas por la DIAN respecto de FATCA y CRS.1. Consolidar la información insumo para la determinación de los sujetos con responsabilidad tributaria internacional (FATCA y CRS) de la entidad correspondiente a la vigencia fiscal 2024.&amp;nbsp;Soporte: Archivo Excel consolidado de las respuestas remitido por correo electrónico al Director de Cumplimiento al 31 de julio de 2025 .Peso: 30%2. Elaborar el informe anual que relacione actividades y resultados en la aplicación del procedimiento PD-GCU-009 Debida diligencia FATCA y CRS, el cual debe remitirse al Director de Cumplimiento a más tardar el 31 de julio de 2025. Peso: 70%Nota: Para cada actividad se entiende un sobrecumplimiento cuando exista eficiencia operativa, en este caso se entenderá cuando la entrega de las actividades sea previa a la fecha límite establecida. La medición se debe realizar sobre el peso individual de cada actividad; en el cual, si el resultado de la actividad se entrega con (15) días de anticipación, se adicionará el 5% del porcentaje establecido inicialmente. Si el resultado de la actividad se entrega con (30) días de anticipación, se adicionará el 10% del porcentaje establecido inicialmente.</t>
  </si>
  <si>
    <t>GUIA ABC DE PREVENCIÓN Y CONTROL LA/FT/FPADM</t>
  </si>
  <si>
    <t>Implementación de un Manual de ruta para la aprehensión de Buenas Prácticas en Prevención y Control de Lavado de Activos para las Pymes e Intermediarios Financieros No Vigilados1.Gestionar las actividades asignadas en el cronograma de diseño de la guía LA/FT/FPADM. Para el Q2, Q3 y Q4 se debe remitir durante los primeros cinco días posterior al finalizar el trimestre a más tardar, un correo electrónico al Director de Cumplimiento en el cual relacione las actividades asignadas correspondiente a ese trimestre y el resultado de su implementación. (El peso por trimestre es Q2: 30%, Q3: 30% y Q4:40%&amp;nbsp;Peso: 60%2. Socializar con los áreas focalizadas de interés la guía la propuesta, consolidar las observaciones y ajustar el documento de acuerdo con la evaluación realizada. El entregable será el documento ajustado, el cual se debe remitir antes del 31 de diciembre de 2025. Peso: 40%Nota: Para cada actividad se entiende un sobrecumplimiento cuando exista eficiencia operativa, en este caso se entenderá cuando la entrega de las actividades sea previa a la fecha límite establecida. La medición se debe realizar sobre el peso individual de cada actividad; en el cual, si el resultado de la actividad se entrega con (15) días de anticipación, se adicionará el 5% del porcentaje establecido inicialmente. Si el resultado de la actividad se entrega con (30) días de anticipación, se adicionará el 10% del porcentaje establecido inicialmente.</t>
  </si>
  <si>
    <t>Desarrollar durante el año 2025 la actualización de la evaluación del perfil de riesgo LA/FT/PADM de acuerdo con la metodología relacionada en el Manual de Prevención y Control LAFTFPADM:1. Gestionar las actividades asignadas en el cronograma de actualización para la determinación del perfil de riesgo LA/FT/FPADM. Para el Q2, Q3 y Q4 se debe remitir durante los primeros cinco días posterior al finalizar el trimestre a más tardar, un correo electrónico al Director de Cumplimiento en el cual relacione las actividades asignadas correspondiente a ese trimestre y el resultado de su implementación. (El peso por trimestre es Q2: 30%, Q3: 30% y Q4:40%&amp;nbsp;Peso: 40%2. Actualizar el diseño de los indicadores de&amp;nbsp;seguimiento al riesgo LAFT FPADM. A más tardar el 5 de diciembre de 2025, para esto remitirá documento en formato Excel u otro con la relación de ajustes, justificación de cambios y tablero resultado de indicadores.&amp;nbsp;Peso: 20%3. Elaboración del informe del primer semestre de 2025 sobre la gestión del Modelo de Prevención y Control LAFT. Debe generar el informe de gestión semestral de cumplimiento proyectado para el primer semestre a más tardar el 05 de agosto de 2025&amp;nbsp;. Peso: 10%4, Diseñar y e ejecutar capacitación Riesgo - Causa - Control LA/FT/FPADM dirigida a las direcciones en la cual se ejecutan controles LA/FT/FPADM. Entregables: evidencias de asistencia de cada capacitación y copia ayuda didáctica (ejemplo presentación o video), estos soportes se deben remitir a mas tardar el 31 de mayo de 2025 Peso:30%.&amp;nbsp;&amp;nbsp;Nota: Para cada actividad se entiende un sobrecumplimiento cuando exista eficiencia operativa, en este caso se entenderá cuando la entrega de las actividades sea previa a la fecha límite establecida. La medición se debe realizar sobre el peso individual de cada actividad; en el cual, si el resultado de la actividad se entrega con (15) días de anticipación, se adicionará el 5% del porcentaje establecido inicialmente. Si el resultado de la actividad se entrega con (30) días de anticipación, se adicionará el 10% del porcentaje establecido inicialmente.</t>
  </si>
  <si>
    <t>Gestión del Conflicto de Interes</t>
  </si>
  <si>
    <t>Desarrollar durante el año 2025 las actividades para administrar&amp;nbsp;adecuadamente los casos de conflicto de interés revelados ante la Dirección de Cumplimiento. Su evaluación será de la siguiente manera:1. Elaborar el informe por cada caso de conflicto de interés reportado de acuerdo con las especificaciones del procedimiento PD-GCU-020 Gestión de conflicto de interés durante la vigencia 2025 (de los casos que se revelen al 30 de noviembre de 2025). Entregable Tablero de seguimiento de casos a más tardar el 15 diciembre de 2025. Peso:50%2. Gestionar la actualización anual de revelación de conflicto de interés de los funcionarios y colaboradores. A más tardar el 15 de diciembre de 2025 remite informe ejecutivo con los resultados de la revelación anual de conflicto de interés. Peso: 20%3. Diseñar la capacitación anual para conflicto de interés. Al 01 de noviembre 2025 remitirá herramienta educativa determinada (ejemplo, video, infografía, presentación, entre otros). Peso: 30%Nota: Para cada actividad se entiende un sobrecumplimiento cuando exista eficiencia operativa, en este caso se entenderá cuando la entrega de las actividades sea previa a la fecha límite establecida. La medición se debe realizar sobre el peso individual de cada actividad; en el cual, si el resultado de la actividad se entrega con (15) días de anticipación, se adicionará el 5% del porcentaje establecido inicialmente. Si el resultado de la actividad se entrega con (30) días de anticipación, se adicionará el 10% del porcentaje establecido inicialmente.</t>
  </si>
  <si>
    <t>Subdirector Regional Bogotá -  Centro</t>
  </si>
  <si>
    <t>Visitas a sucursales de Intermediarios Financieros de la Regional Bogotá-Centro</t>
  </si>
  <si>
    <t>Realizar 1.800 visitas a sucursales activas gestionables de Intermediarios Financieros del FNG en la Regional Bogotá-Centro durante el año 2025&amp;nbsp;(la cual comprende los departamentos de: Bogotá, Cundinamarca, Tolima, Huila, Caquetá, Meta, Guainía, Guaviare, Vaupés, Vichada y Amazonas). % Cumplimiento.Realizar 1.800 visitas o más obtendrá un puntaje de 100%, realizar menos de 1.620 visitas (equivalente al 90%) obtendrá un puntaje de 0%. Se medirá de acuerdo a la tabla equitativa: donde al sacar un puntaje del 90% el puntaje será 90%, y así hasta llegar al 100%</t>
  </si>
  <si>
    <t>Capacitacitaciones y/o visitas a gerentes de zona y/o gerentes regionales de Intermediarios Financieros de la Regional Bogotá-Centro</t>
  </si>
  <si>
    <t>Realizar 110 capacitaciones y/o visitas a regionales y/o zonales activos gestionables de Intermediarios Financieros del FNG en la regional Bogotá-Centro durante el año 2025, (la cual comprende los departamentos de: Bogotá, Cundinamarca, Tolima, Huila, Caquetá, Meta, Guainia, Guaviare, Vaupes, Vichada y Amazonas).% Cumplimiento. % Cumplimiento. Realizar 110 visitas y/o capacitaciones o más obtendrá un puntaje de 100%, realizar menos de 99 visitas y/o capacitaciones (equivalente al 90%) obtendrá un puntaje de 0%. Se medirá de acuerdo a la tabla equitativa: donde al sacar un puntaje del 90% el puntaje será 90%, y así hasta llegar al 100%</t>
  </si>
  <si>
    <t>Movilización de créditos con garantías del FNG en la Regional Bogotá-Centro</t>
  </si>
  <si>
    <t>Lograr al 31 de diciembre de 2025 una movilización de créditos con garantías del FNG igual o superior al 100% de la meta asignada por la vicepresidencia comercial a la regional Bogotá-Centro (la cual comprende los intermediarios financieros con presencia en los departamentos de: Bogotá, Cundinamarca, Tolima, Huila, Caquetá, Meta, Guainia, Guaviare, Vaupes, Vichada y Amazonas). % Cumplimiento.Calificación proporcional entre la meta asignada por la vicepresidencia comercial a la regional Bogotá Centro y&amp;nbsp;$8,693.677.655.526 billones (donde menor a $8,693.677.655.526 billones es 0% y la meta signada o superior es el 100%)&amp;nbsp;La fórmula de medición del Rango: = (Resultado Indicador – Cumplimiento Mínimo) / (Meta – Cumplimiento Mínimo) x 100.</t>
  </si>
  <si>
    <t>Vinculación de nuevos intermediarios financieros y/o reactivaciones en la regional Bogotá-Centro</t>
  </si>
  <si>
    <t>Lograr la vinculación y/o reactivación durante el año 2025, de catorce (14) intermediarios financieros en la regional Bogotá-Centro (la cual comprende los departamentos de: Bogotá, Cundinamarca, Tolima, Huila, Caquetá, Meta, Guainía, Guaviare, Vaupés, Vichada y Amazonas). % Cumplimiento.# de vinculaciones año 2025/14 y el resultado obtenido será la calificación final del objetivo según la formula, ejemplo: 7 vinculaciones/14 = 50%</t>
  </si>
  <si>
    <t>Obtener al 31 de diciembre de 2025 un resultado ponderado en la Encuesta de Satisfacción del Cliente Externo para las zonas de venta FNG S. A Y FNG TOLIMA, mayor o igual a 9.1 (Donde menor a 8.6 es 0 puntos y 9.1 es 100 puntos), Rango: &amp;gt; o = 8.6 Pts. &amp;lt; 9.1 Pts. La fórmula de medición del Rango: = (Resultado Indicador – Cumplimiento Mínimo) / (Meta – Cumplimiento Mínimo) x 100.Evidencia: Resultado encuesta de cliente Externo&amp;nbsp;</t>
  </si>
  <si>
    <t>1018500741</t>
  </si>
  <si>
    <t>Julian Andres Garzon Lopez</t>
  </si>
  <si>
    <t>Profesional Senior de Responsabilidad Social Sostenibilidad</t>
  </si>
  <si>
    <t>MANUAL DE REQUERIMIENTOS NORMATIVOS INTERNOS (SAGES)</t>
  </si>
  <si>
    <t>OBJETIVO: Realizar el levantamiento de requerimientos normativos internos asociados a los manuales del FNG, mediante una matriz consolidada que permita verificar su cumplimiento. Peso: 15%ENTREGABLES:a.&amp;nbsp;&amp;nbsp;&amp;nbsp;&amp;nbsp;&amp;nbsp;Hasta el 15 de noviembre de 2025: Matriz con requerimientos normativos levantados a partir del análisis de los manuales del FNG. Peso: 80%b.&amp;nbsp;&amp;nbsp;&amp;nbsp;&amp;nbsp;&amp;nbsp;Hasta el 10 de diciembre de 2025: Socialización del documento con el área jurídica y archivo del consolidado. Peso: 20%EVIDENCIAS DE CUMPLIMIENTO: Matriz en Excel y archivo en PDF almacenado en carpeta “Cumplimiento Normativo” en Público, correo o acta de socialización.EVALUACIÓN: Se considerará cumplido al 100% si se entrega la matriz con al menos 15 requerimientos consolidados. Si se entregan entre 10 y 14, el cumplimiento será del 80%. Menos de 10, otorgará el 50% y el objetivo se entenderá cumplido con un 80% de cumplimiento.</t>
  </si>
  <si>
    <t>PROGRAMA DE CAPACITACIÓN SOBRE CUMPLIMIENTO NORMATIVO</t>
  </si>
  <si>
    <t>OBJETIVO: Diseñar e implementar un programa de capacitación sobre la función de cumplimiento normativo en el FNG, que incluya una cápsula audiovisual informativa y sesiones presenciales o virtuales de sensibilización con al menos 70 funcionarios del Fondo, de los cuales mínimo el 20% correspondan a personal de nivel directivo (subdirección, dirección o vicepresidencia), con base en los lineamientos del Marco Integral de Supervisión de la Superintendencia Financiera de Colombia. Peso: 15%ENTREGABLES:a.&amp;nbsp;&amp;nbsp;&amp;nbsp;&amp;nbsp;&amp;nbsp;Hasta el 31 de agosto de 2025: Diseño y grabación de la cápsula audiovisual informativa. Peso: 40%b.&amp;nbsp;&amp;nbsp;&amp;nbsp;&amp;nbsp;&amp;nbsp;Hasta el 31 de octubre de 2025: Realización de mínimo tres sesiones de capacitación. Peso: 40%c.&amp;nbsp;&amp;nbsp;&amp;nbsp;&amp;nbsp;&amp;nbsp;Hasta el 30 de noviembre de 2025: Consolidación de asistentes y reporte final de cumplimiento. Peso: 20%EVIDENCIAS DE CUMPLIMIENTO: Archivo del video en carpeta “Cumplimiento Normativo” en Público, registros de asistencia con listado de participantes y niveles jerárquicos, correos de convocatoria y consolidado final con resumen de los temas abordados.EVALUACIÓN: Se considerará cumplido al 100% si se realiza la cápsula y se capacitan mínimo 70 funcionarios (incluyendo al menos 14 de nivel directivo). Si se capacitan entre 60 y 69 funcionarios, se otorgará el 80% del cumplimiento, menos de 60 funcionarios representará el 50% del cumplimiento y el objetivo se entenderá cumplido con un 80% de cumplimiento.</t>
  </si>
  <si>
    <t>MANUAL DE LA FUNCIÓN DE CUMPLIMIENTO NORMATIVO E INCLUSIÓN EN EL MAPA DE RIESGOS</t>
  </si>
  <si>
    <t>OBJETIVO: Formular un manual institucional que documente la función de cumplimiento normativo en el FNG integrando la normativa vigente y los lineamientos internos, formular un procedimiento operativo de cumplimiento normativo específico para una dependencia del FNG e incluir al menos dos riesgos con sus respectivos controles en el Mapa de Riesgos Corporativo. Peso: 15%ENTREGABLES:a.&amp;nbsp;&amp;nbsp;&amp;nbsp;&amp;nbsp;&amp;nbsp;Hasta el 30 de septiembre de 2025: Documento del manual de cumplimiento normativo institucional. Peso: 60%b.&amp;nbsp;&amp;nbsp;&amp;nbsp;&amp;nbsp;&amp;nbsp;Hasta el 30 de septiembre de 2025: Inclusión de dos riesgos con controles en el mapa de riesgos y envío del oficio al área correspondiente. Peso: 40%c.&amp;nbsp;&amp;nbsp;&amp;nbsp;&amp;nbsp;&amp;nbsp;Hasta el 30 de septiembre de 2025: Documento del procedimiento de cumplimiento para un área seleccionada del FNG. Peso: 100%EVIDENCIAS DE CUMPLIMIENTO: Manual y procedimiento almacenados en la carpeta “Cumplimiento Normativo” en Público. Oficio enviado al área de riesgos con confirmación de recepción.EVALUACIÓN: Cumplimiento del 100% si se entrega el manual, el procedimiento y se incluyen dos riesgos. Si solo se incluye un riesgo, 80%, sin inclusión, 50% y el objetivo se entenderá cumplido con un 80% de cumplimiento.</t>
  </si>
  <si>
    <t>SIMULACIÓN DE AUTOEVALUACIÓN DE CUMPLIMIENTO</t>
  </si>
  <si>
    <t>OBJETIVO: Planear, ejecutar y documentar al menos una simulación interna de cumplimiento normativo con dos subdirecciones del FNG, mediante un formato checklist que incluya criterios de verificación, responsables y espacio para observaciones, promoviendo la cultura de autocontrol y la identificación colaborativa de brechas normativas. Peso: 15%ENTREGABLES:1.&amp;nbsp;&amp;nbsp;&amp;nbsp;&amp;nbsp;&amp;nbsp;Hasta el 30 de octubre de 2025: Planeación, ejecución y recolección de resultados de las simulaciones. Peso: 80%2.&amp;nbsp;&amp;nbsp;&amp;nbsp;&amp;nbsp;&amp;nbsp;Hasta el 30 de noviembre de 2025: Consolidación de resultados en una tabla de observaciones y archivo del ejercicio. Peso: 20%EVIDENCIAS DE CUMPLIMIENTO: Checklists diligenciados por ambas subdirecciones, archivo de convocatoria y documento resumen con observaciones, hallazgos y sugerencias, almacenados en la carpeta “Cumplimiento Normativo” en Público.EVALUACIÓN: El porcentaje de cumplimiento será la sumatoria del peso asignado a cada hito. Se considerará cumplido al 100% cuando se haya alcanzado como mínimo un 80% de avance del objetivo.&amp;nbsp;</t>
  </si>
  <si>
    <t>ANÁLISIS COMPARATIVO CON ENTIDADES DEL SECTOR FINANCIERO</t>
  </si>
  <si>
    <t>OBJETIVO: al 15 de diciembre contar con un informe de diagnóstico de buenas prácticas, Realizar un análisis de buenas prácticas en cumplimiento normativo a través de reuniones con mínimo cinco oficiales de cumplimiento de entidades vigiladas por la Superintendencia Financiera, y consolidar un informe con hallazgos, fechas, responsables y propuestas de mejora para el FNG. Peso: 15%ENTREGABLES:a.&amp;nbsp;&amp;nbsp;&amp;nbsp;&amp;nbsp;&amp;nbsp;Hasta el 15 de noviembre de 2025: Registro de reuniones sostenidas con mínimo cinco entidades financieras. Peso: 60%b.&amp;nbsp;&amp;nbsp;&amp;nbsp;&amp;nbsp;&amp;nbsp;Hasta el 15 de diciembre de 2025: Presentación del informe consolidado con hallazgos, descripciones de prácticas observadas y recomendaciones aplicables al FNG. Peso: 40%EVIDENCIAS DE CUMPLIMIENTO: Correos de invitación, actas o resúmenes breves de las reuniones, e informe final en carpeta “Cumplimiento Normativo” en Público.EVALUACIÓN: Se considerará cumplido al 100% si se realizan cinco reuniones y se entrega el informe. Cuatro reuniones realizadas otorgarán el 80%, tres reuniones el 60%, menos de tres el 40% y el objetivo se entenderá cumplido con un 80% de cumplimiento.</t>
  </si>
  <si>
    <t>10124676</t>
  </si>
  <si>
    <t>Julian Hernandez Bedoya</t>
  </si>
  <si>
    <t>Actualización planillas de cuentas mensuales</t>
  </si>
  <si>
    <t>Realizar las planillas de las cuentas contables, las planillas deben quedar elaboradas el día 10 del mes siguiente al corte o el día hábil siguiente si este es fin de semana o festivo.Indicador:(Cantidad de planillas realizadas dentro del plazo establecido / Total de planillas en el año) Entregables:Enviar correo al director o subdirector del departamento de contabilidad evidenciando el cumplimiento de la generación de las respectivas planillasEvidencias:P:\Objetivos\2025\Dirección de Contabilidad y Presupuesto\Julian Hernández Bedoya</t>
  </si>
  <si>
    <t>Conciliación operaciones reciprocas</t>
  </si>
  <si>
    <t>Conciliar el 100% de las cuentas recíprocas de la relación trimestral (de saldos a marzo, junio y septiembre de 2025) emitida por la CGN, de las partidas reportadas por las Entidades a conciliar con el FNG y de las reportadas por FNG en sus EEFF (en doble vía: Terceros vs. FNG vs. Terceros). La conciliación enero-marzo de 2025 deben quedar elaborada máximo el 16 de junio de 2025, el trimestre abril-junio de 2025 máximo el 15 de septiembre de 2025 y el trimestre julio-septiembre de 2025 máximo el 15 de diciembre de 2025.Indicador:(Cantidad de conciliaciones realizadas dentro del plazo establecido / Total de conciliaciones en el año) Entregables:Correo a la directora o Subdirectora de contabilidad evidenciando el cumplimiento de la elaboración de la conciliaciónEvidencias:P:\Objetivos\2025\Dirección de Contabilidad y Presupuesto\Julian Hernández Bedoya</t>
  </si>
  <si>
    <t>Presentar los informes a la CGN de los cortes de marzo, junio y septiembre de 2025 un día antes del vencimiento establecido, de acuerdo con la normatividad aplicable.Indicador:(Cantidad de informes reportados dentro de las fechas establecidas / Total de reportes en el año) Entregables:Se evaluará por cada trimestre con el cumplimiento del Calendario Financiero 2025.Evidencias:P:\Objetivos\2025\Dirección de Contabilidad y Presupuesto\Julian Hernández Bedoya</t>
  </si>
  <si>
    <t>Realizar el cierre y la transmisión del PUC financiero mensual a la SFC un día hábil antes del vencimiento del plazo formal para transmitir, iniciando con la transmisión a realizarse en el mes de enero de 2025 hasta la transmisión a realizarse en el mes de diciembre de 2025.Indicador:(Cantidad de informes reportados con un día de antelación al vencimiento legal / Total de reportes en el año) Entregables:Se evaluará por cada mes con el cumplimiento del Calendario Financiero 2025.Evidencias:P:\Objetivos\2025\Dirección de Contabilidad y Presupuesto\Julian Hernández Bedoya</t>
  </si>
  <si>
    <t>A 31 diciembre de 2025 lograr como mínimo el cumplimiento del 90% de las acciones formuladas durante la vigencia en los planes de acción y mejoramiento relacionados con las auditorias realizadas por la OCI, SFC, Revisoría Fiscal y CGR en las actividades relacionadas con la Dirección de Contabilidad y Presupuesto.Indicador:Cantidad de actividades de planes de mejoramiento cumplidas (# acciones ejecutadas) / # total de acciones incluidas en los planes a ser ejecutados al 31/12/2025.Entregables:Correo electrónico enviado en el cual se informe a la Oficina de control Interno - OCI el cumplimiento de las acciones, la modificación de fechas o entregables acordados, a este correo deben adjuntarse los soportes de evidencias que correspondan en cada caso.Evidencias:P:\Objetivos\2025\Dirección de Contabilidad y Presupuesto\Julian Hernández Bedoya</t>
  </si>
  <si>
    <t>Generar informe entradas de diario</t>
  </si>
  <si>
    <t>Generar informe de entradas de diario de los meses de mayo a noviembre de 2025 dentro de los 10 días hábiles siguientes a la fecha de transmisión de los Estados Financieros a la SFC.Indicador:(Cantidad de informes dentro del plazo establecido / Total de informes en el año) Entregables:Envío de correo al subdirector o director de contabilidad en las fechas establecidas evidenciando la generación de los informes y archivo de excel con el informe respectivo.Evidencias:P:\Objetivos\2025\Dirección de Contabilidad y Presupuesto\Julian Hernández Bedoya</t>
  </si>
  <si>
    <t>Generar libros oficiales</t>
  </si>
  <si>
    <t>Generar los libros oficiales de los meses de mayo a noviembre de 2025 dentro de los 5 días hábiles siguientes al vencimiento de la transmisión de los Estados Financieros a la SFC.Indicador:(Cantidad de libros generados dentro del plazo establecido / Total de libros en el año) &amp;nbsp;Entregables:Envío de correo al subdirector o director de contabilidad en las fechas establecidas evidenciando la generación de los libros oficiales.Evidencias:P:\Objetivos\2025\Dirección de Contabilidad y Presupuesto\Julian Hernández Bedoya</t>
  </si>
  <si>
    <t>1030619920</t>
  </si>
  <si>
    <t>Julieth Andrea Castiblanco Velosa</t>
  </si>
  <si>
    <t>Ingeniero de Desarrollo y Soporte de Aplicaciones</t>
  </si>
  <si>
    <t>Descripción del Objetivo: Contribuir a la automatización y digitalización de dos procesos institucionales mediante el diseño, desarrollo e implementación de aplicaciones, utilizando las herramientas tecnológicas definidas por la entidad. El equipo desarrollador será responsable de asegurar el cumplimiento de los entregables definidos para cada fase, de acuerdo con el siguiente cronograma:Q2 (25%) Inicio desarrollos y entrega para pruebas (Tributaria - Listas Restrictivas).&amp;nbsp;&amp;nbsp;Q3 (25%) Entrega y despliegue de la solución (Tributaria - Listas Restrictivas)Q3 (25%) Inicio desarrollos y entrega para pruebas (Generación Demanda)&amp;nbsp;Q4 (25%) Entrega y despliegue de la solución (Generación Demanda)&amp;nbsp;Listas restrictivas&amp;nbsp;Tributaria&amp;nbsp;Generación demanda&amp;nbsp;Indicador o Formula con la que se va a Realizar la Medición: (# automatizaciones finalizadas / Total automatizaciones planificadas 2025) * 100Total, automatizaciones planificadas 2025 = 3Entregables:Q2: Documento de diseño técnico y estimación de las automatizaciones para cruce en Listas Restrictivas, Documento de diseño técnico y estimación de la Automatización de información de Reservas, Aprobación de pruebas integrales y RFC para digitalización y automatización de información de potenciales clientes del proceso de generación de demanda&amp;nbsp;Q3:&amp;nbsp;Despliegue (orden de transporte) de la solución en QA para pruebas integrales para cruce en Listas Restrictivas, Aprobación de Pruebas integrales para digitalización y Automatización de información de Reservas.Q4: Entrega y despliegue en producción (documento de RFC) para cruce en Listas Restrictivas, Documento RFC de la Automatización de información de Reservas.</t>
  </si>
  <si>
    <t>Descripción del Objetivo: El objetivo es lograr un 100% de cumplimiento en la ejecución y finalización de los proyectos estratégicos de tecnologías de la información que han sido ejecutados y finalizados según la hoja de ruta del Plan Estratégico de Tecnologías de la Información (PETI) del FNG programados para el año 2025, de acuerdo con el alcance, cronogramas y resultados esperados.&amp;nbsp;&amp;nbsp;Indicador o Formula con la que se va a Realizar la Medición: (# Proyectos finalizados / Total proyectos programados para finalizar en el&amp;nbsp;2025) * 100&amp;nbsp;&amp;nbsp;Total, proyectos programados 2025 = 9Entregables: Q2: Informe de avance&amp;nbsp;(número de proyectos completados hasta la fecha).Q3: Informe de avance intermedio (número de proyectos en fase final).Q4: Informe de finalización de todos los proyectos del PETI 2025.</t>
  </si>
  <si>
    <t>Tablero de control de requerimientos e incidentes</t>
  </si>
  <si>
    <t>Descripción del Objetivo: Diseñar, desarrollar e implementar un tablero de control de requerimientos e incidentes que permita el seguimiento centralizado, en tiempo real, de las solicitudes funcionales y técnicas gestionadas para la DDA. Este tablero deberá integrar fuentes de datos relevantes, visualizar métricas clave de atención (como tiempos de respuesta, estado de avance y responsables), y facilitar la toma de decisiones operativas mediante la trazabilidad, priorización y gestión eficiente de los casos reportados por las áreas usuarias.Indicador o Formula con la que se va a Realizar la Medición: (# de componentes entregados / Total de componentes definidos) * 100Entregables: Componentes definidos para seguimiento:Q2: Diseño del modelo de datos y estructura del tablero - Integración con fuentes de información (repositorio de incidentes y requerimientos) - Visualización de métricas clave (tiempos de atención, estado, responsables, tipo)Q3: Implementación de filtros, trazabilidad y paneles por área usuaria - Pruebas de funcionamiento y validación con usuario - Entrega y despliegue en ambiente de producción</t>
  </si>
  <si>
    <t>Desarrollo de la solución con IA del Chatbot Gary</t>
  </si>
  <si>
    <t>Descripción del Objetivo: Desarrollar el chatbot institucional "Gary" como canal de atención automatizado, con la finalidad de mejorar los procesos de capacitación y gestión del conocimiento, de los procesos asociados a la VP. Operación, Riesgos y Comercial, promoviendo una cultura de autoaprendizaje, de la entidad y configurando flujos conversacionales orientados a la atención de usuarios internos.&amp;nbsp;Indicador o Formula con la que se va a Realizar la Medición: (# de componentes funcionales entregados / Total de componentes definidos en el ecosistema) * 100Entregables: Componentes definidos:Q2: Definición Inventario Documental.Q3: Documento Técnico del modelo de IA y lógica conversacionalQ3: Documento de las pruebas UnitariasQ3: Documento diseño de escenario de pruebas.Q4: Publicación en entorno QASQ4: Pruebas funcionales y técnicas del chatbotQ4: Monitoreo inicial y ajustes de funcionamiento</t>
  </si>
  <si>
    <t>Realizar el documento del Procedimiento de Código Limpio de aplicaciones</t>
  </si>
  <si>
    <t>Descripción del Objetivo: Diseñar, documentar e implementar un procedimiento de buenas prácticas de codificación (Código Limpio) aplicable a los desarrollos gestionados por la subdirección de aplicaciones misionales, con el fin de mejorar la calidad, legibilidad, mantenibilidad y seguridad del código fuente. La estrategia incluirá la realización de mesas de trabajo técnicas, donde se definan lineamientos comunes, así como la capacitación del equipo de desarrollo en principios de clean code, estándares de codificación y uso de herramientas asociadas. El procedimiento será implementado de forma progresiva y se incorporará como criterio en las revisiones de código, auditorías técnicas e integraciones continuasIndicador o Formula con la que se va a Realizar la Medición: (# de actividades completadas / Total de actividades definidas para el procedimiento) * 100Entregables: ﻿Q3: Diseño y documentación del procedimiento de código limpioQ3: Realización de mesas de trabajo técnicas para definición de lineamientosQ3: Capacitación al equipo de desarrollo en principios de clean code y herramientasQ3: Aprobación formal del procedimiento por la DDA</t>
  </si>
  <si>
    <t>Descripción del Objetivo: Implementar en la página web del FNG una sección denominada “Vincúlate”, que permita a los clientes externos iniciar su proceso de vinculación según su tipo, a través de módulos específicos. Esta funcionalidad integrará la interacción del cliente con el sitio web y la gestión administrativa interna del FNG, fase 1.Indicador o Formula con la que se va a Realizar la Medición: (# componentes implementados / Total de componentes definidos) * 100Entregables:  Entregable 1 - Q2 (peso 30%):&amp;nbsp;Realizar el cronograma de ejecución derivado de la HU, Iniciar el desarrollo del sprint 1Entregable 2 - Q3 (peso 60%): Desarrollo de los sprintEntregable 3 - Q4 (peso 10%): Pruebas Integrales, RFC, Seguimiento y estabilización del proyecto vinculados en producción.</t>
  </si>
  <si>
    <t>52953253</t>
  </si>
  <si>
    <t>Julieth Carolina Riveros Rodriguez</t>
  </si>
  <si>
    <t>Profesional Senior de Reclamación de Garantías</t>
  </si>
  <si>
    <t>Curso: Inteligencia Artificial Generativa - BID</t>
  </si>
  <si>
    <t>En el 2Q de 2025&amp;nbsp;- Dictar y evaluar el módulo básico de la Universidad de la Garantía (Tradicional y Garantía Global)INDICADOR:Cumple / No cumpleENTREGABLES / EVIDENCIA: Listado de asistencia y encuestas ubicadas en la Ruta: P:\Objetivos\2025\Direccion de Operaciones</t>
  </si>
  <si>
    <t>Diseñar el instructivo para el informe de garantías pagadas por programa</t>
  </si>
  <si>
    <t>A 31/12/2025 Elaborar el instructivo detallado para la ejecución de las herramientas utilizadas en el informe semanal de pagos de garantías, con el objetivo de que cualquier usuario pueda ejecutar el proceso de manera autónoma.Indicador: Cumple / No cumpleEvidencia: Documentos actualizados en ISOlución</t>
  </si>
  <si>
    <t>Manual de Tx del proceso de reclamaciones - Unificación</t>
  </si>
  <si>
    <t>Al 31/12/2025, Consolidar el Manual de Tx SAP&amp;nbsp;con el de calidad de datos y liquidación de comisiones e incorporar las transacciones (TX) en SAP del proceso de reclamación de garantías. Este manual consolidado servirá como herramienta de apoyo para quienes necesiten información detallada sobre el proceso y las transacciones involucradasIndicador: Cumple / No cumpleEvidencia: Documentos actualizados en ISOlución</t>
  </si>
  <si>
    <t>A 30/06/2025 Elaborar y radicar historia de usuario (HU) referente a la validación de tipo de cartera para productos preferentes y asimilables. A 31/12/2025 Elaborar y radicar historia de usuario (HU) referente a cambio de estado de las garantías desistidas al último estado vigente.Indicador: Cumple / No cumple.&amp;nbsp;Evidencia: Historia de usuario radicada en el aplicativo Aranda.</t>
  </si>
  <si>
    <t>1024537211</t>
  </si>
  <si>
    <t>Julieth Zulay Bocanegra Salinas</t>
  </si>
  <si>
    <t xml:space="preserve">Gestionar la revisión de garantías del proceso de aseguramiento de calidad </t>
  </si>
  <si>
    <t>Al 31 de diciembre de 2025, ejecutar el cierre del proceso de Aseguramiento de Calidad correspondiente a las 64 garantías asignadas para revisión, conforme al cronograma de trabajo definido para el segundo semestre de 2025. El nivel de cumplimiento se evaluará con base en el porcentaje de cierre efectivo de dichas garantías, de acuerdo con la siguiente escala proporcional:&amp;nbsp;&amp;gt;=95% y ≤ 100% de cierre: cumplimiento del 100%= 80 y &amp;lt; 95%: será proporcional al cumplimiento alcanzado&amp;lt; 80: el cumplimiento será 0%&amp;nbsp;Medición&amp;nbsp;Número total garantías cerradas* / Número total de garantías a cerrar en el período. *Clasificadas en estado: Conforme, No Conforme, Otro&amp;nbsp;Evidencia&amp;nbsp;La gestión de las garantías será registrada en los Formularios de revisión de garantías y la evidencia serán los informes de gestión emitidos por la Subdirección del área y que se encuentran en la siguiente ruta: P:\Vice_Comercial\Dir_Aseguramiento_Calidad\DI_Informes\Informes_Gestion\2025&amp;nbsp;Los entregables se encontrarán en la siguiente ruta: P:\Objetivos\2025\Dirección de Vinculación, Aseguramiento y Calidad\Julieth Zulay Bocanegra Salinas&amp;nbsp;Frecuencia: Julio 1 a Diciembre 31 de 2025</t>
  </si>
  <si>
    <t>Al 31 de diciembre de 2025, mejorar la calidad de los entregables a clientes internos y externos. Mediante la medición del producto no conforme el cual se define como un error, imprecisión u omisión en una comunicación entregada (correo, presentación, informes, actas y contratos), en el cual se ha identificado el incumplimiento de un requisito de calidad por parte de la Subdirección, Dirección del equipo, un comité interno o un cliente externo. Este objetivo mide fondo, no forma.&amp;nbsp;Frecuencia: Desde el 01 de julio al 31 de diciembre de 2025&amp;nbsp;Medición: El objetivo mensual se considera cumplido al 100% si no se identifica ningún producto no conforme. La calificación final corresponderá al promedio de las calificaciones mensuales obtenidas.&amp;nbsp;No. eventos mes&amp;nbsp;&amp;nbsp;&amp;nbsp;&amp;nbsp;&amp;nbsp;&amp;nbsp;&amp;nbsp;&amp;nbsp;&amp;nbsp;&amp;nbsp;&amp;nbsp;&amp;nbsp;Calificación0&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100%1&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95%2&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90%3 o más&amp;nbsp;&amp;nbsp;&amp;nbsp;&amp;nbsp;&amp;nbsp;&amp;nbsp;&amp;nbsp;&amp;nbsp;&amp;nbsp;&amp;nbsp;&amp;nbsp;&amp;nbsp;&amp;nbsp;&amp;nbsp;&amp;nbsp;&amp;nbsp;&amp;nbsp;&amp;nbsp;&amp;nbsp;&amp;nbsp;&amp;nbsp;&amp;nbsp;&amp;nbsp;&amp;nbsp;&amp;nbsp;&amp;nbsp;&amp;nbsp;&amp;nbsp;&amp;nbsp;&amp;nbsp;&amp;nbsp;&amp;nbsp;&amp;nbsp;&amp;nbsp;&amp;nbsp;&amp;nbsp;0%&amp;nbsp;Los entregables se encontrarán en la siguiente ruta: P:\Objetivos\2025\Dirección de Vinculación, Aseguramiento y Calidad\Julieth Zulay Bocanegra Salinas</t>
  </si>
  <si>
    <t>Formalización de intermediarios financieros</t>
  </si>
  <si>
    <t>Formalizar, a más tardar el 31 de diciembre de 2025, a los intermediarios financieros tradicionales y no tradicionales que hayan sido vinculados o reactivados durante el año 2025 y cuenten con la documentación e insumos necesarios para iniciar el proceso de formalización hasta el 19 de diciembre de 2025.&amp;nbsp;Medición: (# de intermediarios formalizados / # de intermediarios vinculados o reactivados - # de intermediarios vinculados o reactivados sin requisitos completos)*100&amp;nbsp;Entregables: &amp;nbsp;Informe (ppt) de gestión correspondiente al año 2025. La evidencia será el acta de la reunión realizada con la Subdirección y Dirección de Vinculación, Aseguramiento y Calidad.&amp;nbsp;Los entregables se encontrarán en la siguiente ruta: P:\Objetivos\2025\Dirección de Vinculación, Aseguramiento y Calidad\Julieth Zulay Bocanegra Salinas&amp;nbsp;Frecuencia: Del 1 de enero al 31 de diciembre de 2025.</t>
  </si>
  <si>
    <t>Automatizar el proceso de vinculación - Fase I</t>
  </si>
  <si>
    <t>Ejecutar al 31 de diciembre de 2025 el proyecto de automatización del proceso de vinculación en la Fase I. &amp;nbsp;Medición: El objetivo se cumple al 100% con la ejecución de todas las actividades, siempre y cuando se cuente con la nueva funcionalidad mediante un botón en la página web para vincular nuevos clientes potenciales, el resultado final corresponderá a la suma de los porcentajes de cumplimiento de cada actividad ejecutada y debidamente evidenciada. &amp;nbsp;Entregable 1 - Q2: Al 30 de junio de 2025, Historia de Usuario radicada en la herramienta ARANDA en donde se evidencia el número del caso generado. Entregable 2 - Q3: Al 30 de septiembre de 2025, presentar el informe de actividades ejecutadas que contenga el avance en el desarrollo de la solución, identificación de ajustes y pruebas, si es aplicable. Este informe será presentado por la Dirección de Vinculación en la reunión de seguimiento del proyecto de automatización.Entregable 3 - Q4: Al 31 de diciembre de 2025, presentar el informe de actividades ejecutadas en el cual se incluya la nueva funcionalidad mediante un botón en la página web para vincular nuevos clientes potenciales. Este informe será presentado por la Dirección de Vinculación en la reunión de seguimiento del proyecto de automatización.&amp;nbsp;Los entregables se encontrarán en la siguiente ruta: P:\Objetivos\2025\Dirección de Vinculación, Aseguramiento y Calidad.&amp;nbsp;Indicador: Total de entregables a tiempo/ Total de entregables definidos *100 y la solución se encuentre en la página web o el sitio definido técnicamente.&amp;nbsp;Frecuencia del monitoreo: Marzo a Diciembre de 2025</t>
  </si>
  <si>
    <t xml:space="preserve">Actualizar el proceso de Formalización </t>
  </si>
  <si>
    <t>Al corte del 19 de diciembre de 2025, actualizar el proceso de Formalización de intermediarios financieros en cuanto a los tiempos e integración de actividades requeridas para habilitar en los sistemas del FNG a los intermediarios financieros vinculados o reactivados para productos tradicionales y garantía global. &amp;nbsp;Se deberá actualizar los siguientes documentos:&amp;nbsp;o&amp;nbsp;&amp;nbsp;&amp;nbsp;Procedimiento y Flujograma Formalización de Clientes (PD-GCO-014)o&amp;nbsp;&amp;nbsp;&amp;nbsp;ANS Formalización de Clientes (FR-GXS-001)o&amp;nbsp;&amp;nbsp;&amp;nbsp;Instructivo de gestión (IN-GCO-016)o&amp;nbsp;&amp;nbsp;&amp;nbsp;Validación Formalización de Intermediarios Financieros (FR-GCO-056)&amp;nbsp;Frecuencia: Desde el 01 de marzo al 31 de diciembre de 2025&amp;nbsp;Medición: El objetivo se cumple al 100% con la ejecución de todas las actividades, el resultado final corresponderá a la suma de los porcentajes de cumplimiento de cada actividad ejecutada y debidamente soportada, las cuales corresponden a las siguientes:&amp;nbsp;Entregables: Q3: 1.&amp;nbsp;&amp;nbsp;&amp;nbsp;&amp;nbsp;&amp;nbsp;Elaborar y presentar vía correo electrónico la propuesta de los nuevos tiempos de formalización para la aprobación de la Subdirección de Vinculación, Aseguramiento y Calidad. (peso 60%)2.&amp;nbsp;&amp;nbsp;&amp;nbsp;&amp;nbsp;&amp;nbsp;Ajustar la propuesta, actualizar la documentación del proceso de Formalización de Clientes y contar con la aprobación vía correo electrónico de los documentos por la Subdirección de Vinculación, Aseguramiento y Calidad. (peso 20%)3.&amp;nbsp;&amp;nbsp;&amp;nbsp;&amp;nbsp;&amp;nbsp;Enviar el procedimiento y ANS del proceso con los nuevos tiempos a las áreas internas para su revisión y/o ajustes, vía correo electrónico. (peso 10%)Q4:4.&amp;nbsp;&amp;nbsp;&amp;nbsp;&amp;nbsp;&amp;nbsp;Correo remitido a la Dirección de Experiencia con el levantamiento de información concertado con las áreas para la actualización y firma del ANS. (peso 5%)&amp;nbsp;5.&amp;nbsp;&amp;nbsp;&amp;nbsp;&amp;nbsp;&amp;nbsp;Documentación cargada y aprobada en Isolución donde conste la fecha de aprobación en este aplicativo, la cual debe ser anterior o igual al 19 de diciembre de 2025. (peso 5%)&amp;nbsp;Los entregables se encontrarán en la siguiente ruta: P:\Objetivos\2025\Dirección de Vinculación, Aseguramiento y Calidad\Julieth Zulay Bocanegra Salinas</t>
  </si>
  <si>
    <t xml:space="preserve">Ejecución pruebas de automatización del proceso de vinculación - Fase I </t>
  </si>
  <si>
    <t>Al 31 de diciembre de 2025, ejecutar al 100% las pruebas funcionales asignadas en el marco del proyecto de automatización del proceso de vinculación.&amp;nbsp;Medición: (Total de pruebas funcionales ejecutadas y entregadas a tiempo / Total de pruebas funcionales asignadas) *100&amp;nbsp;Entregable: Informe (ppt) donde se relacione la fecha del requerimiento, descripción y fecha de entrega de los resultados de las pruebas realizadas. La evidencia será el acta de la reunión realizada con la Subdirección y Dirección de Vinculación, Aseguramiento y Calidad.&amp;nbsp;Los entregables se encontrarán en la siguiente ruta: P:\Objetivos\2025\Dirección de Vinculación, Aseguramiento y Calidad\Julieth Zulay Bocanegra Salinas&amp;nbsp;Frecuencia del monitoreo: Iniciará en la fecha que sean asignadas las pruebas y hasta el 31 de diciembre de 2025.</t>
  </si>
  <si>
    <t>1001095511</t>
  </si>
  <si>
    <t>Karen Daniela Roncancio Fino</t>
  </si>
  <si>
    <t>A 30 de septiembre de 2025, generar o actualizar los 20 documentos asociados a la administración del esquema de garantía global (manual, procedimientos, instructivos, formatos), conforme al inventario y cronograma establecidos para tal finCRITERIO DE MEDICIÓNEl objetivo será evaluado en forma proporcional al número de documentos actualizados, siendo necesario un cumplimiento mínimo del 90%. Un cumplimiento inferior al 90%, es decir, 89,99% o menos, será calificado con 0 puntos.FÓRMULA DE CÁLCULO(Número de documentos actualizados / 20) * 100ENTREGABLES / EVIDENCIADocumentos actualizados y aprobados en el aplicativo ISolución o el aplicativo vigente a la fecha de cargue</t>
  </si>
  <si>
    <t>Repositorio de Conocimiento</t>
  </si>
  <si>
    <t>A 31/12/2024 Crear una&amp;nbsp;un repositorio de conocimiento en Notion que centralice las dudas y errores comunes que surgen diariamente en el proceso de liquidación de garantías, minimizando los PNC&amp;nbsp;y los rechazos improcedentes (Conceptos Jurídicos). Esta herramienta facilitará la transferencia de conocimiento de manera más accesible y eficiente.Indicador: Cumple / No cumpleEvidencia: Repositorio de Conocimiento.</t>
  </si>
  <si>
    <t>Campaña Capacitaciones Ágiles.</t>
  </si>
  <si>
    <t>Al 31/12/2025 Fortalecer las competencias del cliente interno del FNG, a través de un programa integral de capacitación, con el fin de reducir errores recurrentes y mejorar la transferencia de conocimiento a los IF, asegurando una formación precisa y consistente que optimice la calidad del servicio y minimice las incidencias operativas. Para ello se debe 1) conciliar las áreas, funcionarios y horarios para la gestión de la campaña; 2) realizar las capacitaciones y 3) entregar informes de resultados.Indicador: Cumple/ No cumpleEvidencia: La evidencia de cumplimiento será el listado de asistencia, encuestas, evaluaciones informes de resultados&amp;nbsp;</t>
  </si>
  <si>
    <t>1049603860</t>
  </si>
  <si>
    <t>Karen Jullieth Fonseca Atara</t>
  </si>
  <si>
    <t>Profesional Senior de Estrategia Comercial</t>
  </si>
  <si>
    <t>Capacitaciones operativas centrada en prórrogas y novaciones</t>
  </si>
  <si>
    <t>Realizar durante el año 2025 capacitaciones operativas sobre prórrogas y novaciones, dirigidas al 85% de los administradores del portal transaccional de productos tradicionales, pertenecientes a intermediarios financieros que mantengan garantías vigentes bajo este esquema.Las capacitaciones serán impartidas por el profesional de la Dirección de Estrategia Comercial y estarán orientadas exclusivamente a los intermediarios que hayan manifestado su interés en recibirla, con base en los resultados obtenidos a través de la encuesta aplicada vía Google Forms.El número de sesiones a realizar se determinará según la demanda identificada en dicha encuesta (la encuesta se realizará en junio 2025).Entregable: Correo con el resultado de las capacitaciones operativos enviado a la Dirección de Estrategia Comercial (Insumo: planes de cuenta de CRM). Fecha máxima de entrega 23 de enero de 2026.FORMULA:# de entidades capacitadas / # de entidades base de acuerdo con los resultados de la encuesta realizada a través de Google Forms:Cumplimiento menor o igual al 40% del número base: 0%Cumplimiento superior al 40% y hasta el 60% del número base: 40%Cumplimiento superior al 60% y hasta el 85% del número base: 80%Cumplimiento superior al 85% del número base: 100%</t>
  </si>
  <si>
    <t>Hojas de vida gremios</t>
  </si>
  <si>
    <t>Elaborar&amp;nbsp;presentación con información relevante de cada uno de los 9 Gremios que contenga:&amp;nbsp;Información General, Representatividad y&amp;nbsp;Cobertura, Objetivo y Misión y Liderazgo y Estructura Organizacional y demás información&amp;nbsp;complementaria de los gremios que se relacionan a continuación:&amp;nbsp;Asobancaria,&amp;nbsp;Asomicrofinanzas, Fecolfin, Confecoop, Ascoop, Asocajas, Afic, Colombia Fintech y Regar.Entregable: Correo de aprobación de cada una de las 9 presentaciones emitidos por&amp;nbsp;el director de estrategia comercial con documento adjunto. Fecha máxima de entrega 23 de enero de 2026.PORCENTAJE DE CUMPLIMIENTO:Menos de cinco presentaciones aprobadas = 0%Cinco presentaciones aprobadas = 60%Seis presentaciones aprobadas = 70%Siete presentaciones aprobadas = 80%Ocho presentaciones aprobadas = 90%Nueve presentaciones aprobadas = 100%</t>
  </si>
  <si>
    <t>Diseñar e implementar durante el año 2025 una estrategia integral orientada a incrementar la movilización del producto "Garantía Global". Esta estrategia se basará en la ejecución de jornadas grupales de socialización del producto en alianza con Colombia Fintech y los gremios cooperativos, en el abordaje individual y personalizado de entidades interesadas, y en la atención integral (comercial y operativa) de los clientes vinculados que actualmente operan de manera exclusiva con esta garantía, con el fin de fortalecer su experiencia y fomentar su continuidad y expansión.Entregables:Entregable 1: Correo de aprobación de la Vicepresidenta Comercial. Fecha máxima de entrega 15 de julio de 2025.Entregable 2: Correo de aprobación de la Vicepresidenta Comercial. Fecha máxima de entrega 15 de octubre de 2025.Entregable 3: Correo de aprobación de la Vicepresidenta Comercial. Fecha máxima de entrega 23 de enero de 2026.PORCENTAJE DE CUMPLIMIENTO:Primer entregable: Presentación con el diagnóstico inicial del uso del producto de "garantía global", el planteamiento de la estrategia&amp;nbsp;y el plan de trabajo a realizar. Peso: 20%Segundo entregable: Informe de avance de la estrategia al cierre del Q3. Peso: 40%Tercer entregable: Informe final y resultados de la estrategia al cierre del Q4. Peso: 40%</t>
  </si>
  <si>
    <t>Capacitaciones comerciales Garantía Global</t>
  </si>
  <si>
    <t>Capacitar comercialmente, durante el año 2025, al 90% de los intermediarios vinculados de manera exclusiva al producto "Garantía Global" que hayan alcanzado la condición de formalizados al 30 de noviembre de 2025.Este proceso de capacitación estará orientado a fortalecer el uso del producto, con el fin de potenciar su movilización y asegurar una adecuada gestión. La base inicial de intermediarios formalizados es de 37 a corte del 31 de mayo de 2025, y se actualizará progresivamente con las nuevas vinculaciones reportadas por la Dirección de Vinculaciones hasta la fecha de corte.Entregable: Correo con el resultado de las capacitaciones comerciales enviado a la Dirección de Estrategia Comercial (Insumo: planes de cuenta de CRM). Fecha máxima de entrega 23 de enero de 2026.FORMULA:&amp;nbsp;# de entidades capacitadas / # de entidades formalizadas informadas por la dirección de vinculación a noviembre 30 de 2025Cumplimiento menor o igual al 40% del número base = 0%Cumplimiento sobre el 40% y menor o igual al 60% del número base = 40%Cumplimiento sobre el 60% y menor o igual al 89% del número base = 80%Cumplimiento mayor o igual al 90% del número base = 100%</t>
  </si>
  <si>
    <t>1007373072</t>
  </si>
  <si>
    <t>Karen Nallive Cristiano Alarcón</t>
  </si>
  <si>
    <t>Diseñador Gráfico</t>
  </si>
  <si>
    <t>Diseño de documentos</t>
  </si>
  <si>
    <t>Capacitación del uso de los formatos actualizados</t>
  </si>
  <si>
    <t>DescripciónPara el cierre del Q3, diseñar y publicar una guía de capacitación digital para el uso correcto de los documentos institucionales y presentaciones internas y externas, mediante materiales visuales y explicativos accesibles desde la intranet y mail, que permitan al equipo de la VP Comercial conocer y aplicar los lineamientos gráficos actualizadosIndicador% de avance de las actividadesJulio: (50%) presentar al subdirector de Mercadeo y Comunicaciones la propuesta de la capacitación y guías de uso Septiembre: (50%) Capacitación al equipo definido por la VP Comercial con el material de apoyoEntregablesJulio: propuesta de estructura de capacitación en PowerPoint que incluya:Formato de entrega de las guíasEstilo gráfico y tono comunicativoPaso a paso para acceder al material en IntranetSeptiembre: capacitacióninforme en PDF que incluya: asistencia a la capacitación, enlace de grabación de la capacitación, presentación realizada y material de apoyo</t>
  </si>
  <si>
    <t>Actualización de diseños</t>
  </si>
  <si>
    <t>DescripciónPara la vigencia 2025 actualizar los siguientes diseños: - Plantillas Word y PPT- Merchandising 2025- Tarjetas cumpleaños/aniversario- Estructura mail internoIndicadorActividades ejecutadasQ4: (100%) Diseños actualizadosEntregablesQ4: Informe que contenga los diseños actualizados y aprobados de la siguiente forma: - Tarjeta de cumpleaños y aniversario institucional - 2 plantillas - Mail de cumpleaños diario (formato automatizable) - 1 plantilla - Hoja membrete institucional - 1 plantilla- Plantilla de presentación externa e interna2025 (PowerPoint) - 2 plantillas - Plantilla para documentos institucionales (Word) - 1 plantilla- Estructura de mail interno (diseño base) - 1 plantilla- Plantilla para imágenes de intranet (adaptable) - 1 plantilla- Pantallas reuniones (Vertical/Horizontal) - 2 plantillas - Habladores institucionales (Intermediarios - Funcionarios FNG) - 2 plantillas - Merchandising realizado en la vigencia</t>
  </si>
  <si>
    <t>DescripciónRediseñar la interfaz de la Intranet a 31 de julio de 2025Indicador% de avance de las actividadesQ2 (50%) Presentar, en reunión de avances del área, el prototipo de rediseño de la Intranet al vicepresidente ejecutivo para su aprobación Q3 (50%) Realizar la divulgación de la nueva interfaz de la Intranet en los canales internosEntregablesQ2: Correo del vicepresidente ejecutivo dando su aprobación al rediseño de la Intranet.Q3: Informe que incluya: - Evidencias del rediseño de la Intranet - Evidencias de divulgación del rediseño de la Intranet en canales internos</t>
  </si>
  <si>
    <t>ObjetivoPara el 2025, lograr una calificación de 9,45 en la encuesta de satisfacción de cliente interno, manteniendo el resultado obtenido en 2024IndicadorCalificación del áreaQ4 (100%) Obtener una medición de 9,45 en la encuesta de satisfacción del cliente interno equivale al 100% de la calificación, 9,40 equivaldrá al 90%, 9,30 al 80% y 9,20 al 0%Entregables﻿Q4: resultado de la encuesta</t>
  </si>
  <si>
    <t xml:space="preserve">Diseños para estrategia de eventos </t>
  </si>
  <si>
    <t>DescripciónPara la vigencia 2025, definir la estrategia de participación en eventos y asegurar su implementación. La estrategia debe incluir: - Concepto creativo- Línea gráfica por audiencia- Estilo de diseño de standsIndicador% de avance de las actividadesQ2. (50%) Presentación con la identidad visual a utilizar en los diferentes eventos externos del FNGQ4. (50%) Diseño de stands, escarapelas y demás piezas de presencia de marca para los eventos, de acuerdo con lo contratado para cada eventoEntregables﻿Q2 (50%) Presentación con la identidad visual para los diferentes eventosQ4 (50%) Informe en pdf con los diseños realizados para los diferentes eventos</t>
  </si>
  <si>
    <t>1032471847</t>
  </si>
  <si>
    <t>Karen Zulenny Ariza Calderon</t>
  </si>
  <si>
    <t>Profesional de Gestión de Experiencia</t>
  </si>
  <si>
    <t xml:space="preserve">Acreditación experiencia al cliente </t>
  </si>
  <si>
    <t>Lograr al 31 de diciembre de 2025 la acreditación en experiencia del cliente para el Fondo Nacional de Garantías. El objetivo se cumple al 100% con la ejecución de todas las actividades, el resultado final corresponderá a la suma de los porcentajes de cumplimiento de cada actividad ejecutada y debidamente soportada, las cuales corresponden a las siguientes:Actividad 1: Formular plan de preparación para la acreditación aprobado por la vicepresidente comercial, que contemple actividades como la comunicación y sensibilización de las áreas claves del FNG involucradas en este proceso. (Peso: 15%)Entregable 1: Acta firmada por la vicepresidente comercial con el plan de preparación.Actividad 2: Proceso de contratación para formalizar el acuerdo con la entidad prestadora del servicio y garantizar las condiciones administrativas y operativas necesarias para la ejecución del proyecto. (Peso: 10%).Entregable 2: Minuta contrato firmada por las partes.Actividad 3: Asegurar que todas las partes involucradas comprendan la importancia del assessment CX y participen activamente en el proceso (Peso: 15%):&amp;nbsp;•	Proveer información clave a proveedor, convocar a los líderes claves a un espacio de sensibilización y socializar la aplicación del assessment.&amp;nbsp;Entregable 3: Informe de actividades realizadas, enviado por correo electrónico a la VP Comercial y a la dirección de experiencia.Actividad 4: Apoyo en la Evaluación de Madurez en CX (assessment CX) (Peso: 10%):•	Facilitar la recolección de información necesaria para el diagnóstico de madurez en CX.•	Monitorear el avance de la recopilación de datos y garantizar una alta tasa de respuesta en las encuestas.•	Facilitar el acceso a las personas a entrevistar para el análisis cualitativo.Entregable 4: Informe de actividades realizadas, enviado por correo electrónico a la Vicepresidente Comercial y a la directora de experiencia.Actividad 5: Asegurar que el análisis refleje fielmente la situación del FNG y proporcionar retroalimentación para su ajuste (Peso: 15%):&amp;nbsp;•	Revisar el informe de hallazgos principales.•	Validar las observaciones sobre el diagnóstico.&amp;nbsp;Entregable 5: Correo de aceptación de la vicepresidente comercial con las observaciones al proveedor.Actividad 6:&amp;nbsp;Recibir el informe con el resultado de la acreditación y asegurar la entrega de los resultados por parte del proveedor y que el Roadmap propuesto sea viable y alineado con los objetivos estratégicos del FNG:•	Priorizar las acciones clave del Roadmap y asignar responsables internos para su ejecución. (Peso: 10%)Entregable: Informe con el resultado de la acreditación y presentación con la propuesta de priorización de las actividades y asignación de responsables, aprobada a satisfacción por correo electrónico a la VP Comercial y a la dirección de experiencia.Actividad 7: Convocar y garantizar la participación de las áreas claves en el taller de Co-creación. (Peso: 10%)Entregable 7: Informe del taller realizado, enviado por correo electrónico a la VP Comercial.Actividad 8: Establecer plan de trabajo post-acreditación el cual incluya los compromisos adquiridos que permita que la acreditación tenga un impacto tangible en el FNG. (Peso: 15%)Entregable 8: Plan de trabajo final aprobado por la VP Comercial mediante acta.Los entregables se encontrarán en la siguiente ruta: P:\Objetivos\2025\Dirección de Experiencia\Karen Zulenny Ariza Calderon</t>
  </si>
  <si>
    <t>Biblioteca de productos</t>
  </si>
  <si>
    <t>Al 31 de diciembre de 2025 realizar la actualización mensual de la biblioteca de productos ubicada en CRM, con el fin de tener la información y condiciones vigentes de los productos activos del FNG. Esta actualización se realizará máximo el 7 día habil de cada mes, contado a partir de mayo de 2025, para un total de 8 envíos.Actividad 1: Actualización mensual de la biblioteca de productos con envío de correo a la subdirectora de experiencia de negocio con el documento actualizado y las modificaciones realizadas.&amp;nbsp;Peso 70%Entregable 1: Correo electrónico enviado a la subdirectora de experiencia de negocio, con el envío de cada versión de la biblioteca de productos y notificación de las actualizaciones realizadas.Actividad 2: Publicación del documento en CRM y socialización a la Vicepresidencia Comercial mediante correo por parte de la Subdirección.&amp;nbsp; Peso 30%Entregable 2: Soporte de publicación del documento en CRM y soporte envío de la biblioteca de productos a la VP Comercial por algún miembro de la subdirección de experiencia de Negocio.Entregable final: Informe general con la ejecución de la biblioteca de productos a la subdirectora de experiencia de negocio, con su debida aprobaciónMedición: El objetivo se cumple al 100 % con la ejecución de la totalidad de las actividades planteadas. Mínimo se debe cumplir con la ejecución del 50% de las actividades. Se medirá mediante tabla equitativa, en la cual alcanzar el 50% de las actividades representará un puntaje de 50 y así respectivamente. Menos del 50% de ejecución el puntaje será de 0.&amp;nbsp;Formulación:&amp;nbsp;* Sumatoria del promedio de envíos en tiempo* Sumatoria de número de cambios reportados - el número de errores encontrados / total del resultado* Resultado: Promedio de los resultados de los dos ejerciciosNota: El porcentaje obtenido será el equivalente al resultado.Los entregables se encontrarán en la siguiente ruta: P:\Objetivos\2025\Dirección de Experiencia\Karen Zulenny Ariza Calderon</t>
  </si>
  <si>
    <t>Caja de herramientas operativa</t>
  </si>
  <si>
    <t>Al 31 de diciembre de 2025 realizar la creación, actualización y socialización de documentos operativos que afiancen el conocimiento y mejoren la experiencia de los grupos de valor (cliente interno y externo).Actividad 1: Creación y actualización de los documentos de la caja de herramientas operativa, de acuerdo con las modificaciones del ciclo operativo de la garantía y/o solicitudes de las áreas del FNG. Peso 40%Entregable 1: Envió de correo electrónico a la subdirectora de experiencia de negocio con la aprobación de la creación y actualización de los documentos que componen la caja de herramientas operativas.Formulación: Documentos creados y/o actualizados / el total de documentos planteados.&amp;nbsp;Actividad 2: Socialización de los documentos a través de mesas de trabajo con los grupos de valor interesados (Internos: VP Comercial y Dirección de Operaciones Externos: Intermediarios financieros). Peso 60%Entregable 2: Lista de asistencia de los grupos de valor con quienes se realizó la socialización de la caja de herramientas operativa.Entregable: Informe enviado a la subdirectora de experiencia de negocio a través de correo electrónico con toda la ejecución y trabajo realizado de la caja de herramientas operativa, con su respectiva aprobación.Formulación: Documentos socializados / el total de documentos planteados.&amp;nbsp;Medición: El objetivo se cumple al 100 % con la ejecución de la totalidad de las actividades planteadas. Mínimo se debe cumplir con la ejecución del 50% de las actividades. Se medirá mediante tabla equitativa, en la cual alcanzar el 50% de las actividades representará un puntaje de 50 y así respectivamente. Menos del 50% de ejecución el puntaje será de 0. Formula: Total de actividades realizadas / Total de actividades planteadas *100.Los entregables se encontrarán en la siguiente ruta: P:\Objetivos\2025\Dirección de Experiencia\Karen Zulenny Ariza Calderon</t>
  </si>
  <si>
    <t>Nuestro rol en la entidad</t>
  </si>
  <si>
    <t>Al 31 de diciembre de 2025 realizar el levantamiento de información de las funciones generales de cada una de las áreas del FNG y socializarla a través de los videos temáticos mediante la campaña "Nuestro rol en la entidad"Actividad 1: Socializar a través de mesas de trabajo con los equipos del FNG la estrategia "Nuestro rol en la entidad", así mismo realizar un levantamiento de información de las funciones a destacar de cada una de las áreas y los miembros que la componen, enviando la información a la Dirección de Marca Institucional para la creación del video temático. Peso: 70%Entregable 1: Correo electrónico dirigido a la Dirección de Marca con la información recolectada de las 7 Vicepresidencias del FNG y la Oficina de Control Interno.Actividad 2: Asegurar la publicación de los videos a través de canales internos a los colaboradores del FNG. Peso: 30%Entregable 2: Soporte de publicación del video a través de las plataformas internas de la entidad.Medición: El objetivo se cumple al 100 % con la ejecución de la totalidad de las actividades planteadas. El resultado final será el equivalente a las actividades realizadas.Los entregables se encontrarán en la siguiente ruta: P:\Objetivos\2025\Dirección de Experiencia\Karen Zulenny Ariza Calderon</t>
  </si>
  <si>
    <t>Encuesta de cliente interno 2025</t>
  </si>
  <si>
    <t>Al 31 de diciembre de 2025 realizar el levantamiento de información y actualización de los servicios a evaluar de cada una de las áreas del FNG. Posteriormente diseñar y construir los formatos en la plataforma predeterminada y finalmente, realizar el envío de la encuesta a todos los colaboradores de la entidad a través del Mailyng corporativo, socializando los resultados generales a la Directora de Experiencia y Subdirectora de Experiencia de negocio.Actividad 1: Crear y alimentar una base con la información de los servicios a evaluar por cada una de las direcciones / áreas del FNG. Peso: 20%Entregable 1: Envío de la información a cada una de las direcciones del FNG a través de correo electrónico, con el documento adjunto indicando los servicios ofrecidos.Actividad 2: Construcción de los formatos de encuesta de todas las direcciones / áreas del FNG en la plataforma predeterminada, donde se incorporen todos los criterios a evaluar. Peso: 20%Entregable 2: Envío de correo electrónico a la subdirectora de experiencia de negocio con el link/QR de cada uno de los formatos construidos de las áreas del FNG con su debida aprobación.&amp;nbsp;Actividad 3: Envío del Mailyng con encuesta de cliente interno a todos los colaboradores del FNG. Peso: 40%Entregable 3: Soporte de envío de la encuesta de cliente interno a través de las plataformas internas de la entidad.Actividad 4: Socialización de los resultados de satisfacción general del FNG y la satisfacción general de cada una de las vicepresidencias a la directora y subdirectora de experiencia de negocio. Peso: 20%Entregable 4: Socialización de la presentación con la información recolectada de los resultados obtenidos y envío de la misma con la aprobación de la directora y subdirectora de experiencia.Medición: El objetivo se cumple al 100 % con la ejecución de la totalidad de las actividades planteadas. Mínimo se debe cumplir con la ejecución del 50% de las actividades. Se medirá mediante tabla equitativa, en la cual alcanzar el 50% de las actividades representará un puntaje de 50 y así respectivamente. Menos del 50% de ejecución el puntaje será de 0. Formula: Total de actividades realizadas / Total de actividades planteadas *100.Los entregables se encontrarán en la siguiente ruta: P:\Objetivos\2025\Dirección de Experiencia\Karen Zulenny Ariza Calderon</t>
  </si>
  <si>
    <t>A 31 de diciembre de 2025 cumplir con las actividades definidas para la FASE I del plan de mejoras al ciclo operativo de la garantía para las cooperativas. El objetivo se cumple al 100% con la ejecución de todas las actividades. El resultado final corresponderá a la suma de los porcentajes de cumplimiento de cada actividad ejecutada y debidamente soportada, las cuales corresponden a las siguientes:Definición de las actividades a realizar para el plan de mejoras dentro de los 10 días hábiles siguientes a la terminación del Q2. (Peso 20%)&amp;nbsp;Entregable: Presentación enviada y aprobada por correo electrónico a la Vicepresidente Comercial con la definición de las actividades.Ejecución de las actividades definidas al Q4. Se medirá de la siguiente manera:&amp;nbsp;(# de actividades ejecutadas / # total de actividades definidas)*100 (Peso 80%)&amp;nbsp;Entregable: Informe presentado y aprobado a la Vicepresidente comercial dentro de los 10 días hábiles siguientes a la terminación del Q4.Los entregables se encontrarán en la siguiente ruta: P:\Objetivos\2025\Dirección de Experiencia\Karen Zulenny Ariza Calderon</t>
  </si>
  <si>
    <t>1075234815</t>
  </si>
  <si>
    <t>Karla Maria Javela Herrera</t>
  </si>
  <si>
    <t>Profesional Senior de Tesorería</t>
  </si>
  <si>
    <t xml:space="preserve">Arqueo Mensual </t>
  </si>
  <si>
    <t>A 30 de septiembre de 2025 actualizar el 100% de los documentos propios de la Dirección de Tesorería y vigentes a esa fecha de corte.&amp;nbsp;CRITERIO DE MEDICION:El objetivo será calificable en forma proporcional al número de documentos actualizados, a partir de un cumplimiento del 95%, donde 94,99% equivale a 0 puntos.ENTREGABLES / EVIDENCIA: Documentos actualizados en ISOlución</t>
  </si>
  <si>
    <t>Cierre Diario Financiero</t>
  </si>
  <si>
    <t>Realizar a 30 de septiembre de 2025, la revisión general y automatización del cierre diario y generación del flujo de caja, en lo correspondiente a la información que se incorpora en el mismo, con base en los movimientos de ingresos y egresos (gastos bancarios), reflejados en las consultas bancarias y registrados en SAP.&amp;nbsp;EVALUACIÓN: Cumple o no cumpleEVIDENCIA: Actualización documental del instructivo IN-GFN-010 	Elaboración Flujo de Caja Diario en Isolución o aplicativo vigente.</t>
  </si>
  <si>
    <t>Vicepresidente de Transformación Digital e Innovación</t>
  </si>
  <si>
    <t>1014300028</t>
  </si>
  <si>
    <t>Kevin Santiago Gil Murillo</t>
  </si>
  <si>
    <t>Profesional Senior de Riesgos de Portafolio</t>
  </si>
  <si>
    <t>1020793129</t>
  </si>
  <si>
    <t>Maria Catalina Cano Ramos</t>
  </si>
  <si>
    <t>Análisis preliminar del proyecto de circular de la SFC sobre la integración de los riesgos ambientales y sociales, así como del proyecto de implementación del Sistema de Administración del Riesgo de Conductas (SARCO) dentro del Sistema Integral de Administración de Riesgos (SIAR).</t>
  </si>
  <si>
    <t>Evaluación del marco preliminar de implementación del Sistema de Administración de Riesgos Ambientales y Sociales y el Sistema de Administración del Riesgo de Conductas (SARCO) para definir su relación con el SIAR.Q3. Hacer seguimiento a la publicación de las circulares que regulan el Sistema de Administración de Riesgos Ambientales y Sociales y el Sistema de Administración del Riesgo de Conductas (SARCO) y analizar el proceso de implementación en relación con el SIAR.Q4. Presentar al Comité SIAR la implementación preliminar del Sistema de Administración de Riesgos Ambientales y Sociales y el Sistema de Administración del Riesgo de Conductas (SARCO) en relación con su articulación con el Sistema Integral de Administración de Riesgos (SIAR), que incluya el plan de implementación y los requerimientos necesarios para el cumplimiento de la normatividad.De acuerdo con el PAI 2025, este proyecto se vincula al objetivo estratégico 5. Promover el mejoramiento continuo a través del Sistema de Gestión Integral del FNG, especificamente en el subnumeral 5.2. Búsqueda de mejores prácticas de gestión y cumplimiento normativo (Monitoreo a la implementación y actualización normativa (Normativas jurídicas)Por lo tanto los entregables son:Q3. Enviar a los miembros del Comité SIAR un informe que relacione el análisis de entendimiento y el impacto de las circulares publicadas por la SFC en relación con el Sistema de Administración de Riesgos Ambientales y Sociales y el Sistema de Administración del Riesgo de Conductas (SARCO) en relación con la gestión actual del SIAR.&amp;nbsp;Q4. Acta de Comité SIAR donde conste la presentación del informe técnico que contenga el plan de implementación del Sistema de Administración de Riesgos Ambientales y Sociales, articulado con el SIAR, incluyendo los requerimientos normativos y las acciones necesarias para su cumplimiento.</t>
  </si>
  <si>
    <t>Automatización de Plantillas de Informes</t>
  </si>
  <si>
    <t>A partir de las bases de datos incorporadas en el servidor, automatizar consultas que deriven en informes o tableros de control que se distribuyan con frecuencia semanal / mensual.&amp;nbsp;Q3: Identificación de variables adicionales para incluir en base de datos.Q4: Hacer uso de las bases de datos para el desarrollo del informe diario, con los informes especiales de coyuntura de mercado y liquidez, junto con la automatización de presentaciones del Comités SIAR.De acuerdo con el PAI 2025, este proyecto se vincula al objetivo estratégico 3. Fortalecer la gestión y administración integral del riesgo para generar un adecuado ambiente de control.&amp;nbsp;Por lo tanto los entregables son:Q3. Ayuda de memoria donde se presenta la base de datos con información adicional para la elaboración de informes internos presentada al Director SIAR.Q3: Ayuda de memoria de la propuesta del informe de componentes principales (PCA) de la proyección de curva de deuda pública que complementa el informe de riesgo. presentada al Vicepresidente de Riesgos.Q4. Plantillas de automatizaciones del informe diario e informe mensual de la gestión de Riesgo de Mercado y Liquidez. (2 informes)</t>
  </si>
  <si>
    <t>Automatización de calculo de curvas para estimación del VaR Interno</t>
  </si>
  <si>
    <t>Reemplazar el actual flujo basado en Excel para la creación y almacenamiento de curvas por un proceso automatizado que utilice SQL como base de datos principal. Se contempla la generación de informes gráficos y consultas dinámicas mediante herramientas como Python.Q3: Estructurar la base de datos en SQL con información de los Betas y Thao necesarias para la construcción de curvas.Q4: Creación de visualizacion de datos de las curvas. Adicionalmente, integrar la automatización diseñada con la ejecución del modelo de VaR Interno.De acuerdo con el PAI 2025, este proyecto se vincula al objetivo estratégico 3. Fortalecer la gestión y administración integral del riesgo para generar un adecuado ambiente de control.&amp;nbsp;Por lo tanto los entregables son:Q3 (50%)Ayuda de memoria de la presentación realizada al Subdirector de Riesgos de Portafolio con el diseño e implementación de la Base de datos con la información necesaria para la construcción de las curvas en SQL. Donde se mencione la Identificación, recopilación y limpieza de los datos y la estructura lista para su uso en el modelado de curvas presentada al Subdirector de Riesgos de Portafolio.Q4 (50%)Visualizaciones de datos y plantilla del modelo de VaR Interno ajustada para su integración.&amp;nbsp;- Q4.1 (70% del objetivo Q4): Archivo PDF con la recopilación de una muestra de 5 días de generación de curvas donde se evidencia el desarrollo de la visualizacion del ocmportamiento de las curvas TES.&amp;nbsp;&amp;nbsp;- Q4.2 (30% del objetivo Q4): Plantilla con el ajuste final del modelo donde se integra la información.</t>
  </si>
  <si>
    <t>Complementar Pruebas de Backtesting del VaR Interno</t>
  </si>
  <si>
    <t>Evaluar y presentar a Comité SIAR pruebas complementarias del Backtesting del VaR Interno.Q2: Evaluación e inclusión de pruebas adicionales.&amp;nbsp;Q3: Documentar las nuevas pruebas presentadas, junto con su metodologia.&amp;nbsp;De acuerdo con el PAI 2025, este proyecto se vincula al objetivo estratégico 2. Asegurar la sostenibilidad financiera del FNG que contribuya con el crecimiento de la operación, especificamente en el subnumeral 2.1. Optimización Financiera (Optimización del Portafolio de Inversiones)Por lo tanto los entregables son: Q2: Acta Comité SIAR que contiene las pruebas.Q3: Documentación de pruebas de backtesting en el instructivo de VaR Interno. (IN-GFN-002)</t>
  </si>
  <si>
    <t>Analizar el marco de aplicación de la normatividad referente a las Grandes Exposiciones de las que trata la Circular Externa 003 de 2024 de la SFC y aplicar medidas de seguimiento para el cumplimiento de la normatividad.Q1. Enviar a la SFC el análisis de la aplicación de la Circular Externa 003 de 2024 en el Fondo Nacional de Garantías donde se identifiquen las fuentes de riesgo de las Grandes Exposiciones en la situación Financiera.&amp;nbsp;Q3. Presentar ante Comité SIAR la propuesta para el seguimiento de las Grandes Exposiciones donde se evalúen las posibles modificaciones de las políticas y metodologías de riesgo de contraparte y composición de portafolio.De acuerdo con el PAI 2025, este proyecto se vincula al objetivo estratégico 5. Promover el mejoramiento continuo a través del Sistema de Gestión Integral del FNG, especificamente en el subnumeral 5.2. Búsqueda de mejores prácticas de gestión y cumplimiento normativo (Monitoreo a la implementación y actualización normativa (Normativas jurídicas)Por lo tanto los entregables son:Q3. Enviar a los miembros del Comité SIAR un informe que relacione el análisis de entendimiento y el impacto de las circulares publicadas por la SFC en relación con el Sistema de Administración de Riesgos Ambientales y Sociales y el Sistema de Administración del Riesgo de Conductas (SARCO) en relación con la gestión actual del SIAR.&amp;nbsp;Q4. Acta de Comité SIAR donde conste la presentación del informe técnico que contenga el plan de implementación del Sistema de Administración de Riesgos Ambientales y Sociales, articulado con el SIAR, incluyendo los requerimientos normativos y las acciones necesarias para su cumplimiento.</t>
  </si>
  <si>
    <t>Proponer alternativas de modificación del límite de inversiones clasificadas hasta el vencimiento y ajustar las políticas y procedimientos para el seguimiento del cumplimiento de los límites.Q3. Presentar ante Comité SIAR el análisis para modificar el Límite de Clasificación de Inversiones Hasta el Vencimiento que contenga la propuesta de ajuste de limites y condiciones operativas para el seguimiento de los limites.&amp;nbsp;Q3. Documentar la propuesta del proceso operativo para el seguimiento de los límites de clasificación del portafolio a partir de las líneas de defensa del control de riesgos.&amp;nbsp;De acuerdo con el PAI 2025, este proyecto se vincula al objetivo estratégico 2. Asegurar la sostenibilidad financiera del FNG que contribuya con el crecimiento de la operación, específicamente en el subnumeral 2.1. Optimización Financiera (Optimización del Portafolio de Inversiones)Por lo tanto los entregables son:Acta Comité SIAR de la presentación de la propuesta de modificación del límite de clasificación de InversionesPublicación en Isolución del Procedimiento operativo para el control del seguimiento de los limites de riesgo.</t>
  </si>
  <si>
    <t>Optimización del informe de seguimiento contable</t>
  </si>
  <si>
    <t>Incorporar mejoras al proceso de seguimiento contable mediante el rediseño del actual proceso, el cual se dará con el almacenamiento de datos en SQL y generación de gráficos.Q3: Definición de consecución de insumos para la creación de la base de datos. Base de datos cargada en SQL.Q4: Diseño del soporte del informe de seguimeinto contable.De acuerdo con el PAI 2025, este proyecto se vincula al objetivo estratégico 3. Fortalecer la gestión y administración integral del riesgo para generar un adecuado ambiente de control.&amp;nbsp;Por lo tanto los entregables son:Q3 (50%)Ayuda de memoria de la presentación al Subdirector de Riesgos de Portafolio donde se evidencia la recolección, estructuración e implementación en SQL de los datos contables necesarios para el diseño de la base de datos.Q4 (50%)Plantilla para la ejecución del informe de seguimiento contable.&amp;nbsp;- Q4.1 (70% del objetivo Q4): Ayuda de memoria de la presentación al Subdirector de Riesgos de Portafolio donde se evalúe el diseño de la estructura del informe (visualización, filtros clave y conexión con la base de datos).&amp;nbsp;- Q4.2 (30% del objetivo Q4): Correo enviado con la implementación del nuevo diseño del informe.</t>
  </si>
  <si>
    <t>1072895913</t>
  </si>
  <si>
    <t>Laura Alecsandra Pardo Rodriguez</t>
  </si>
  <si>
    <t>Profesional Tributario</t>
  </si>
  <si>
    <t xml:space="preserve">Conciliación declaraciones sugeridas de IVA </t>
  </si>
  <si>
    <t>Realizar un papel de trabajo con la conciliación de las cifras sugeridas por la DIAN para la declaración bimestral de IVA frente a las cifras declaradas.&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a conciliación se preparará para las declaraciones bimestrales de los periodos I-II-III-IV-V de 2025. La conciliación debe arrojar una conclusión sobre los factores que generan las diferencias entre la declaración sugerida y la presentada.PT1. Bimestres enero–abril: julio 31 de 2025PT2. Bimestre mayo-junio: agosto 29 de 2025PT3. Bimestre julio-agosto: septiembre 30 de 2025PT4. Bimestre septiembre-octubre: noviembre 28 de 2025&amp;nbsp;Indicador o Formula con la que se va a Realizar la Medición.% de cumplimiento oportuno de los entregables.&amp;nbsp;*Cuatro (4) PT de actualización =100%&amp;nbsp;&amp;nbsp;*Tres (3) PT de actualización =60%&amp;nbsp;&amp;nbsp;*Dos (2) PT de actualización =30%*menos de (2) PT de actualización = 0%Entregables&amp;nbsp;Correo electrónico enviado a la Directora Tributaria, con el PT adjunto y en que se informe que el PT se encuentra listo según fecha de corte, con indicación de su ubicación en carpeta de público.Ubicación de las EvidenciasP:\Departamento de Impuestos\2025\19. Evaluación de desempeño\Laura Pardo</t>
  </si>
  <si>
    <t>Base mensualizada con el detalle abierto por tercero de IVA descontable de las facturas de Turismo al Vuelo</t>
  </si>
  <si>
    <t>Elaborar una base mensualizada abierta por tercero del IVA descontable de las facturas del tercero Turismo al Vuelo, dado que la factura indica el valor del IVA descontable a nombre de las empresas prestadoras del servicio de vuelos y el IVA descontable por concepto de comisión cobrada por Turismo al Vuelo, actualmente por limitaciones en SAP este IVA se contabiliza al NIT del tercero de Turismo al Vuelo.Se efectuarán dos entregas la primera en el 26 de agosto de 2025, que comprenderá el análisis de los meses de enero a julio y la ultima el 15 de diciembre, que comprende el análisis de los meses de agosto a noviembre.&amp;nbsp;Indicador o Formula con la que se va a Realizar la Medición% de cumplimiento oportuno de los entregables.&amp;nbsp;# de bases actualizadas oportunamente/ 2 actualizaciones a la base de datos en el añoDos bases actualizadas = 100%&amp;nbsp;Una base actualizada = 30%&amp;nbsp;Ninguna base actualizada = 0%Entregables&amp;nbsp;Correo electrónico enviado a la Directora Tributaria, con el PT adjunto y en que se informe que el PT se encuentra listo con el llenado de todos los campos y comentarios de análisis, así como su ubicación en carpeta de público.&amp;nbsp;&amp;nbsp;Ubicación de las Evidencias﻿P:\Departamento de Impuestos\2025\19. Evaluación de desempeño\Laura Pardo</t>
  </si>
  <si>
    <t xml:space="preserve">Tercerización de los saldos de cuentas del ingreso que corresponden a recuperación de cartera castigada e intereses de mora </t>
  </si>
  <si>
    <t>Elaborar una base tercerizada que conforme los saldos de las cuentas que se relacionan a continuación a fin que sean insumo para la elaboración del formato 1007 de información exógena, en la base se relacionaran los datos necesarios para el reporte de exógena, Primer nombre, Segundo nombre, Primer apellido, Segundo apellido, saldo a reportar:-41985501-41985502-41985503-41985504-41020402-41021002-41021003-41024002Se efectuarán dos entregas, la primera en el&amp;nbsp;04 de septiembre de 2025 que comprenderá el análisis de los meses de enero a julio y, la ultima el 19 de diciembre que comprenderá el análisis de los meses de agosto a noviembre de 2025.% de cumplimiento oportuno de los entregables.*Dos (2) PT de actualización = 100%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Un (1) PT de actualización = 30%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Cero (0) PT de actualización = 0Entregables&amp;nbsp;Correo electrónico enviado a la Directora Tributaria, con el PT adjunto y en que se informe que el PT se encuentra listo según fecha de corte, con indicación de su ubicación en carpeta de publico.Ubicación de las Evidencias﻿P:\Departamento de Impuestos\2025\19. Evaluación de desempeño\Laura Pardo</t>
  </si>
  <si>
    <t>Empalmes para proceso de Backup y transferencia de conocimiento</t>
  </si>
  <si>
    <t>A Febrero 07 de 2025, realizar las sesiones de empalme y transferencia de conocimiento con el profesional X de los siguientes temas:1.Anexo de cartera y renta PreSARGE&amp;nbsp;para la provisión de renta&amp;nbsp;2.Anexos de reporte para grupo Bicentenario y periodos intermedios SFC&amp;nbsp;Indicador o Formula con la que se va a Realizar la Medición.Sesiones de empalme realizadas/total de temas que debieron transferirse mediante sesión de empalmeSesiones para transferir los 2 temas indicados en la descripción del objetivo = 100%Sesiones para transferir 1 de los 2 temas indicados en la descripción del objetivo = 30%Ninguna sesión = 0%Entregables&amp;nbsp;Grabación sesión por teams en la cual se explique el PT y todos los aspectos considerados.Ubicación de las Evidencias﻿P:\Departamento de Impuestos\2025\19. Evaluación de desempeño\Laura Pardo</t>
  </si>
  <si>
    <t>Análisis para declaraciones de IVA</t>
  </si>
  <si>
    <t>Elaborar para el primer mes del bimestre de las declaraciones de IVA los planos y adelanto en el PT de la declaración de los bimestres III, IV, V y VI de 2025:&amp;nbsp;- Ingresos excluidos de San Andres y comisiones de mandato (cargue del plano de ingresos excluidos)&amp;nbsp;- Devoluciones de comisiones que requiera reclasificación manual en el PT de la cuenta de ingresos por comisión a la cuenta de devoluciones&amp;nbsp;- Análisis, conciliación y depuración del IVA descontable con el gasto&amp;nbsp;&amp;nbsp;Los siguientes son los meses comprendidos para el desarrollo del objetivo y fechas de entrega:&amp;nbsp;PT. Mayo: entrega para junio 13PT. Julio: entrega para agosto 27PT. Septiembre: entrega para octubre 27PT. Noviembre: entrega para diciembre 18&amp;nbsp;Indicador o Formula con la que se va a Realizar la Medición% de cumplimiento oportuno de los entregables.Cantidad de PT de análisis y planos de ingreso por comisión excluida cargados en SAP / 4 PT y planos mensuales&amp;nbsp;&amp;nbsp;&amp;nbsp;&amp;nbsp;*Cuatro (4) PT de actualización =100%&amp;nbsp;*Tres (3) PT de actualización =60%&amp;nbsp;*Dos (2) PT de actualización =30%&amp;nbsp;&amp;nbsp;&amp;nbsp;*Un (1) PT de actualización = 0%&amp;nbsp;*Cero (0) PT de actualización = 0%Entregables&amp;nbsp;Correo electrónico enviado a la Directora Tributaria, con el PT adjunto y en que se informe que el PT se encuentra listo según fecha de corte así como el plano de ingreso excluido cargado en SAP, con indicación de su ubicación en carpeta de públicoUbicación de las EvidenciasP:\Departamento de Impuestos\2025\19. Evaluación de desempeño\Laura Pardo</t>
  </si>
  <si>
    <t xml:space="preserve">Control tributario en facturación con contratistas  </t>
  </si>
  <si>
    <t>Realizar un papel de trabajo con el inventario de cada factura, cuenta de cobro, documento equivalente a factura en donde se pueda apreciar el control, seguimiento y trazabilidad de dichos documentos por los flujos de Mercurio asignados y que corresponden a la Dirección de Felicidad.&amp;nbsp;En el papel de trabajo se debe apreciar:&amp;nbsp;1.Relación 1 a 1 de cada factura o documento de cobro allegado al correo de facturación electrónica "Ventanilla” y radicado en Mercurio.&amp;nbsp;&amp;nbsp;2.Relación de las facturas o documento de cobro radicado en mercurio y no allegado al correo de facturación electrónica "Ventanilla".&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3.Informe de INVOWAY (Operador Tecnológico) con el reporte los eventos DIAN de acuse, recibido, aceptación y rechazo con el detalle de comentarios donde sea necesario.&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4.Relación de las facturas y NC aceptadas en la DIAN y no contabilizadas en el mes correspondiente (registradas en un periodo posterior).&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5.Relación de documentos equivalentes electrónicos emitidos para los no obligados a facturar cuando aplique.Esto por las facturas/cuentas de cobro/documentos equivalentes recibidos en asignación desde enero 27 y hasta el 18 de diciembre de 2025.&amp;nbsp;Se generaran las siguientes actualizaciones en las siguientes fechas:&amp;nbsp;1) inventario de enero 01 a mayo 31: julio 14&amp;nbsp;2) inventario de junio a septiembre: Octubre 243) inventario de octubre a diciembre 18: diciembre 19&amp;nbsp;Indicador o Formula con la que se va a Realizar la Medición% de cumplimiento oportuno de los entregables.*Tres (3)actualizaciones al PT =100%&amp;nbsp;&amp;nbsp;*Dos (2) actualizaciones al PT =50%*Una (1) actualización al PT =33%&amp;nbsp;*Cero (0) actualizaciones al PT = 0%Entregables&amp;nbsp;Correo electrónico enviado a la Directora Tributaria, con el PT adjunto y en que se informe que el PT se encuentra listo según fecha de corte con el llenado de todos los campos y comentarios de análisis, así como su ubicación en carpeta de público.Ubicación de las Evidencias﻿P:\Departamento de Impuestos\2025\19. Evaluación de desempeño\Laura Pardo</t>
  </si>
  <si>
    <t>Publicación mensual de bases de datos información exógena DIAN IF</t>
  </si>
  <si>
    <t>Poner a disposición de los Intermediarios Financieros la información detallada por tercero de las comisiones de enero a noviembre de 2025 para la conciliación de la información exógena. Se realizarán 11 publicaciones mensuales iniciando con la primera publicación en el mes de febrero de 2025 y la última en diciembre de 2025.&amp;nbsp;La publicación de las bases de enero a noviembre de 2025 debe estar a disposición de los intermediarios financieros máximo el día 15 hábil a la culminación del mes a publicar (mes inmediatamente anterior). El intermediario debe poder descargar su información a partir del día 15 hábil a la culminación del mes a consultar.&amp;nbsp;Indicador o Formula con la que se va a Realizar la Medición.% de cumplimiento oportuno de los entregables.11 meses de base publicados oportunamente&amp;nbsp;&amp;nbsp;&amp;nbsp;&amp;nbsp;&amp;nbsp;&amp;nbsp;&amp;nbsp;&amp;nbsp;&amp;nbsp;&amp;nbsp;&amp;nbsp;&amp;nbsp;&amp;nbsp;&amp;nbsp;=&amp;nbsp;&amp;nbsp;100%10 meses de base publicados oportunamente&amp;nbsp;&amp;nbsp;&amp;nbsp;&amp;nbsp;&amp;nbsp;&amp;nbsp;&amp;nbsp;&amp;nbsp;&amp;nbsp;&amp;nbsp;&amp;nbsp;&amp;nbsp;&amp;nbsp;=&amp;nbsp;&amp;nbsp;80%9 meses de base publicados oportunamente&amp;nbsp;&amp;nbsp;&amp;nbsp;&amp;nbsp;&amp;nbsp;&amp;nbsp;&amp;nbsp;&amp;nbsp;&amp;nbsp;&amp;nbsp;&amp;nbsp;&amp;nbsp;&amp;nbsp;&amp;nbsp;&amp;nbsp;=&amp;nbsp;&amp;nbsp;60%8 meses de base publicados oportunamente&amp;nbsp;&amp;nbsp;&amp;nbsp;&amp;nbsp;&amp;nbsp;&amp;nbsp;&amp;nbsp;&amp;nbsp;&amp;nbsp;&amp;nbsp;&amp;nbsp;&amp;nbsp;&amp;nbsp;&amp;nbsp;&amp;nbsp;=&amp;nbsp;&amp;nbsp;40%7 o menos meses de base publicados oportunamente&amp;nbsp;&amp;nbsp;&amp;nbsp;&amp;nbsp;&amp;nbsp;&amp;nbsp;=&amp;nbsp;&amp;nbsp;0%&amp;nbsp;Entregables&amp;nbsp;Correo electrónico enviado a la Directora Tributaria con indicación de:- La Publicación en el portal de la base en fecha oportuna- Pantallazos de las pruebas realizadas con la Dirección de Desarrollo y aplicaciones con mínimo las bases de 3 intermediarios financieros que permitan tener evidencia que la información se puede descargar de manera exitosa.Ubicación de las EvidenciasP:\Departamento de Impuestos\2025\19. Evaluación de desempeño\Laura Pardo</t>
  </si>
  <si>
    <t>Al 31 de julio de 2025 haber cerrado en el papel de trabajo con el análisis y control del movimiento de los 53 rezagos presupuestales de la vigencia 2024 que le fueron asignados.El control y trazabilidad deben proporcionar una fácil lectura del tratamiento de estas partidas en materia de:&amp;nbsp;- Deducción en impuesto de renta 2024- Pasivo real en el impuesto de renta 2024, pasivo estimado base del impuesto diferido renta 2024&amp;nbsp;- Movimiento/ingresos no gravados por recuperaciones en impuesto de renta para la provisión de renta mensual 2025- IVA descontable – IVA mayor valor del costo o gasto- Retenciones de impuestos y sus devoluciones o reintegros&amp;nbsp;- Certificados de retenciones y sus ajustes o correcciones&amp;nbsp;- Alguna situación a considerar para la exógena del año 2025&amp;nbsp;&amp;nbsp;Indicador o Formula con la que se va a Realizar la Medición.% de cumplimiento oportuno de los entregables.Papel de trabajo que contenga el análisis de la totalidad de los rezagos presupuestales asignados con el llenado de todos los campos y comentarios de análisis = 100%Papel de trabajo que contenga un análisis menor del 100% y hasta el 90% de la totalidad de los rezagos presupuestales asignados con el llenado de todos los campos y comentarios de análisis = 70%Papel de trabajo que contenga un análisis menor del 90% y hasta el 80% de la totalidad de los rezagos presupuestales asignados con el llenado de todos los campos y comentarios de análisis = 60%Papel de trabajo que contenga un análisis menor del 80% de la totalidad de los rezagos presupuestales asignados con el llenado de todos los campos y comentarios de análisis = 0%Entregables&amp;nbsp;Correo electrónico enviado a la Directora Tributaria, con el PT adjunto y en que se informe que el PT se encuentra listo con el llenado de todos los campos y comentarios de análisis, así como su ubicación en carpeta de publico.Ubicación de las EvidenciasP:\Departamento de Impuestos\2025\19. Evaluación de desempeño\Laura Pardo</t>
  </si>
  <si>
    <t>1054681002</t>
  </si>
  <si>
    <t>Laura Andrea Gomez Guerrero</t>
  </si>
  <si>
    <t>Profesional Senior de Gestión y Desarrollo Empresarial</t>
  </si>
  <si>
    <t>Fidelización comunidad empresarial FNG - Programa TEC</t>
  </si>
  <si>
    <t>Diseñar e implementar a 31 de diciembre del 2025, 3 charlas y/o talleres que incluyan temáticas relacionadas con habilidades blandas destinadas a los trabajadores profesionales y técnicos de algunas de las empresas seleccionadas en el programa TEC del modelo deMente Empresarial.  Indicador o Fórmula con la que se va a Realizar la Medición:&amp;nbsp;(No de charlas realizadas / Meta No. de charlas definidas)*100Entregables: Documento en PDF que relaciona la lista de asistencia firmada por los funcionarios que asistieron a los eventos (charla y/o taller), validado y aprobado por el director de EIGE a través de correo electrónico</t>
  </si>
  <si>
    <t xml:space="preserve">Estrategia de fortalecimiento comercial equipo consultor </t>
  </si>
  <si>
    <t>Diseñar e implementar a 31 de diciembre del 2025, una estrategia integral de experiencia para empresarios y emisores, enfocada en el fortalecimiento del abordaje comercial y la personalización del acompañamiento en la consultoría para empresas.Indicador o Fórmula con la que se va a Realizar la Medición:&amp;nbsp;El objetivo se cumple al 100 % con la ejecución de la totalidad de las actividades planteadas. Mínimo se debe cumplir con la ejecución del 80% de las actividades. Se medirá mediante tabla equitativa, en la cual alcanzar el 80% de las actividades representará un puntaje de 80 y así respectivamente. Menos del 80% de ejecución el puntaje será de 0.Entregable:Documento en PDF que relaciona la lista de asistencia firmada por los funcionarios que asistieron a los eventos (charla y/o taller), validado y aprobado por el director de EIGE a través de correo electrónico.</t>
  </si>
  <si>
    <t xml:space="preserve">Fidelización comunidad empresarial FNG - Modelo deMente Empresarial </t>
  </si>
  <si>
    <t>Diseñar e implementar a 31 de diciembre del 2025, una ruta de comercialización que permita promover los servicios de consultoría logrando que por lo menos el 50% de las visitas realizadas a empresas referidas suministren la documentación requerida.Indicador o Fórmula con la que se va a Realizar la Medición:&amp;nbsp;(No. empresas que suministran documentación / No. de empresas visitadas)*100Entregable:﻿Documento en PDF que relaciona el diseño de la ruta de comercialización y las pruebas de conocimiento realizadas a la fuerza comercial,&amp;nbsp;validado y aprobado por el Director de EIGE a través de correo electrónico</t>
  </si>
  <si>
    <t>Diseñar e implementar a 31 de diciembre del 2025, un modelo de post venta de los servicios de consultoría empresarial, que contribuyan con el mejoramiento de la percepción del FNG y el fortalecimiento de los conocimientos de la empresa en materia financiera y organizacional.Indicador o Fórmula con la que se va a Realizar la Medición:El objetivo se cumple al 100 % con la ejecución de la totalidad de las actividades planteadas. Mínimo se debe cumplir con la ejecución del 80% de las actividades. Se medirá mediante tabla equitativa, en la cual alcanzar el 80% de las actividades representará un puntaje de 80 y así respectivamente. Menos del 80% de ejecución el puntaje será de 0.Entregable:﻿Documento en PDF con el modelo&amp;nbsp;enviado por correo electrónico a la Dirección EIGE y lista de asistencia como evidencia de las capacitaciones realizadas al equipo consultor, validado y aprobado por el Director de EIGE a través de correo electrónico</t>
  </si>
  <si>
    <t>Prestación de servicios de consultoría financiera</t>
  </si>
  <si>
    <t>Prestar servicios de consultoría empresarial por medio de los servicios disponibles a 37 empresas al 31 de diciembre de 2025, con el fin de aportar conocimiento clave para su sostenibilidad y fortalecimiento como unidades productivas.Indicador o Fórmula con la que se va a Realizar la Medición:&amp;nbsp;Porcentaje de cumplimiento 100%(No de empresas terminadas / Meta No. de empresas a gestionar)*100Entregable:Informes de diagnóstico entregados por correo electrónico a cada empresa&amp;nbsp;&amp;nbsp;</t>
  </si>
  <si>
    <t>1003752030</t>
  </si>
  <si>
    <t>Laura Camila Gutierrez Lancheros</t>
  </si>
  <si>
    <t>Cientifico de Datos Junior</t>
  </si>
  <si>
    <t>Lograr a 31-12-2025 la puesta en producción del asistente de inteligencia artificial para la lectura de circulares u otro componente definido por la alta gerencia del FNG, asegurando el cumplimiento del 100% de los componentes relacionados a continuación (Este objetivo se encuentra alineado con el objetivo estratégico 5.1. Consolidación de la Arquitectura Empresarial; Apuesta estratégica, Solución operativa usando tecnología de inteligencia artificial (IA chat bot)):Indicador o Formula con la que se va a Realizar la Medición:Su evaluación será proporcional a la suma de los porcentajes relacionados a cada entregable completado a satisfacciónEntregables:Acta de recibido a satisfacción por parte del Director de planeación de los componentes de la apuesta de asistente IA para entrega en Q4.Ubicación de las Evidencias:﻿Z:\Objetivos\2025\Dirección de Planeación y Gestión Integral\Laura Camila Gutierrez Lancheros</t>
  </si>
  <si>
    <t>Presentar antes del 31 de diciembre una certificación o insignia en alguna ruta de formación de Microsoft o Databricks, que fortalezca las capacidades técnicas internas del equipo y esté en concordancia con la infraestructura de datos que se está implementando (Este objetivo se encuentra alineado con el objetivo estratégico: 6.2. Cualificación del talento humano; Apuesta estratégica, Desarrollo de habilidades técnicas, blandas y digitales del talento humano para la transformación digital del FNG):• Evidencia del certificado: peso 100% - Entrega Q4Indicador o Formula con la que se va a Realizar la Medición:Cumple/No CumpleEntregables:Certificado o insignia expedidoUbicación de las Evidencias:Z:\Objetivos\2025\Dirección de Planeación y Gestión Integral\Laura Camila Gutierrez Lancheros</t>
  </si>
  <si>
    <t>Lograr a 31 de diciembre de 2025, un estudio integral sobre los clientes del FNG, utilizando las fuentes de información disponibles, con el fin de caracterizar sus principales atributos sociodemográficos y analizar su comportamiento en relación con el uso de las garantías. El estudio permitirá generar conocimiento útil para orientar decisiones estratégicas. (Este objetivo se encuentra alineado con el objetivo estratégico 2. Optimización Financiera; Apuesta estratégica, Fortalecimiento de modelo de proyección y planeación financiera, mediante herramienta tecnológica estructuración y visualización):•&amp;nbsp;Word con la propuesta metodológica aprobada por subdirector de arquitectura de datos: peso 35% - Entrega Q3• Informe sobre la caracterización histórica de los clientes y patrones: peso 40% - Entrega Q4• Hoja de ruta de los siguientes estudios: peso 25% - Entrega Q4Indicador o Formula con la que se va a Realizar la Medición:Su evaluación será proporcional a la suma de los porcentajes relacionados a cada entregable completado a satisfacciónEntregables:Informe de avance de las actividades relacionadas para entrega en Q3 y Q4 respectivamenteUbicación de las Evidencias:Z:\Objetivos\2025\Dirección de Planeación y Gestión Integral\Laura Camila Gutierrez Lancheros</t>
  </si>
  <si>
    <t>Lograr a 31 de diciembre de 2025, un tablero de control en Tableau que consolide las principales métricas e indicadores clave (KPIs) para el seguimiento estratégico de la movilización de garantías, permitiendo la visualización oportuna y centralizada de los datos relevantes que faciliten la toma de decisiones informadas por parte de las áreas responsables. (Este objetivo se encuentra alineado con el objetivo estratégico: 4. Evolucionar los sistemas de información y aplicaciones del FNG; Apuesta estratégica, Automatizaciones 5.0):•&amp;nbsp;Modelo visual del diseño del tablero: peso 45% - Entrega Q3• Tablero de control operativo implementado en Tableau: peso 55% - Entrega Q4Indicador o Formula con la que se va a Realizar la Medición:Su evaluación será proporcional a la suma de los porcentajes relacionados a cada entregable completado a satisfacciónEntregables:Informe de avance de las actividades relacionadas para entrega en Q3 y Q4 respectivamenteUbicación de las Evidencias:﻿Z:\Objetivos\2025\Dirección de Planeación y Gestión Integral\Laura Camila Gutierrez Lancheros</t>
  </si>
  <si>
    <t>Lograr a 31-12-2025 la integración del proceso SARG con la arquitectura Lakehouse, asegurando el cumplimiento del 100% de los componentes técnicos y funcionales definidos, los cuales se describen a continuación (Este objetivo se encuentra alineado con el objetivo estrategico 4.2. Proyectos de transformación digital e innovación; Apuesta estratégica, Gestión de proyectos estratégicos de innovación y transformación con base tecnológica (DIRECTRIZ)):• Diagnóstico de requerimientos del proceso SARG: peso 25% - Entrega Q3• Diseño de la arquitectura de integración con Lakehouse: peso 25% - Entrega Q3• Desarrollo y prueba del flujo de integración de datos: peso 25% - Entrega Q4• Validación y puesta en marcha del proceso integrado: peso 25% - Entrega Q4Indicador o Formula con la que se va a Realizar la Medición:Su evaluación será proporcional a la suma de los porcentajes relacionados a cada entregable completado a satisfacción.Entregables:Informe de avance de las actividades relacionadas para entrega en Q3 y Q4 respectivamente, revisados y aprobados por el director de Planeación&amp;nbsp;Ubicación de las Evidencias:Z:\Objetivos\2025\Dirección de Planeación y Gestión Integral\Laura Camila Gutierrez Lancheros</t>
  </si>
  <si>
    <t>Lograr a 31-12-2025, el desarrollo del modulo descriptivo de recuperación de cartera mediante la construcción de un Tablero interactivo y un modelo analítico relacionado con la recuperación de cartera, asegurando el cumplimiento del 100% de los componentes técnicos, analíticos y operativos definidos a continuación (Este objetivo se encuentra alineado con el objetivo estratégico 2. Optimización Financiera; Apuesta estratégica, Diseño de estrategia de recuperación de cartera):• Tablero descriptivo: peso 50% - Entrega en Q3• Diseño metodológico del modelo analítico para cartera: peso 15% - Entrega en Q4• Socialización y recibo de retroalimentación por parte de las áreas responsables de recuperación de cartera: peso 10% - Entrega en Q4• Desarrollo del informe final y su viabilidad de aplicación en las estrategias de recuperación de cartera: peso 25% - Entrega Q4Indicador o Formula con la que se va a Realizar la Medición:Su evaluación será proporcional a la suma de los porcentajes relacionados a cada entregable completado a satisfacción.Entregables:Informe de avance de las actividades relacionadas para entrega en Q3 y Q4 respectivamenteUbicación de las Evidencias:﻿Z:\Objetivos\2025\Dirección de Planeación y Gestión Integral\Laura Camila Gutierrez Lancheros</t>
  </si>
  <si>
    <t>1026290987</t>
  </si>
  <si>
    <t>Laura Fernanda Franco Ovalle</t>
  </si>
  <si>
    <t>Profesional Senior de Cartera</t>
  </si>
  <si>
    <t>De la base de acuerdos de pago a corte del 30.05.2025 que están al día y con mora no mayor a 3 meses (1.091 contratos) A 31 de diciembre de 2025, realizar la revisión de las aplicaciones de pagos del 25% de los contratos, los cuales son 273, dejando constancia en un archivo en Excel en el cual se evidencie la relación de contratos revisados en cuanto a su correcta aplicación y dejando su respectiva nota en el sistema.&amp;nbsp;ENTREGABLE: Entrega del informe en Excel por correo electrónico a la Subdirectora de Cartera.&amp;nbsp;EVALUACIÓN: Será proporcional tomando en cuenta el número de contratos revisados sobre el total a revisar, de tal manera que, si por ejemplo se revisan 230 de 273 contratos, la calificación será del 84,25%.</t>
  </si>
  <si>
    <t>CREACIÓN HISTORIA DE USUARIO PARA TRASLADOS MASIVOS</t>
  </si>
  <si>
    <t>A 31 de diciembre, crear una historia de usuario para el desarrollo de una nueva transacción, o modificación de una ya existente, de tal forma que permita realizar traslados masivos entre cuentas contables; permitiendo la identificación de ingresos con diferente documento contable.&amp;nbsp;ENTREGABLE: Correo enviado a TI, donde se indique el caso en Aranda con el que fue radicada la Historia de Usuario.EVALUACIÓN: Cumple o no cumple</t>
  </si>
  <si>
    <t>A 31 de diciembre de 2025, realizar un estudio de factibilidad y viabilidad que concluya si es conveniente realizar el pago de las garantías reclamadas bajo el esquema tradicional de reclamación con recuperación de cartera de manera anticipada con una acreditación de los soportes jurídicos de pago (mandamiento de pago y/o auto de graduación y calificación de crédito) con posterioridad al pago de la garantía al intermediario financiero.ENTREGABLES: Este objetivo tendrá los siguientes hitos y entregables:a)&amp;nbsp;&amp;nbsp;&amp;nbsp;&amp;nbsp;&amp;nbsp;A 31 de julio de 2025, presentar al Comité Directivo un esquema de pros y contras inicial del estudio de viabilidad. Se requiere entrevistas con las áreas de operaciones, financiera, riesgos y comercial. Peso: 20%b)&amp;nbsp;&amp;nbsp;&amp;nbsp;&amp;nbsp;A 31 de agosto 2025, presentar al Comité de Recuperación de Cartera el análisis del impacto operativo de realizar el pago de garantías anticipado obteniendo el mandamiento de pago posteriormente. Peso: 20%c)&amp;nbsp;&amp;nbsp;&amp;nbsp;&amp;nbsp;&amp;nbsp;A 30 de septiembre de 2025, presentar al Comité de Recuperación de Cartera el análisis de riesgos enfocado a la siniestralidad, con la propuesta del pago de garantías anticipado obteniendo el mandamiento de pago posteriormente (artículos a modificar en el reglamento de garantías). Peso: 20%d)&amp;nbsp;&amp;nbsp;&amp;nbsp;&amp;nbsp;A 31 de octubre 2025, presentar al Comité de Recuperación de Cartera las conclusiones del informe de factibilidad y viabilidad de la propuesta del pago de garantías anticipado obteniendo el mandamiento de pago posteriormente. Evidencia: informe de factibilidad y viabilidad. Peso: 20%e)&amp;nbsp;&amp;nbsp;&amp;nbsp;&amp;nbsp;&amp;nbsp;A 30 de noviembre de 2025, presentar al Comité Directivo las conclusiones del informe de factibilidad y viabilidad de la propuesta del pago de garantías anticipado. Peso 20%EVIDENCIAS DE CUMPLIMIENTO:&amp;nbsp;Actas de los comités de recuperación de cartera y directivo con la presentación de los informes propuestos.EVALUACIÓN:&amp;nbsp;&amp;nbsp;el porcentaje de cumplimiento del objetivo será la sumatoria del peso asignado a cada hito, que se cumpla al 100%.&amp;nbsp;</t>
  </si>
  <si>
    <t>53177700</t>
  </si>
  <si>
    <t>Laura Fernanda Quimbay Salamanca</t>
  </si>
  <si>
    <t>Subdirector de Responsabilidad Social y Sostenibilidad</t>
  </si>
  <si>
    <t>Mapeo de actores</t>
  </si>
  <si>
    <t>Durante el 2025, elaborar el mapa de actores en el marco del diseño de la Estrategia de Sostenibilidad con participación de las áreas internas.Indicador y fórmulaPorcentaje de cumplimiento 100%Q3: 40%Q4: 60%Actividades y entregablesActividad 1. Q3: Realizar sondeo e investigación con las áreas internas para la identificación de los actores.Entregable 1: Constancia de reuniones con las áreas (40%).Actividad 2. Q4: Elaborar el mapa de grupos de interés con sus perfiles e intereses.Entregable 2: Mapeo de actores con sus perfiles e intereses presentado a la Directora de Asuntos Corporativos (60%).Ubicación﻿Público/gestión estratégica/Dirección asuntos corporativos</t>
  </si>
  <si>
    <t>Seguimiento de los estándares en materia de sostenibilidad a nivel internacional.</t>
  </si>
  <si>
    <t>Durante 2025, realizar seguimiento y análisis de desarrollos regulatorios y estándares en materia de sostenibilidad a nivel internacional para contar con las mejores prácticas en sostenibilidad.Indicador y fórmulaPorcentaje de cumplimiento 100%Q3: 50%Q4: 50%Actividades y entregablesActividad 1. Q3: Actualizar y complementar el mapeo de los estándares internacionales que hoy podrían tener aplicabilidad para el FNG.Entregable 1: Mapeo actualizado de los estándares internacionales y presentación al equipo de la Dirección de Asuntos Corporativos (50%).Actividad 2. Q4: Elaborar el informe de las mejores prácticas aplicables al FNG con conclusiones en el marco del diseño de la Estrategia de Sostenibilidad.Entregable 2: Informe con conclusiones presentado a la Dirección de Asuntos Corporativos (50%).UbicaciónPúblico/gestión estratégica/Dirección asuntos corporativos</t>
  </si>
  <si>
    <t>Diseñar durante el 2025 la primera versión de la estrategia de sostenibilidad del FNG, con apoyo externo especializado, que contenga el análisis de materialidad.Indicador y fórmulaPorcentaje de cumplimiento 100%Q1: 15%Q3: 35%Q4: 50%Actividades y entregablesActividad 1. Q1: Presentar el estado actual en materia de sostenibilidad del FNG ante el Comité de Gobierno Corporativo de enero de 2025.Entregable 1: Extracto del Acta del Comité de Gobierno Corporativo de enero de 2025 (15%)Actividad 2. Q3: Diseñar el análisis de materialidad presentado al Vicepresidente Ejecutivo.Entregable 2: Análisis de materialidad aprobado por el Vicepresidente Ejecutivo (35%)Actividad 3. Q4: Diseñar la estrategia de sostenibilidad.Entregable 3: Documento de la estrategia presentado a la alta gerencia (50%)UbicaciónPúblico/gestión estratégica/Dirección asuntos corporativos</t>
  </si>
  <si>
    <t>Proyecto Acercar</t>
  </si>
  <si>
    <t>Participar a lo largo del 2025, en representación del FNG, en las sesiones de capacitación del proyecto ACERCAR, de acuerdo con el cronograma establecido por la Secretaría de Ambiente de Bogotá y realizar el diligenciamiento de los requerimientos y el acompañamiento a las acciones previstas para el 2025.Indicador y fórmulaPorcentaje de cumplimiento 100%Q2: 35%Q3: 35%Q4: 30%Actividades y entregablesActividad: 1. Q2 a Q3: Asistir a las sesiones de capacitación, apropiarse del conocimiento, coordinar y participar de las reuniones con el tutor asignado por la Secretaría.Entregable 1: Cronograma de las sesiones, constancia de las sesiones impartidas por ACERCAR y reuniones realizadas con el Tutor (50%).Actividad 2. Q2 a Q3: Envío de entregables de acuerdo con los requerimientos de la Secretaría Distrital de Ambiente: Matriz del proyecto ambiental, Matriz de riesgos y oportunidades y Matriz de Aspectos e Impactos- AIA.Entregable 2: Correo electrónico con evidencia de envío de las matrices diligenciadas (20%).Actividad 3. Q4: Realizar un informe sobre el estado del proyecto y pasos a seguir en su implementación.Entregable 3: Informe sobre el estado del proyecto a corte de diciembre, presentado a la Dirección de Asuntos Corporativos con los pasos a seguir en su ejecución (30%).UbicaciónPúblico/gestión estratégica/Dirección asuntos corporativos</t>
  </si>
  <si>
    <t>Mapeo de instancias de coordinación interinstitucional en materia de sostenibilidad.</t>
  </si>
  <si>
    <t>Realizar durante el 2025, el mapeo de instancias de coordinación interinstitucional en materia de sostenibilidad para promover la participación activa del FNG y el intercambio de experiencias y buenas prácticas.Indicador y fórmulaPorcentaje de cumplimiento 100%Q3: 50%Q4: 50%Actividades y entregablesActividad 1. Q3: Realizar un mapeo de mesas técnicas, comisiones, eventos y otros espacios activos en sostenibilidad&amp;nbsp;Entregable 1: Mapeo y constancia de participación de los escenarios identificados, presentado al Director de Asuntos Corporativos (50%).Actividad 2. Q4: Priorizar los espacios para promover la participación del FNG y su posicionamiento institucional.Entregable 2: Informe de priorización de espacios presentado al Director de Asuntos Corporativos (50%).UbicaciónPúblico/gestión estratégica/Dirección asuntos corporativos</t>
  </si>
  <si>
    <t>Subdirector Experiencia de Negocio</t>
  </si>
  <si>
    <t>Lograr al 31 de diciembre de 2025 la acreditación en experiencia del cliente para el Fondo Nacional de Garantías. El objetivo se cumple al 100% con la ejecución de todas las actividades, el resultado final corresponderá a la suma de los porcentajes de cumplimiento de cada actividad ejecutada y debidamente soportada, las cuales corresponden a las siguientes:Actividad 1: Presentar a más tardar el 30 de abril el plan de preparación para la acreditación aprobado por la vicepresidente comercial, que contemple actividades como la comunicación y sensibilización de las áreas claves del FNG involucradas en este proceso. (Peso: 15%) Entregable: Acta firmada por la Vicepresidente Comercial que contiene el plan de preparación detallado, incluyendo cronograma, responsables y actividades de sensibilización.Actividad 2: Realizar a más tardar al 30 de julio el proceso de contratación para formalizar el acuerdo con la entidad prestadora del servicio y garantizar las condiciones administrativas y operativas necesarias para la ejecución del proyecto. (Peso: 10%). Entregable: Minuta contrato firmada por las partes.Actividad 3: Al corte del 30 de agosto asegurar que todas las partes involucradas comprendan la importancia del assessment CX y participen activamente en el proceso (Peso: 15%):&amp;nbsp;Entregable: Informe detallado de sensibilización e involucramiento, con listado de actividades ejecutadas, participantes, fechas y evidencias, enviado por correo electrónico a la Vicepresidente Comercial y a la Directora de Experiencia.Actividad 4: Apoyar el proceso de Evaluación de Madurez en CX (assessment CX) hasta el 30 de agosto garantizando:Facilitar la recolección de información necesaria para el diagnóstico de madurez en CX.• Monitorear el avance de la recopilación de datos y garantizar una alta tasa de respuesta en las encuestas.• Facilitar el acceso a las personas a entrevistar para el análisis cualitativo.Entregable: Informe consolidado de apoyo al assessment, que incluya avances, tasa de respuesta, listado de entrevistas gestionadas, enviado a la Vicepresidente Comercial y a la Directora de Experiencia.Actividad 5: Al 30 de agosto presentar el análisis donde se refleje fielmente la situación del FNG y proporcionar retroalimentación para su ajuste. ajuste (Peso: 15%):&amp;nbsp;Entregable: Documento con aceptación formal del diagnóstico, incluyendo observaciones o solicitudes de ajuste enviadas al proveedor.Actividad 6:&amp;nbsp;A más tardar el 30 de septiembre obtener el informe con el resultado de la acreditación y asegurar la entrega de los resultados por parte del proveedor y que el Roadmap propuesto sea viable y alineado con los objetivos estratégicos del FNG (Peso: 10%) Entregable: Informe con el resultado de la acreditación y presentación con la propuesta de priorización de las actividades y asignación de responsables, aprobada a satisfacción por correo electrónico a la Vicepresidente Comercial y a la Directora de ExperienciaActividad 7: Asegurar al 30 de septiembre la participación de las áreas claves en el taller de Co-creación (Peso: 10%) Entregable: Informe del taller de Co-creación, incluyendo agenda, participantes, hallazgos y compromisos, enviado por correo electrónico a la VP Vicepresidente Comercial y a la Directora de ExperienciaActividad 8: A más tardar el 30 de noviembre elaborar el plan de trabajo post-acreditación el cual incluya los compromisos adquiridos que permita que la acreditación tenga un impacto tangible en el FNG. (Peso: 15%) Entregable: Plan de trabajo post-acreditación aprobado, sustentado en acta firmada por la Vicepresidente Comercial, donde se establecen actividades, responsables, tiempos.Los entregables se encontrarán en la siguiente ruta: P:\Objetivos\2025\Dirección de Experiencia\Laura Janneth Santana Rivera</t>
  </si>
  <si>
    <t>Al 31 de diciembre de 2025 realizar el levantamiento de información de las funciones generales de cada una de las áreas del FNG y socializarla a través de los videos temáticos mediante la campaña "Nuestro rol en la entidad"Actividad 1: Socializar a través de mesas de trabajo con los equipos del FNG la estrategia "Nuestro rol en la entidad", así mismo realizar un levantamiento de información de las funciones a destacar de cada una de las áreas y los miembros que la componen, enviando la información a la Dirección de Marca Institucional para la creación del video temático. Peso: 70%Entregable 1: Correo electrónico dirigido a la Dirección de Marca con la información recolectada de las 7 Vicepresidencias del FNG y la Oficina de Control Interno.Actividad 2: Asegurar la publicación de los videos a través de canales internos a los colaboradores del FNG. Peso: 30%Entregable 2: Soporte de publicación del video a través de las plataformas internas de la entidad.Medición: El objetivo se cumple al 100 % con la ejecución de la totalidad de las actividades planteadas. El resultado final será el equivalente a las actividades realizadas.Los entregables se encontrarán en la siguiente ruta: P:\Objetivos\2025\Dirección de Experiencia\Laura Janneth Santana Rivera</t>
  </si>
  <si>
    <t>Semana de la Experiencia</t>
  </si>
  <si>
    <t>Al 31 de diciembre de 2025 realizar la semana de la experiencia en el FNG, la cual incluye actividades de socialización de los comportamientos de cultura de servicio, los aspectos más relevantes del Modelo de experiencia al cliente&amp;nbsp;(MEC) y el plan de comunicación. El objetivo se cumple al 100% con la realización de la semana de la experiencia de lo contrario el puntaje será 0.Entregable: Envío de boletín corporativo a través de mailing recopilando los momentos memorables de la semana.Los entregables se encontrarán en la siguiente ruta: P:\Objetivos\2025\Dirección de Experiencia\Laura Janneth Santana Rivera</t>
  </si>
  <si>
    <t>A 31 de diciembre de 2025 cumplir con las actividades definidas para la FASE I del plan de mejoras al ciclo operativo de la garantía para las cooperativas. El objetivo se cumple al 100% con la ejecución de todas las actividades. El resultado final corresponderá a la suma de los porcentajes de cumplimiento de cada actividad ejecutada y debidamente soportada, las cuales corresponden a las siguientes:Definición de las actividades a realizar para el plan de mejoras dentro de los 10 días hábiles siguientes a la terminación del Q2. (Peso 20%)&amp;nbsp;Entregable: Presentación enviada y aprobada por correo electrónico a la Vicepresidente Comercial con la definición de las actividades.Ejecución de las actividades definidas al Q4. Se medirá de la siguiente manera:&amp;nbsp;(# de actividades ejecutadas / # total de actividades definidas)*100 (Peso 80%)&amp;nbsp;Entregable: Informe presentado y aprobado a la Vicepresidente comercial dentro de los 10 días hábiles siguientes a la terminación del Q4.&amp;nbsp;Los entregables se encontrarán en la siguiente ruta: P:\Objetivos\2025\Dirección de Experiencia\Laura Janneth Santana Rivera</t>
  </si>
  <si>
    <t>Gestión de KPIS</t>
  </si>
  <si>
    <t>Al 31 de diciembre de 2025, implementar el desarrollo y puesta en marcha de 10 tableros en la herramienta PowerBI para el seguimiento en tiempo real de los indicadores, donde se aprecien las encuestas de resultados de: 1) Territorial, 2) Fondos Regionales, 3) Dirección General, 4) Canal Presencial, 5) Portal Transaccional, 6) DeMente Empresarial, 7) Vinculación Nuevos IF, 8). Certificación de Calidad, 9). Aseguramiento de Calidad, 10) Renovación Certificación de Calidad.&amp;nbsp;&amp;nbsp;Actividad 1: Implementar un sistema automatizado a través de tableros dinamicos para el envío periódico de encuestas de atención comercial y generar informe sobre su implementación y mejora de experiencia.Entregable 1: Tableros automatizados en la herramienta power BI (70%)Actividad 2: Definir una propuesta que permita trabajar en alternativas de solución basados en los resultados de las encuestasEntregable 2: Correo electrónico con la presentación de la propuesta aprobado por la Directora de Experiencia (30%)El objetivo se cumple al 100 % con la ejecución de la totalidad de las actividades planteadas. El resultado final será el equivalente a las actividades realizadas.Los entregables se encontrarán en la siguiente ruta: P:\Objetivos\2025\Dirección de Experiencia\Laura Janneth Santana Rivera</t>
  </si>
  <si>
    <t>Al 31 de diciembre del 2025 radicar las respectivas historias de usuario a TI para el desarrollo de la APP móvil para Intermediarios Financieros, teniendo en cuenta lo siguiente:Actividad 1. Crear Historia de Usuario (HU) con el ajuste de las BAPIS para la nueva APP de Intermediarios Financieros. Peso: 45%Actividad 2. Crear Historia de Usuario (HU) con la mejora de las funcionalidades de la APP móvil para Intermediarios Financieros. Peso: 45%Actividad 3. Generar instructivo para los usuarios finales sobre el manejo de la APP Movil. Peso: 10%&amp;nbsp;Medición: El objetivo se cumplirá con la ejecución de actividades de acuerdo con el porcentaje obtenido.El objetivo se cumple al 100 % con la ejecución de la totalidad de las actividades planteadas. Mínimo se debe cumplir con la ejecución del 90% de las actividades. Menos de 90% el puntaje será de 0.Entregables: Correo electrónico con el soporte de la radicación de cada historia de usuario para las dos actividades e instructivo enviado a través de correo electrónico a los clientes finales.Los entregables se encontrarán en la siguiente ruta: P:\Objetivos\2025\Dirección de Experiencia\Laura Janneth Santana Rivera</t>
  </si>
  <si>
    <t>52531946</t>
  </si>
  <si>
    <t>Laura Mercedes Peña Rodriguez</t>
  </si>
  <si>
    <t>Dirección Financiera</t>
  </si>
  <si>
    <t>Director Financiero</t>
  </si>
  <si>
    <t>Mejora en oportunidad y calidad de entrega de informes financieros</t>
  </si>
  <si>
    <t>Entregar informes mensuales y trimestrales con calidad y oportunidad a la Vicepresidencia Financiera.Indicadores:Cantidad de Informes a Comité Financiero entregados con oportunidad al VF / Total de Informes. (día 16 de cada mes o al día siguiente hábil)Cantidad de Informes a Grupo Bicentenario entregados de manera Oportuna al VF/ Total de Informes a GB&amp;lt;80% = 0%&amp;gt;= 80% = 100%Entregables:Correo de evidencia con el envió de la información al Vicepresidente Financiero y/o a Bicentenario.Evidencia:﻿ P:\Objetivos\2025\Dirección Financiera\Laura Mercedes Peña Rodríguez</t>
  </si>
  <si>
    <t>A 31 diciembre de 2025 lograr como mínimo el cumplimiento del 90% de las acciones formuladas durante la vigencia en los planes de acción y mejoramiento relacionados con las auditorias realizadas por la OCI, SFC, Revisoría Fiscal y CGR en las actividades relacionadas con la Dirección Financiera.Indicador:Cantidad de actividades de planes de mejoramiento cumplidas (# acciones ejecutadas) / # total de acciones incluidas en los planes a ser ejecutados al 31/12/2025Entregables:Correo electrónico enviado en el cual se informe a la Oficina de control Interno - OCI el cumplimiento de la acción, la modificación de fecha o entregable acordado, a estos correos deben adjuntarse los soportes de evidencias que correspondan en cada caso.</t>
  </si>
  <si>
    <t>Optimización del modelo para presupuesto financiero 2026</t>
  </si>
  <si>
    <t>Diagnosticar y actualizar el modelo para proyección del presupuesto del año siguiente.Indicador:Diagnostico (Estado Actual y Mejoras propuestas) 25% 15 de julio 2025Presentación de Propuesta de Mejoras 25% 8 de agosto 2025Versión Inicial con Mejoras 25% 22 de agosto de 2025Versión Final del Modelo 25% 12 de septiembre de 2025 (Balance, Estados de resultados y Flujo de caja, Solvencia)Entregable:* Correo enviado al VP Financiero con el Diagnostico que contenga el Estado Actual y las Mejoras propuestas 25%Hasta el 15 de julio 2025* Correo enviado al VP Financiero con la Presentación de Propuesta de Mejoras 25% Hasta el 8 de agosto 2025* Correo enviado al VP Financiero con la Versión Inicial con Mejoras 25%Hasta el 22 de agosto de 2025* Correo enviado al VP Financiero con la Versión Final del Modelo (Balance, Estados de resultados y Flujo de caja, Solvencia) 25%12 de septiembre de 2025Evidencia: P:\Objetivos\2025\Dirección Financiera\Laura Mercedes Peña Rodríguez</t>
  </si>
  <si>
    <t>Implementación de dashboard financiero para toma de decisiones</t>
  </si>
  <si>
    <t>Diseñar e implementar un tablero de control que proporcione información de los indicadores clave, dirigido al Vicepresidente Financiero y la Alta Dirección. Incluyendo métricas estratégicas de Movilización de Garantías, Gestión de Cartera, Control de Gastos y Análisis de Utilidad, permitiendo un monitoreo recurrente y facilitando la toma de decisiones.Indicador:Presentación Borrador Inicial que incluye variables de Movilización, Cartera, Gastos y Utilidad 50% - 30 de noviembre de 2025Informe Entregable 50% 31 de diciembre de 2025Entregables:Correo electrónico enviado al Vicepresidente Financiero con la presentación del borrador Inicial que incluye variables de Movilización, Cartera, Gastos y Utilidad 50% - Hasta el 30 de noviembre de 2025Correo electrónico enviado al Vicepresidente Financiero con el Informe final 50% - Hasta el 31 de diembre de 2025Evidencia: P:\Objetivos\2025\Dirección Financiera\Laura Mercedes Peña Rodríguez</t>
  </si>
  <si>
    <t>Estructuración, formalización y actualización de la documentación y de la matriz de riesgos de la Dirección Financiera</t>
  </si>
  <si>
    <t>Implementación y mejora de modelos financieros para operación estratégica</t>
  </si>
  <si>
    <t>1036640896</t>
  </si>
  <si>
    <t>Laura Moreno Echeverri</t>
  </si>
  <si>
    <t>Resultado Encuesta de Satisfacción de cliente Externo Zona de ventas FNG Antioquia-Chocó.</t>
  </si>
  <si>
    <t>Obtener al 31 de diciembre de 2025 un resultado igual o mayor a 9.1 en la Encuesta de Satisfacción del Cliente Externo - satisfacción funcionarios - zona de ventas de la Regional FNG Antioquia-Chocó.Formula: Igual o mayor a 9.1 (Donde menor a 8.6 es 0 puntos y 9.1 es 100 puntos), Rango: &amp;gt; o = 8.6 Pts &amp;lt; 9.1 Pts La fórmula de medición del Rango: = (Resultado Indicador – Cumplimiento Mínimo) / (Meta – Cumplimiento Mínimo) x 100.Evidencia: encuesta de satisfacción cliente Externo, estudio cuantitavo. Seccion: Satisfaccion funcionarios zona de ventas, resultado de la zona de ventas FNG Antioquia-Chocó.</t>
  </si>
  <si>
    <t>Participación Eventos</t>
  </si>
  <si>
    <t>Participar en Seis (6) eventos o mas durante el año 2025 en la zona de atención comercial (Antioquia), dando a conocer las generalidades y portafolio del FNG como un aliado estratégico de los colombianos, haciendo presencia en espacios y/o eventos coordinados con las diferentes entidades aliadas en la región.% CumplimientoSe medirá de acuerdo a la formula: # de eventos año 2025/6 y el resultado obtenido será la calificación final del objetivo según la formula, ejemplo: 3 eventos/6 = 50%.Evidencia:&amp;nbsp;Informe Modelo de Actuación Comercial MAC Fuerza Propia generado por la dirección de estrategia comercial.</t>
  </si>
  <si>
    <t>Visitas a sucursales activas y gestionables de Intermediarios Financieros del portafolio a cargo de la regional Antioquia-Chocó</t>
  </si>
  <si>
    <t>Realizar 304 visitas a sucursales activas gestionables de Intermediarios Financieros del FNG del portafolio a cargo en la regional Antioquia-Chocó durante el año 2025.Formula: Realizar 304 visitas o más obtendrá un puntaje de 100%, realizar menos de 270 visitas obtendrá un puntaje de 0%. Se medirá de acuerdo a la tabla equitativa: donde sacar un puntaje del 90% será el 90% y así hasta llegar&amp;nbsp;al 100%. Evidencia: Informe Modelo de Actuación Comercial MAC Fuerza Propia generado por la dirección de estrategia comercial.</t>
  </si>
  <si>
    <t>Movilización portafolio asignado en la regional Antioquia y Chocó.</t>
  </si>
  <si>
    <t>Lograr al 31 de diciembre de 2025 una movilización de créditos con garantías del FNG igual o superior al 100% de la meta definida por la Vicepresidencia Comercial al portafolio asignado por el subdirector comercial Antioquia-Chocó, la cual puede estar sujeta a cambios. Formula: Calificación proporcional entre la Meta definida por la Vicepresidencia Comercial al portafolio asignado por la subdirección comercial Antioquia-Choco y&amp;nbsp;$659.800.807.381 millones (donde menor a $659.800.807.381 millones es 0% y la Meta definida por la Vicepresidencia Comercial o más son 100%)&amp;nbsp;La fórmula de medición del Rango: = (Resultado Indicador – Cumplimiento Mínimo) / (Meta – Cumplimiento Mínimo) x 100. Evidencia: Informe de cierre de movilización del año 2025 generado por la dirección de estrategia comercial.</t>
  </si>
  <si>
    <t>Vinculaciones de nuevos intermediarios financieros y/o reactivaciones en la regional Antioquia-Chocó.</t>
  </si>
  <si>
    <t>Lograr la vinculación y/o reactivación durante el año&amp;nbsp;2025, de nueve (9) intermediarios financieros en la Regional Antioquia y Chocó.Se medirá de acuerdo a la formula : # de vinculaciones año 2025 divido 9 y el resultado obtenido será la calificación final del objetivo según la formula, ejemplo: 5 vinculaciones/9 = 55.5%.&amp;nbsp;&amp;nbsp;&amp;nbsp;&amp;nbsp;&amp;nbsp;&amp;nbsp;&amp;nbsp;&amp;nbsp;&amp;nbsp;&amp;nbsp;&amp;nbsp;&amp;nbsp;&amp;nbsp;&amp;nbsp;&amp;nbsp;&amp;nbsp;&amp;nbsp;&amp;nbsp;&amp;nbsp;&amp;nbsp;&amp;nbsp;&amp;nbsp;&amp;nbsp;&amp;nbsp;&amp;nbsp;&amp;nbsp;&amp;nbsp;&amp;nbsp;&amp;nbsp;&amp;nbsp;&amp;nbsp;Evidencia: Correo de Confirmación de suscripción de contrato generado por la Dirección de Vinculación, Aseguramiento y Calidad.</t>
  </si>
  <si>
    <t>1014188581</t>
  </si>
  <si>
    <t>Laura Natalia Sanchez Velasco</t>
  </si>
  <si>
    <t>Profesional de Infraestructura Física</t>
  </si>
  <si>
    <t>Administración BRDP</t>
  </si>
  <si>
    <t>Realizar durante la vigencia 2025 la administración y seguimiento de los BRDPs así:Informes trimestrales•	Informes de ejecución trimestral Q1: 20%•	Informes de ejecución trimestral Q2: 20%•	Informes de ejecución trimestral Q3: 20%•	Informes de ejecución trimestral Q4: 40%Su evaluación será CUMPLE o NO CUMPLE de acuerdo con cada entregable.&amp;nbsp;Los entregables serán:Informes trimestrales (4 informes)Ruta: Publico\objetivos\2025</t>
  </si>
  <si>
    <t>Lograr a 31-12-2025 el cumplimiento del Plan de Gestión Ambiental correspondientes al Decreto 612-201, el cual tiene un peso del 60% y la ejecución del proyecto ACERCAR que se desarrolla en compañia de la Secretaría Distrital de Ambiente, la cual tendrá un peso del 40%. Los entregables serán:•	Plan de Gestión Ambiental•	Acta de comité Institucional de Gestión y Desempeño Q1 e Informes de ejecución trimestral Q1: 25%•	Acta de comité Institucional de Gestión y Desempeño Q1 e Informes de ejecución trimestral Q2: 25%•	Acta de comité Institucional de Gestión y Desempeño Q1 e Informes de ejecución trimestral Q3: 25%•	Acta de comité Institucional de Gestión y Desempeño Q1 e Informes de ejecución trimestral Q4: 25%ACERCAR•	Presentar un informe mensual sobre el avance de los entregables para la SDA, cada informe tendrá un peso de 12,5% su evaluación será desde mayo.&amp;nbsp;•	Presentar las matrices diligenciadas solicitadas por SDA. Matriz de Aspectos e Impactos 20%, Matriz Riesgos y Oportunidades 15%, Matriz proyecto ambiental 15%.Su evaluación será proporcional al resultado obtenido en el plan.Su evaluación será:CUMPLE o NO CUMPLE de acuerdo con cada entregable.&amp;nbsp;Los entregables serán:•	Acta de comité Institucional de Gestión y Desempeño Q1 e Informes de ejecución trimestral Q1•	Acta de comité Institucional de Gestión y Desempeño Q1 e Informes de ejecución trimestral Q2•	Acta de comité Institucional de Gestión y Desempeño Q1 e Informes de ejecución trimestral Q3•	Acta de comité Institucional de Gestión y Desempeño Q1 e Informes de ejecución trimestral Q4•	Presentar un informe mensual sobre el avance de los entregables para la SDA, (8 informes)•	Matriz de Aspectos e Impactos&amp;nbsp;•	Matriz Riesgos y Oportunidades•	Matriz proyecto ambientalRuta: Publico\objetivos\2025</t>
  </si>
  <si>
    <t>Mantenimientos</t>
  </si>
  <si>
    <t>Realizar el seguimiento y la optimización de los mantenimientos a la infraestructura física mediante recorridos mensuales donde se puedan detectar el estado de las instalaciones.Documentos•	Planillas de inspección de la infraestructura mensual, la cual se iniciará su evaluación desde el mes de mayo hasta diciembre, cada mes tendrá un peso de 33 %•	Plan de mantenimiento general el cual se entregará mensualmente, iniciará su evaluación desde el mes de mayo hasta diciembre, cada mes tendrá un peso de 33 %•	Documento de mantenimientos realizados durante el mes,&amp;nbsp;la cual se iniciará su evaluación desde el mes de mayo hasta diciembre, cada mes tendrá un peso de 34 %Su evaluación será CUMPLE o NO CUMPLE de acuerdo con cada entregable.&amp;nbsp;Los entregables serán:•	Planillas de inspección de la infraestructura&amp;nbsp;•	Plan de mantenimiento general&amp;nbsp;•	Documento de mantenimientos realizados durante el mesRuta: Publico\objetivos\2025</t>
  </si>
  <si>
    <t>Contratar y ejecutar en el año 2025 los estudios y diseños para adelantar las adecuaciones locativas de la sede principal e iniciar el proceso de contratación para la ejecución de la obra. La evaluación tendrá los siguientes entregables:•	El contrato suscrito de consultoría mes de junio, tendrá un peso del 20%&amp;nbsp;•	El contrato suscrito de Interventoría mes de junio, tendrá un peso del 20%&amp;nbsp;•	El Acta de inicio de consultoría, mes de&amp;nbsp;junio tendrá un peso del 10%&amp;nbsp;•	El Acta de inicio de Interventoría, entregado mes de junio tendrá un peso del 10%&amp;nbsp;•	Informe parcial de supervisión presentado a 30 de julio tendrá un peso del 10%•	El Acta de recibo final de los diseños, entregado el mes de octubre tendrá un peso del 15%&amp;nbsp;•	Presentar al comité de adquisición de Bienes y Servicios el proceso de contratación de la obra correspondiente a la ejecución del resultado de la consultoría en el mes de noviembre. El cual tendrá un peso del 15%Al tener siete entregables se obtendrá el 100%, de lo contrario será proporcional a los obtenidos según el porcentaje descrito.&amp;nbsp;Su medición será:&amp;nbsp;•	Al tener siete entregables se obtendrá el 100%, de lo contrario será proporcional a los obtenidos según el porcentaje descrito.&amp;nbsp;•	Cumplimiento de entregables, por cada mes de retardo se sancionará con un 5% del total del peso del objetivo.•	Se exceptuarán los casos extraordinarios, como, por ejemplo: solicitud de otro si al contrato por parte del contratista, demoras en los tiempos de ejecución por hechos atribuibles a un tercero, declaración de desierto del proceso, entre otros.&amp;nbsp;•	En todo caso las excepciones deberán ser autorizadas por el Vicepresidente Ejecutivo.&amp;nbsp;Los entregables serán:•	El contrato suscrito de consultoría entregado en junio tendrá un peso del 20%&amp;nbsp;•	El contrato suscrito de Interventoría entregado en junio tendrá un peso del 20%&amp;nbsp;•	El Acta de inicio de consultoría, entregado en junio tendrá un peso del 10%&amp;nbsp;•	El Acta de inicio de Interventoría, entregado en&amp;nbsp;junio tendrá un peso del 10%&amp;nbsp;•	Informe parcial de supervisión presentado el 30 de julio tendrá un peso del 10%•	El Acta de recibo final de los diseños, entregado en de octubre tendrá un peso del 15%&amp;nbsp;•	Presentar al comité de adquisición de Bienes y Servicios el proceso de contratación de la obra correspondiente a la ejecución del resultado de la consultoría en el mes de noviembre. El cual tendrá un peso del 15%Ruta: Publico\objetivos\2025</t>
  </si>
  <si>
    <t>Lograr a 31-12-2025 el cumplimiento del 100% de los&amp;nbsp;planes del Decreto 612-2018, relacionados con la Dirección de Felicidad, los cuales son monitoreados por el Comité Institucional de Gestión y Desempeño.•	Plan Estratégico de Gestión Humana: peso 10%&amp;nbsp;•	Plan de Capacitación: peso 20%•	Plan de Bienestar :peso 20%•	Plan de Seguridad y Salud en el Trabajo: peso 30%•	Plan Institucional de Archivo 20%Su evaluación será proporcional al resultado obtenido en cada plan. (ejemplo: si se hace el 90% de las actividades la calificación será 90 puntos- Si la calificación es menor a 80% su calificación será cero).Los entregables serán:Acta de Comité Institucional de Gestión y Desempeño donde se evidencia el cumplimiento de los planes, presentados en cada Q. Ruta: Publico\objetivos\2025</t>
  </si>
  <si>
    <t>1023911979</t>
  </si>
  <si>
    <t>Laura Ximena Herrera Martinez</t>
  </si>
  <si>
    <t>Profesional Senior de Planeación y Gestion Integral</t>
  </si>
  <si>
    <t>Nueva metodología para el rediseño de procedimientos en el FNG</t>
  </si>
  <si>
    <t>Descripción del Objetivo:Lograr a más tardar el 31-12-2025 la definición, validación y aplicación piloto de una metodología para el rediseño y/o reingeniería de procedimientos del Sistema de Gestión Integrado (SGI) del FNG, incluyendo la creación de una sección en el manual de elaboración de documentos, la divulgación de sus componentes y la publicación de los primeros procedimientos rediseñados, asegurando el cumplimiento del 100 % de las actividades necesarias que se describen a continuación.Indicador: Su evaluación será proporcional a la suma de los porcentajes relacionados a cada entregable completado a satisfacciónActividades:1. Elaborar y presentar la propuesta de metodología de rediseño de procedimientos: Peso 20% – Entrega Q3-2025Entregable: Informe de avance de las actividades relacionadas para entrega en Q3, formalizado mediante correo electrónico al Subdirector de Planeación Estratégica y Gestión de Procesos.2. Actualizar el documento que aplique y formato de elaboración de procedimientos conforme a la nueva metodología: Peso 20 % – Entrega Q4-20253. Diseñar y difundir video o infografía “La nueva cara de los procedimientos” en los canales internos de comunicación de la Entidad: Peso 20 % – Entrega Q4-20254. Aplicar la metodología piloto en mínimo un procedimiento de cada proceso asegurando su publicación en Isotools: Peso 40 % – Entrega Q4-2025Entregable: Informe de avance de las actividades relacionadas para entrega en Q4, formalizado mediante correo electrónico al Subdirector de Planeación Estratégica y Gestión de Procesos.&amp;nbsp;El objetivo esta alineado a la apuesta estratégica del PAI: Mantenimiento del SGI enfocado al rediseño de procedimientos y automatización de procesosUbicación: P:\Objetivos\2025\Dirección de Planeación y Gestión Integral\Laura Ximena Herrera Martinez</t>
  </si>
  <si>
    <t>Definición y ejecución de la Rendición de Cuentas del FNG</t>
  </si>
  <si>
    <t>Descripción del Objetivo:Lograr a más tardar el 30-06-2025 la&amp;nbsp;ejecución de Audiencia Pública de Rendición de Cuentas que presentará los resultados de la gestión institucional 2024, incluyendo la elaboración del cronograma, participación de partes interesadas,&amp;nbsp;elaboración y publicación de informes, asegurando el cumplimiento del 100 % de las actividades necesarias que se describen a continuación:Indicador: Su evaluación será proporcional a la suma de los porcentajes relacionados a cada entregable completado a satisfacciónActividades:1. Definir cronograma de ejecución de la Rendición de Cuentas, adecuación de base de datos de grupos de interés y conformación del equipo de trabajo: Peso 25 % – Entrega Q2-20252. Gestionar las actividades de participación ciudadana y elaborar el informe previo de rendición de cuentas.3. Definir y suministrar la información para las invitaciones, encuestas y piezas informativas en medios de comunicación del FNG: Peso 25 % – Entrega Q2-20254. Realizar la Audiencia Pública Virtual de Rendición de Cuentas: Peso 25 % – Entrega Q2-20255. Elaborar y publicar el informe de resultados de la Rendición de Cuentas: Peso 25 % – Entrega Q2-2025Entregable: Informe de avance de las actividades relacionadas para entrega en Q2, formalizado mediante correo electrónico al Subdirector de Planeación Estratégica y Gestión de Procesos.&amp;nbsp;El objetivo esta alineado a la apuesta estratégica del PAI: Plan de rendición de cuentas de FNGUbicación: P:\Objetivos\2025\Dirección de Planeación y Gestión Integral\Laura Ximena Herrera Martinez</t>
  </si>
  <si>
    <t>Gestión, elaboración y publicación del Programa de Transparencia y Ética Pública (PTEP) del FNG</t>
  </si>
  <si>
    <t>Descripción del Objetivo:Lograr a más tardar el 30-09-2025 liderar la elaboración, aprobación y publicación del PTEP en la página web del FNG, incluyendo los componentes transversales y programáticos, y detallando las acciones institucionales en materia de legalidad, transparencia y lucha contra la corrupción, asegurando el cumplimiento del 100 % de las actividades necesarias que se describen a continuación:Indicador: Su evaluación será proporcional a la suma de los porcentajes relacionados a cada entregable completado a satisfacciónActividades:1. Presentar el contexto y actividades del PTEP, asignar responsables y cronograma: Peso 20 % – Entrega Q3-20252. Construir el PTEP de acuerdo con lo establecido en el Decreto 1122 de 2024 asegurando cubrir los componentes transversales y programáticos, socialización con vicepresidencias, participación ciudadana para comentarios: Peso 40 % – Entrega Q3-20253. Presentar el PTEP para aprobación y publicación en la página web: Peso 20 % – Entrega Q3-2025Entregable: Informe de avance de las actividades relacionadas para entrega en Q3, formalizado mediante correo electrónico al Subdirector de Planeación Estratégica y Gestión de Procesos.4. Coordinar la formulación del Plan de Seguimiento y Monitoreo: Peso 20% - Entrega Q4-2025Entregable: Informe de avance de las actividades relacionadas para entrega en Q3, formalizado mediante correo electrónico al Subdirector de Planeación Estratégica y Gestión de Procesos.El objetivo esta alineado a la apuesta estratégica del PAI: El Programa de Transparencia y Ética Pública (PTEP)Ubicación: P:\Objetivos\2025\Dirección de Planeación y Gestión Integral\Laura Ximena Herrera Martinez</t>
  </si>
  <si>
    <t>Articulación de Isotools con la el Sistema de Gestión Integrado del FNG</t>
  </si>
  <si>
    <t>Descripción del Objetivo:Lograr a más tardar el 31 de diciembre de 2025 la revisión, adecuación y publicación de los manuales MA-GES-006 (Gestión de la Información Documentada) y MA-GES-007 (Manual del Sistema de Gestión Integrado), de manera que queden alineados tanto con los cambios técnicos de Isotools (flujos, aprobaciones, roles, entre otros) como las actividades propias y desarrolladas por el proceso con relación al SGI, asegurando el cumplimiento del 100 % de las actividades que se describen a continuación:Indicador: Su evaluación será proporcional a la suma de los porcentajes relacionados a cada entregable completado a satisfacciónActividades:1. Actualizar los manuales en los que se vea reflejada la información correspondiente a los cambios funcionales y del proceso y la revisión de las instancias correspondientes al SGI. Peso 40% - Entrega Q4-20252. Publicar los manuales en el sistema definido por la entidad para la información documentada: Peso 40% - Entrega Q4-20253. Elaborar material visual para socializar los cambios del manual (video o infografía) y difundir publicación: Peso 20 % – Entrega Q4-2025Entregable: Informe de avance de las actividades relacionadas para entrega en Q4, formalizado mediante correo electrónico al Subdirector de Planeación Estratégica y Gestión de Procesos.El objetivo esta alineado a la apuesta estratégica del PAI: Puesta en producción del Software del SGIUbicación: P:\Objetivos\2025\Dirección de Planeación y Gestión Integral\Laura Ximena Herrera Martinez</t>
  </si>
  <si>
    <t>1019073962</t>
  </si>
  <si>
    <t>Leidy Johanna Velandia Cabra</t>
  </si>
  <si>
    <t>Administrador Microsoft</t>
  </si>
  <si>
    <t>Indicador de Ciberseguridad y Office 365</t>
  </si>
  <si>
    <t>Durante 2025 para Q4: Formular un indicador de ciberseguridad y un indicador de office 365 con su respectivo cargue en la plataforma de gestión documental a fin de fortalecer los procesos y procedimientos del área.EntregablesFicha de cada indicador cargado en la plataforma de gestión documental</t>
  </si>
  <si>
    <t>Fortalecimiento herramientas Office 365 a través de capacitación</t>
  </si>
  <si>
    <t>Durante 2025 Para Q4: Realizar capacitación de las herramientas con que cuenta la entidad a nivel de office 365 al personal del FNG en temas como: * Para Q3 realizar 02 Capacitaciones de uso y aprovechamiento de OneDrive. * Para Q3 realizar 02 Capacitaciones de uso de la herramienta teams y funcionalidades de la misma. * Para Q4 realizar 02 Capacitaciones de uso de Outlook, creación de reglas y pasos rápidos.EntregablesPlantillas de capacitación de cada uno de los temas y planillas de asistencia.</t>
  </si>
  <si>
    <t>Piloto de implementación Movilidad básica y seguridad con 365 E3</t>
  </si>
  <si>
    <t>Durante el 2025 para Q4, Realizar el piloto de Movilidad básica de seguridad con dispositivos móviles del área de infraestructura y ciberseguridad, con el fin de analizar el aseguramiento y gestión de dispositivos de los funcionarios de la entidad a futuro, esto en miras a dar alcance del To-Be entregado dentro del levantamiento de Arquitectura empresarial.Entregables﻿Documento de las pruebas realizadas y análisis de aplicabilidad.</t>
  </si>
  <si>
    <t xml:space="preserve"> Migrar a la directiva de método de autenticación convergente por cumplimiento</t>
  </si>
  <si>
    <t>Durante 2025 Para Q4: Migrar a la directiva de método de autenticación convergente de la plataforma de Office 365, antes del 25 de septiembre 2025 para evitar afectaciones del servicio, fortaleciendo los esquemas de seguridad de la entidad y fortaleciendo el uso del doble factor de autenticación del FNG.Entregables﻿Documento con las evidencias de la migración a la nueva directiva de O365</t>
  </si>
  <si>
    <t>1016035286</t>
  </si>
  <si>
    <t>Leidy Paola Galindo Jimenez</t>
  </si>
  <si>
    <t>A 31 de diciembre de 2025, realizar un diagnóstico general de la gestión de cobranza de los 4 operadores de recuperación de cartera (FRG), con el fin de definir un plan de trabajo para consolidar una propuesta de un modelo de cobranza que tenga como propósito mejorar la experiencia y satisfacción de los deudores de la cartera especial en este proceso.ENTREGABLE: Este objetivo tendrá los siguientes hitos y entregables:a)&amp;nbsp;&amp;nbsp;&amp;nbsp;&amp;nbsp;&amp;nbsp;A 31 de Julio 2025, presentar al Comité de Recuperación de Cartera, el objetivo del proyecto y cronograma de actividades del plan de trabajo. Evidencia: Informe y cronograma. Peso: 20%b)&amp;nbsp;&amp;nbsp;&amp;nbsp;&amp;nbsp;A 31 de Agosto 2025, presentar un informe al Comité de Recuperación de Cartera sobre el primer avance del diagnóstico preliminar del modelo de cobranza actual de los FRG. Este informe debe contener como mínimo: Organigrama del equipo de trabajo de cada FRG, experiencia de los gestores, infraestructura y protocolos de cobranza actuales y estudio inicial de habilidades blandas de los gestores. Evidencia: Informe. Peso: 20%c)&amp;nbsp;&amp;nbsp;&amp;nbsp;&amp;nbsp;&amp;nbsp;A 30 de septiembre presentar un informe de avance del desarrollo del objetivo al Comité Directivo. Peso: 10%d)&amp;nbsp;&amp;nbsp;&amp;nbsp;&amp;nbsp;A 31 de octubre 2025, presentar un informe al Comité de Recuperación de Cartera que contenga una propuesta de la estandarización de los protocolos de atención en la cobranza determinados por el FNG. Evidencia: Informe. Peso: 20%e)&amp;nbsp;&amp;nbsp;&amp;nbsp;&amp;nbsp;&amp;nbsp;A 30 de noviembre presentar un informe de avance del desarrollo del objetivo al Comité Directivo. Peso: 10%f)&amp;nbsp;&amp;nbsp;&amp;nbsp;&amp;nbsp;&amp;nbsp;&amp;nbsp;&amp;nbsp;A 31 de diciembre 2025, socializar con los FRG los protocolos de cobranza estandarizados a través de capacitaciones a los gestores.&amp;nbsp;Evidencia: Actas de reunión. Peso: 20%EVIDENCIAS DE CUMPLIMIENTO:&amp;nbsp;Actas de los comités de recuperación de cartera y directivo con la presentación de los informes propuestos, así como actas de reunión de la socialización de capacitaciones.EVALUACIÓN:&amp;nbsp;el porcentaje de cumplimiento del objetivo será la sumatoria del peso asignado a cada hito, que se cumpla al 100%.&amp;nbsp;</t>
  </si>
  <si>
    <t>Al 31 de diciembre de 2025, la Dirección de Gestión y Recuperación de Cartera liderará la contratación de una firma especializada para lograr realizar un diagnóstico, reflexión estratégica y formulación de recomendaciones para optimizar, mejorar y modernizar la gestión de cobranza de la cartera del FNG derivada del pago de garantías, específicamente para la cartera que se encuentra a cargo de personas naturales y que registran bajos montos.ENTREGABLES:&amp;nbsp;por cada hito cumplido se entregarán los siguientes documentos:Contratación ejecutada - Adjudicación y acta de inicio del contrato de diagnóstico (junio 2025). Entregable: Contrato Firmado. Peso: 30%Realización del diagnóstico al proceso de gestión de cobranza - Documento definitivo del diagnóstico e informe de recomendaciones para su mejoramiento y modernización, entregado por la firma especializada. Entregable: Acta de Comité de Recuperación de Cartera con fecha anterior o igual al 31/10/2025, donde quede plasmada la aprobación del informe entregado, por parte de sus miembros.&amp;nbsp;Peso: 40%A 31 de diciembre de 2025, diseñar y presentar al Comité de Recuperación de Cartera, un plan de trabajo para la implementación de mejoras y recomendaciones extraídas del documento entregado por la firma especializada.&amp;nbsp;&amp;nbsp;&amp;nbsp;Entregable: Acta de Comité de Recuperación de Cartera donde quede plasmado la aprobación del Plan de trabajo. Peso: 30%EVIDENCIAS DE CUMPLIMIENTO:&amp;nbsp;Copia simple del contrato suscrito y su respectiva acta de inicio, documentos del diagnóstico y actas de los comités de recuperación de cartera con la presentación de los informes propuestos, donde quede plasmada la aprobación del Plan de trabajo.EVALUACIÓN:&amp;nbsp;El porcentaje de cumplimiento del objetivo, será la sumatoria de los pesos que se han asignado a cada uno de los hitos cuando se cumplan al 100% con sus entregables.</t>
  </si>
  <si>
    <t>ACTUALIZACIÓN DOCUMENTAL SUBDIRECCIÓN DE CARTERA</t>
  </si>
  <si>
    <t>CONCILIACIÓN CARTERA MICRO SIN JUDICIALIZACIÓN</t>
  </si>
  <si>
    <t>A 31 de Diciembre de 2025, realizar la conciliación de las obligaciones denominadas “Micro sin judicialización” incluyendo el consolidado de obligaciones, creación de contratos, informe de recuperación y estado de las garantías. ENTREGABLE: Correo enviado en el mes de enero 2026 a la Subdirectora de cartera con la conciliación a corte 31 de diciembre 2025 .&amp;nbsp;EVALUACIÓN: Este objetivo se establece con un indicador de Cumple o No cumple.</t>
  </si>
  <si>
    <t>65771853</t>
  </si>
  <si>
    <t>Lenda Patricia Avila Barrero</t>
  </si>
  <si>
    <t>Profesional Senior de Seguridad y Salud en el Trabajo</t>
  </si>
  <si>
    <t>Seguimiento a Cuentas x Pagar y Cuentas x Cobrar</t>
  </si>
  <si>
    <t>Descripción del Objetivo:Realizar seguimiento mensual durante el 2025 a las cuentas por pagar y por cobrar de acuerdo al informe enviado por la Dirección de Contabilidad y Presupuesto y realizar el respectivo Informe para presentar a la Dirección de Felicidad para toma de decisionesIndicador o Formula con la que se va a Realizar la Medición:La medición será la sumatoria de los pesos para cada entregable.De no cumplir con un entregable su calificación sera "0" en ese entregableEntregables:1.Informe en archivo Excel remitido a la Dirección de Felicidad mensualmente durante los diez (10) primeros días hábiles del mes siguiente, con la relación de las incapacidades y demás cuentas radicadas estado, trámite y gestiones realizadas.Entregable: Informe&amp;nbsp;Peso: 60 %Medición será por informe, así : Junio:16 puntos - Julio a Diciembre:14 Puntos2.Presentación al Vicepresidente Ejecutivo para aprobación de la Junta Directiva y/o Comité Directivo de las cuentas que requieren saneamiento contable de acuerdo con los montos.Entregables: Presentación mes de Julio y Noviembre de 2025Peso: 20 %3.Informe Cierre de Gestión con la depuración de las cuentas por cobrar y pagar durante la vigencia.Entregable: Respuesta Memorando a Dirección de Contabilidad y PresupuestoPeso: 20 %Ubicación de las Evidencias:Z:\Objetivos\2025\Dirección de Felicidad</t>
  </si>
  <si>
    <t>Descripción del Objetivo:Lograr a 31-12-2025 el cumplimiento del 100% de los&amp;nbsp;planes del Decreto 612-2018, relacionados con la Dirección de Felicidad, los cuales son monitoreados por el Comité Institucional de Gestión y Desempeño.Plan Estratégico de Gestión Humana: peso 20%&amp;nbsp;Plan de Capacitación: peso 20%Plan de Bienestar :peso 20%Plan de Gestión Ambiental 20%Plan Institucional de Archivo 20%Indicador o Formula con la que se va a Realizar la Medición:Su evaluación será proporcional al resultado obtenido en cada plan. (ejemplo: si se hace el 90% de las actividades la calificación será 90 puntos- Si la calificación es menor a 80% su calificación será cero).Entregables:Acta de Comité Institucional de Gestión y Desempeño donde se evidencia el cumplimiento de los planes, presentados en cada Q.Ubicación de las Evidencias:Z:\Objetivos\2025\Dirección de Felicidad.</t>
  </si>
  <si>
    <t>Mes de la Salud</t>
  </si>
  <si>
    <t>Descripción del Objetivo:Realizar en julio de 2025 el mes de la salud del FNG con actividades de impacto que ayuden a mejorar la salud y el bienestar de los colaboradores, promoviendo estilos de vida saludables, buscando aumentar la conciencia sobre la importancia de la salud, fomentar la prevención y detección temprana de enfermedades, esto mediante la realización de:&amp;nbsp;Exámenes médicos periódicosActividad de alimentaciones saludableActividad Cardiovascular&amp;nbsp;Pausas cognitivas, manejo del estrés.Reinducción en SSTIndicador o Formula con la que se va a Realizar la Medición.Porcentaje de cumplimiento 100%.&amp;nbsp;Junio presentar el plan de actividades a desarrollar en el mes de la salud.a la directora de Felicidad - peso 30%&amp;nbsp;Julio ejecutar las actividades del mes de la salud - peso 30%Agosto y septiembre chequeos médicos - peso 30%Octubre y noviembre - presentar informe de chequeos y enviar informes de resultados a los colaboradores - peso 10%Entregables:Informes de actividades realizadas - envió resultados de los exámenes por correo a cada uno de los colaboradores.Ubicación de las Evidencias:Z:\Objetivos\2025\Dirección de Felicidad</t>
  </si>
  <si>
    <t>Plan Estratégico de Seguridad Vial - PESV Resolución 40595 de 2022</t>
  </si>
  <si>
    <t>Descripción del Objetivo:Realizar la ejecución del Plan Estratégico de Seguridad Vial Básico acorde con la resolución 40595 de 2022, dando cumplimiento a cada una de las etapas del proceso las cuales corresponden a:Fase 1. Planificación de pesv.Fase 2. Implementación y ejecución del pesv.Fase 3. Seguimiento por la organización del pesv.Fase 4. Mejora continua del pesv.Indicador o Formula con la que se va a Realizar la Medición:Porcentaje de cumplimiento 100%&amp;nbsp;Fase 1. Planificación de pesv - peso 25%&amp;nbsp;Fase 2. Implementación y ejecución del pesv – peso 25%&amp;nbsp;Fase 3. Seguimiento por la organización del pesv - peso 25%&amp;nbsp;Fase 4. Mejora continua del pesv - peso 25%&amp;nbsp;Entregables:Fase 1. Planificación de pesv – Reportar a la Directora de Felicidad mediante correo electrónico los documentos y/o formatos en Excel.Fase 2. Implementación y ejecución del pesv –Reportar a la Directora de Felicidad mediante correo electrónico los documentos y/o formatos en Excel.Fase 3. Seguimiento por la organización del pesv - Reportar a la Directora de Felicidad mediante correo electrónico los documentos y/o formatos en Excel.Fase 4. Mejora continua del pesv - Reportar a la Directora de Felicidad mediante correo electrónico los documentos y/o formatos en Excel.Ubicación de las Evidencias:Z:\Objetivos\2025\Dirección de Felicidad</t>
  </si>
  <si>
    <t>Planes Institucional Decreto  612 - 2018 - SST</t>
  </si>
  <si>
    <t>Descripción del Objetivo:Lograr a 31-12-2025 el cumplimiento del plan de Seguridad y Salud en el Trabajo.Indicador o Formula con la que se va a Realizar la Medición.Porcentaje de cumplimiento 100%&amp;nbsp;Q1. (Nº de actividades ejecutadas / Nº de actividades programadas)*100. peso 25%.Q2. (Nº de actividades ejecutadas / Nº de actividades programadas)*100. peso 25%.Q3.(Nº de actividades ejecutadas / Nº de actividades programadas)*100. peso 25%.Q4. (Nº de actividades ejecutadas / Nº de actividades programadas)*100. peso 25%.Entregables:Acta de Comité Institucional de Gestión y Desempeño donde se evidencia el cumplimiento de los planes, presentados en cada Q.&amp;nbsp;&amp;nbsp;Ubicación de las Evidencias:Z:\Objetivos\2025\Dirección de Felicidad</t>
  </si>
  <si>
    <t>79505022</t>
  </si>
  <si>
    <t>Leonardo Castiblanco Prieto</t>
  </si>
  <si>
    <t>Herramienta Informe de Estadísticas  Reclamación</t>
  </si>
  <si>
    <t>A 31/12/2025 Diseñar herramienta que genere el informe de Estadisticas de Reclamaciones por medio de inteligencia Artificial.Indicador: Cumple / No cumple.&amp;nbsp;ENTREGABLES / EVIDENCIA: Herramienta \objetivos\Dirección de Operaciones.</t>
  </si>
  <si>
    <t>1020837750</t>
  </si>
  <si>
    <t>Liliana Alexandra Zorro Chaparro</t>
  </si>
  <si>
    <t>Profesional de Defensa Judicial</t>
  </si>
  <si>
    <t>1023884973</t>
  </si>
  <si>
    <t>Lina Johana Cortes Maldonado</t>
  </si>
  <si>
    <t>Individual - Comité Datos Personales</t>
  </si>
  <si>
    <t>Lograr que al 31 de diciembre de 2025, la elaboración y firma de las actas los comités de datos personales de las sesiones que se hayan celebrado desde el 1 de enero al 15 de noviembre de 2025, las cuales deberán estar firmadas por sus integrantes y cargadas en Mercurio.&amp;nbsp;Cumplimiento(%) = (No. de comités celebrados/ No. de actas de comités suscritas) × 100Los entregables serán las actas de los respetivos comités. Los soportes se resguardarán en la siguiente ruta: P:\Objetivos\2025\Dirección Jurídica\Liliana Alexandra Zorro Chaparro</t>
  </si>
  <si>
    <t>PLAN PILOTO INSTITUCIONAL IMPLEMENTACIÓN MODELO OPEN FINANCE</t>
  </si>
  <si>
    <t>A 30 de noviembre de 2025, diseñar e implementar un plan piloto institucional que combine los lineamientos jurídicos del modelo de Open Finance con el desarrollo de una API básica —previo concepto de su factibilidad técnica—, en articulación con las áreas de analítica de datos y tecnología, para definir la estructura de los datos a exponer y la arquitectura tecnológica necesaria. La API estará orientada al acceso controlado y con consentimiento informado de datos financieros no sensibles, bajo los estándares de seguridad y protección de datos personales establecidos por la Superintendencia Financiera de Colombia.El porcentaje de cumplimiento del objetivo será la sumatoria del peso asignado a cada hito/etapa, que se cumpla al 100%. En caso de depender del área de Tecnología para etapas críticas, se aceptará como cumplido el hito si la Dirección Jurídica entrega oportunamente los insumos, hace seguimiento formal y evidencia la gestión, aun si la ejecución técnica se encuentra en curso por causas ajenas a la Dirección. El objetivo se cumplirá con la sumatoria de mínimo el 90%.ENTREGABLES: Este objetivo tendrá los siguientes hitos y entregables:a)	Al 31 de agosto de 2025 elaborar un diagnóstico normativo sobre la implementación del modelo de Open Finance al interior del FNG, e incluir un análisis preliminar con el área de analítica de datos para identificar el tipo y estructura general de los datos susceptibles de ser compartidos en el piloto. Asimismo, realizar la validación técnica de factibilidad para el desarrollo de una API con el área de Tecnología. Peso 20%b)	Al 30 de septiembre de 2025 informe al Comité Directivo del FNG del diagnóstico inicial realizado sobre la implementación del modelo de Open Finance al interior del FNG conforme con la información reportada desde la Dirección Jurídica, el área de Tecnología y el Subdirector de Arquitectura de Datos. Peso 10%c)	A 31 de octubre de 2025, elaborar un protocolo jurídico para el acceso de la información a terceros, en el cual se contemplen criterios generales de implementación del modelo, así como aspectos como el consentimiento informado, uso limitado de datos personales, trazabilidad y sanciones relacionadas con su tratamiento. Este protocolo deberá guardar coherencia con las definiciones técnicas y estructurales del flujo de datos identificados por las áreas de analítica y tecnología. Peso 30%d)	A 30 de noviembre de 2025, realizar la actualización de la política de tratamiento de datos personales ajustándola a los criterios identificados para la implementación del modelo de Open Finance. Peso 30%e)	A 15 de diciembre de 2025, informe al Comité Directivo del FNG de los resultados obtenidos de la implementación del plan piloto para el modelo de Open Finance. Peso 10%EVIDENCIAS DE CUMPLIMIENTO:a)	Documento diagnóstico en materia normativa y tecnológica que permitan identificar la viabilidad de la implementación del modelo de Open Finance teniendo en cuenta la estructura tecnológica.b)	Protocolo jurídico donde se contemplen los criterios generales de la implementación del Open Finance al interior del FNGc)	Actualización de la política de tratamiento de datos personales ajustándola a los criterios identificados para la implementación del modelo de Open Finance.</t>
  </si>
  <si>
    <t>WIKI JURÍDICA</t>
  </si>
  <si>
    <t>Contratar un desarrollador externo para que diseñe e implemente durante el segundo semestre de 2025, en coordinación con la Dirección Jurídica, un motor de búsqueda inteligente basado en inteligencia artificial (ChatGPT, Copilot, etc.), que se integre para usos prácticos con el repositorio interno de documentación legal (conceptos jurídicos internos o emitidos por asesores externos, respuesta a consultas, contratos, MOU’s, NDA’s, Boletines jurídicos y expedientes de procesos judiciales entre otros) con el fin de mantener organizada la memoria documental del FNG, automatizar procesos, mejorar la eficiencia, trazabilidad y precisión en las consultas sobre la información generada por la Dirección Jurídica. El prototipo de Wiki Jurídica deberá estar diseñado al 30 de noviembre de 2025.&amp;nbsp;El porcentaje de cumplimiento del objetivo será la sumatoria del peso asignado a cada hito/etapa, que se cumpla al 100%.&amp;nbsp;ENTREGABLES:-	Etapa 1:A 18 de julio de 2025, presentar a la Vicepresidencia Jurídica el estudio de mercado realizado con las ofertas obtenidas por parte de los potenciales contratistas. Peso 20%&amp;nbsp;-	Etapa 2:A 16 de agosto de 2025, haber finalizado el proceso de contratación del desarrollador externo, previamente elegido con la Vicepresidencia Jurídica. Peso 30%-	Etapa 3:Al 30 de agosto de 2025, presentar a la Vicepresidencia Jurídica el repositorio jurídico actualizado desde el 1° de enero de 2024 a 30 de junio de 2025, ubicado en la herramienta público. Peso: 30%-	Etapa 4Al 30 de noviembre de 2025, entregar el prototipo de motor de búsqueda, el cual servirá para mejorar eficiencia, trazabilidad y memoria documental de la Dirección jurídica del FNG. Peso 20%-	EVIDENCIAS DE CUMPLIMIENTO:1.	Sondeo de mercado (ofertas)2.	Repositorio actualizado3.	Contrato4.	Prototipo motor de búsqueda&amp;nbsp;</t>
  </si>
  <si>
    <t>Cumplimiento CRM</t>
  </si>
  <si>
    <t>Durante la vigencia de 2025 cumplir en los plazos establecidos, como mínimo en un 98%, las solicitudes de asesoría jurídica radicadas mediante CRM o correo electrónico de acuerdo con el ANS de conceptos jurídicos y PQRS (valor mínimo para obtener puntaje 90%)&amp;nbsp;Medición: No. De PQRS realizadas a tiempo / No. De PQRS solicitadas * 100&amp;nbsp;&amp;nbsp;&amp;nbsp;&amp;nbsp;Archivo en excel que contenga la relación de solicitudes radicadas mediante CRM el cual deberá ser enviado&amp;nbsp;por correo electrónico a la Subdirección de Defensa al 12 de enero de 2026 Los soportes se resguardarán en la siguiente ruta: P:\Objetivos\2025\Dirección Jurídica\Liliana Alexandra Zorro Chaparro&amp;nbsp;</t>
  </si>
  <si>
    <t>Individual - Actualización Normograma</t>
  </si>
  <si>
    <t>1. Al 7 de julio de 2025 actualizar el normograma del FNG Q2 de acuerdo con las normas relacionadas con el objeto social que se encuentren vigentes y hayan sido expedidas en el periodo objeto de actualización. Peso 25%.2. Al 6 de octubre de 2025 actualizar el normograma del FNG Q3 de acuerdo con las normas relacionadas con el objeto social que se encuentren vigentes y hayan sido expedidas en el periodo objeto de actualización. Peso 25%.3. Al 31 de diciembre de 2025 actualizar el normograma del FNG Q4 de acuerdo con las normas relacionadas con el objeto social que se encuentren vigentes y hayan sido expedidas en el periodo objeto de actualización. Peso 25%.4. Al 31 de diciembre de 2025 haber capacitado a los colaboradores de todos los procesos de actualización del normograma del FNG. Peso 25%.El % de cumplimiento será la sumatoria del % de cumplimiento de cada una de las actividades realizadas teniendo en cuenta el peso de cada una.&amp;nbsp;Informe a la subdirectora de defensa judicial indicando el cumplimiento de cada actividad y adjuntando los respetivos soportes. La fecha máxima de entrega del informe es el 31 de diciembre de 2025. Los soportes se resguardarán en la siguiente ruta:P:\Objetivos\2025\Dirección Jurídica\Liliana Alexandra Zorro Chaparro</t>
  </si>
  <si>
    <t>Diseñar e implementar, en articulación con el área de Tecnología, un módulo de gestión jurídica interna dentro de la plataforma “Aranda” que permita el registro, seguimiento en tiempo real y trazabilidad de las solicitudes jurídicas presentadas por las áreas del FNG (cliente interno en materia de solicitudes de créditos y atención al área comercial) a la Dirección Jurídica, incorporando, entre otros, mecanismos de control de ANS en la atención a las respuestas, visualización de carga operativa, justificación de demoras y generación de reportes ejecutivos diferenciados por área solicitante, con acceso especial para usuarios solicitantes, responsables jurídicos y directivos de cada área. El módulo de aranda deberá estar al 6 de octubre de 2025.El porcentaje de cumplimiento del objetivo será la sumatoria del peso asignado a cada hito/etapa, que se cumpla al 100%. En caso de depender del área de Tecnología para etapas críticas, se aceptará como cumplido el hito si la Dirección Jurídica entrega oportunamente los insumos, hace seguimiento formal y evidencia la gestión, aun si la ejecución técnica se encuentra en curso por causas ajenas a la Dirección. El objetivo se cumplirá con la sumatoria de mínimo el 90%.ENTREGABLES:-	Etapa 1:Al 21 de julio de 2025, presentar a la Vicepresidencia Jurídica el documento de requerimientos funcionales, flujos de proceso, formatos estandarizados de las solicitudes con un lenguaje amigable transformando la experiencia de las diferentes áreas al momento de solicitar los servicios jurídicos.&amp;nbsp;Peso: 45%-	Etapa 2:Al 4 de agosto de 2025 entregar al área de Tecnología el proyecto completo con la información requerida, para implementar la función/módulo de gestión jurídica interna en la plataforma Aranda. Peso: 45%-	Etapa 3A 6 de octubre de 2025, realizar el correspondiente lanzamiento del módulo jurídico en la plataforma Aranda para uso institucional. Peso: 10%El cumplimiento del cronograma e implementación total del módulo depende de la disponibilidad técnica y priorización de recursos por parte del área de Tecnología.&amp;nbsp;EVIDENCIAS DE CUMPLIMIENTO:-	Actas mesas de trabajo-	Documento de requerimientos funcionales&amp;nbsp;-	Flujos de proceso-	Formatos estandarizados de las solicitudes-	Cronograma y plan de desarrollo concertado por la Dirección Jurídica y el área de Tecnología-	Documento de historia de usuario&amp;nbsp;</t>
  </si>
  <si>
    <t>Director Tributario</t>
  </si>
  <si>
    <t>Activación Modulo en SAP de activos fijos</t>
  </si>
  <si>
    <t>Descripción del Objetivo:Lograr la implementación fiscal del módulo de activos fijos al 31 de diciembre de 2025 para salida en vivo el 1 de enero de 2026.Indicador o Formula con la que se va a Realizar la Medición:Definición de reglas de negocio (Bussines Blue Print) 31 de agosto 30%Definición de datos fiscales maestros 31 de diciembre 30%Informe de ejecución de pruebas 31 de diciembre 40%Entregables:*Correo electrónico remitido al Vicepresidente Financiero con el Informe definición de reglas de negocio (Bussines Blue Print) 31 de Agosto 30%*Correo electrónico remitido al Vicepresidente Financiero con el informe de definición de datos fiscales maestros 31 de diciembre 30%* Correo electrónico remitido al Vicepresidente Financiero con el Informe de ejecución de pruebas 31 de diciembre 40%Evidencias:﻿ P:\Objetivos\2025\Dirección Tributaria\Liliana Yaneth Avellaneda Barbosa</t>
  </si>
  <si>
    <t>Actualizar la publicación de las capacitaciones para personas naturales y jurídicas en impuesto de renta e IVA por la comisión</t>
  </si>
  <si>
    <t>A noviembre 28 publicar en la página Web del FNG un folleto digital que describa el perfil tributario del FNG en materia de impuestos nacionales y territoriales.</t>
  </si>
  <si>
    <t>Presentación y pago de Impuestos</t>
  </si>
  <si>
    <t>Descripción del Objetivo:A 31 diciembre de 2025 lograr como mínimo el cumplimiento del 90% de las acciones formuladas durante la vigencia en los planes de acción y mejoramiento relacionados con las auditorías realizadas por la OCI, SFC, Revisoría Fiscal y CGR en las actividades relacionadas con la Dirección TributariaIndicador o Formula con la que se va a Realizar la Medición:Cantidad de actividades de planes de mejoramiento cumplidas (# acciones ejecutadas) / # total de acciones incluidas en los planes a ser ejecutados al 31/12/2025Entregables:Correo electrónico enviado en el cual se informe a la Oficina de control Interno - OCI el cumplimiento de las acciones, la modificación de fecha o entregables acordados, a este correo deben adjuntarse los soportes de evidencias que correspondan en cada caso.Evidencias:﻿ P:\Objetivos\2025\Dirección Tributaria\Liliana Yaneth Avellaneda Barbosa</t>
  </si>
  <si>
    <t>Controles "Sin documentar" Dirección Tributaria - Fortalecimiento Matriz de Riesgos y Controles FNG</t>
  </si>
  <si>
    <t>1032364981</t>
  </si>
  <si>
    <t>Lilibeth Johana Duran Perez</t>
  </si>
  <si>
    <t>Web Master</t>
  </si>
  <si>
    <t>Automatización entregables de los leads</t>
  </si>
  <si>
    <t>Para el primer trimestre del año 2025, automatizar la extracción de leads y la identificación de la campaña de origen mediante la configuración de parámetros UTM, asegurando su integración con la base de datos correspondiente.Indicador o Formula con la que se va a Realizar la Medición: Q1 (100%): configuración e implementación de un sistema automatizado que permita la extracción de leads hacia la base de datos designada, garantizando la correcta captura de los campos de campaña a través de parámetros UTM.Entregables: Q1: informe enviado por correo electrónico a la Subdirectora de Estrategia Digital y Directora de Marca, en el que se evidencie la implementación de la infraestructura automatizada para la entrega de leads, incluyendo la validación del correcto registro de los datos provenientes de las UTMs.</t>
  </si>
  <si>
    <t>Simulador Financiero</t>
  </si>
  <si>
    <t>Para Q4 del 2025 desarrollar e implementar un simulador financiero, el cual estará alojado en la página web del FNG, deberá contar con Investigación de las tasas de interés para los diferentes tipos de créditos, incluido el gota a gota Simulador en excel con su respectiva formulación Interfaz del simulador en web Implementación en el ecosistema digital Indicador o Formula con la que se va a Realizar la Medición: Q2 (33.3%): investigación para definir la plataforma y el lenguaje de programación más adecuados para el desarrollo del simulador.Q3 (33.3%): desarrollo del prototipo del simulador conforme a la estructura definida en el diseño y a la plantilla establecida, integrando la lógica proporcionada.Q4 (33.3%): implementación del simulador en la página web del FNG, garantizando su funcionalidad y correcta integración.Entregables: Q2: Informe enviado por correo electrónico a la Dirección de Marca, en el que se evidencie la investigación realizada sobre la plataforma y el lenguaje de programación seleccionados para el desarrollo del simulador financiero. Este informe servirá como insumo para la presentación de avances del área ante la Vicepresidencia Ejecutiva.Q3: informe enviado a la Dirección de Marca que evidencie el desarrollo del prototipo del simulador financiero, conforme al diseño, la plantilla establecida y la lógica validada. Este documento servirá como insumo para la presentación de avances ante la Vicepresidencia Ejecutiva.Q4: informe enviado por correo electrónico a la Dirección de Marca, en el que se evidencie la implementación del simulador funcional en el ecosistema digital del FNG. Este informe servirá como insumo para la presentación de avances del área ante la Vicepresidencia Ejecutiva.</t>
  </si>
  <si>
    <t>Posicionamiento de la página web</t>
  </si>
  <si>
    <t>Al cierre del Q4, aumentar en un 20% el tráfico de nuevos usuarios a la página web del FNG.Indicador o Formula con la que se va a Realizar la Medición:  Q4: - aumento del 20% en el tráfico de nuevos usuarios = 100%- aumento del 17% en el tráfico de nuevos usuarios = 95%&amp;nbsp;- aumento del 15% = 90%- aumento del menos del 14,9% = 0%Entregables: Q4: presentar al VP ejecutivo, en reunión de avances del área, el comportamiento mensual del tráfico de nuevos usuarios con la evidencia del aumento del 20%</t>
  </si>
  <si>
    <t>Para el 2025, implementar un agente de IA para educar financieramente a los usuarios a través de la webIndicador o Formula con la que se va a Realizar la Medición: Q3 (50%): investigar y seleccionar las herramientas de IA más adecuadas para el agente. Una vez seleccionada la herramienta, diseñar el flujo de interacción del agente, considerando tono y personalización, y desarrollar la estructura inicial del agenteQ4 (50%): implementar el asistente virtual en el sitio web mediante un enlace que dirija a una página donde se encontrará la interfaz del agente para interactuar con élEntregables: Q3: presentar al VP ejecutivo, en reunión de avances del área, el proyecto para su aprobación, incluyendo los resultados de la investigación y el flujo de interacción del agenteQ4: enviar un correo al VP ejecutivo con el informe de implementación y evidencia del funcionamiento del agente</t>
  </si>
  <si>
    <t>Para el 2025, lograr una califación de 9,45 en la encuesta de satisfacción de cliente interno, manteniendo el resultado obtenido en 2024Indicador o Formula con la que se va a Realizar la Medición: Calificación del áreaQ4 (100%) Obtener una medición de 9,45 en la encuesta de satisfacción del cliente interno equivale al 100% de la calificación, 9,40 equivaldrá al 90%, 9,30 al 80% y 9,20 al 0%Entregables: Q4: resultado de la encuesta</t>
  </si>
  <si>
    <t>Al 31 de diciembre de 2025, alcanzar un total de 60.000 seguidores en la cuenta oficial de Instagram del FNG.Indicador o Formula con la que se va a Realizar la Medición: Q4: 100% de cumplimiento: 60.000 seguidores. 95% de cumplimiento: 57.000 seguidores. 90% de cumplimiento: 54.000 seguidores. 0% de cumplimiento: 53.000 seguidores.Entregables: Q4: presentar al vicepresidente ejecutivo, en la reunión de cierre del área, un análisis del comportamiento y crecimiento de seguidores en Instagram durante la vigencia 2025</t>
  </si>
  <si>
    <t>Para el año 2025, desarrollar e implementar ocho (8) nuevos módulos propuestos para el sitio web, junto con la actualización y fortalecimiento de la identidad visual.Indicador o Formula con la que se va a Realizar la Medición: Q2 (20%): desarrollo del cronograma del rediseño de la página web Q3 (40%): desarrollar (8) módulos en la página web, de acuerdo con la necesidad de la página web.Q4 (40%): Implementación de los 8 módulos en las diferentes secciones de la página y actualizar el 80% de las 138 páginas internas del site del FNG, los ajustes se realizarán desde las secciones clave como la cabecera, pie de página y otras áreas relevantes, asegurando una transición fluida y coherente en todas las páginas. Entregables: Q2: presentación de la estrategia del rediseño de la página web y evidencia de la reunión con el VP ejecutivo (agenda de la reunión)Q3: presentación de los 8 nuevos módulos creados, en reunión de avances de área (agenda de la reunión)Q4: presentar al VP ejecutivo, en reunión de avances del área, el informe con el rediseño del sistema visual de la página web</t>
  </si>
  <si>
    <t>Subdirector de Defensa Judicial</t>
  </si>
  <si>
    <t xml:space="preserve">2.	PLAN PILOTO INSTITUCIONAL IMPLEMENTACIÓN MODELO OPEN FINANCE </t>
  </si>
  <si>
    <t>OBJETIVO: A 30 de noviembre de 2025, diseñar e implementar un plan piloto institucional que combine los lineamientos jurídicos del modelo de Open Finance con el desarrollo de una API básica —previo concepto de su factibilidad técnica—, en articulación con las áreas de analítica de datos y tecnología, para definir la estructura de los datos a exponer y la arquitectura tecnológica necesaria. La API estará orientada al acceso controlado y con consentimiento informado de datos financieros no sensibles, bajo los estándares de seguridad y protección de datos personales establecidos por la Superintendencia Financiera de Colombia.&amp;nbsp;ENTREGABLES: Este objetivo tendrá los siguientes hitos y entregables:&amp;nbsp;a)&amp;nbsp;&amp;nbsp;&amp;nbsp;&amp;nbsp;Al 31 de agosto de 2025 elaborar un diagnóstico normativo sobre la implementación del modelo de Open Finance al interior del FNG, e incluir un análisis preliminar con el área de analítica de datos para identificar el tipo y estructura general de los datos susceptibles de ser compartidos en el piloto. Asimismo, realizar la validación técnica de factibilidad para el desarrollo de una API con el área de Tecnología. Peso 20%&amp;nbsp;b)&amp;nbsp;&amp;nbsp;&amp;nbsp;&amp;nbsp;Al 30 de septiembre de 2025 informe al Comité Directivo del FNG del diagnóstico inicial realizado sobre la implementación del modelo de Open Finance al interior del FNG conforme con la información reportada desde la Dirección Jurídica, el área de Tecnología y el Subdirector de Arquitectura de Datos. Peso 10%&amp;nbsp;c)&amp;nbsp;&amp;nbsp;&amp;nbsp;&amp;nbsp;&amp;nbsp;A 31 de octubre de 2025, elaborar un protocolo jurídico para el acceso de la información a terceros, en el cual se contemplen criterios generales de implementación del modelo, así como aspectos como el consentimiento informado, uso limitado de datos personales, trazabilidad y sanciones relacionadas con su tratamiento. Este protocolo deberá guardar coherencia con las definiciones técnicas y estructurales del flujo de datos identificados por las áreas de analítica y tecnología. Peso 30%&amp;nbsp;d)&amp;nbsp;&amp;nbsp;&amp;nbsp;&amp;nbsp;A 30 de noviembre de 2025, realizar la actualización de la política de tratamiento de datos personales ajustándola a los criterios identificados para la implementación del modelo de Open Finance. Peso 30%&amp;nbsp;e)&amp;nbsp;&amp;nbsp;&amp;nbsp;&amp;nbsp;A 15 de diciembre de 2025, informe al Comité Directivo del FNG de los resultados obtenidos de la implementación del plan piloto para el modelo de Open Finance. Peso 10%&amp;nbsp;EVIDENCIAS DE CUMPLIMIENTO:&amp;nbsp;a)&amp;nbsp;&amp;nbsp;&amp;nbsp;&amp;nbsp;Documento diagnóstico en materia normativa y tecnológica que permitan identificar la viabilidad de la implementación del modelo de Open Finance teniendo en cuenta la estructura tecnológica.b)&amp;nbsp;&amp;nbsp;&amp;nbsp;&amp;nbsp;Protocolo jurídico donde se contemplen los criterios generales de la implementación del Open Finance al interior del FNGc)&amp;nbsp;&amp;nbsp;&amp;nbsp;&amp;nbsp;&amp;nbsp;Actualización de la política de tratamiento de datos personales ajustándola a los criterios identificados para la implementación del modelo de Open Finance.&amp;nbsp;EVALUACIÓN: &amp;nbsp;&amp;nbsp;El porcentaje de cumplimiento del objetivo será la sumatoria del peso asignado a cada hito/etapa, que se cumpla al 100%. En caso de depender del área de Tecnología para etapas críticas, se aceptará como cumplido el hito si la Dirección Jurídica entrega oportunamente los insumos, hace seguimiento formal y evidencia la gestión, aun si la ejecución técnica se encuentra en curso por causas ajenas a la Dirección. El objetivo se cumplirá con la sumatoria de mínimo el 90%.</t>
  </si>
  <si>
    <t>4.	RUTA LEGAL</t>
  </si>
  <si>
    <t>Diseñar e implementar, a 31 de octubre de 2025, un recorrido de atención legal, que permita mapear y optimizar la experiencia de las áreas del FNG frente a la atención de sus consultas legales. Se propiciarán espacios de consulta y/o mesas de trabajo con las diferentes dependencias del FNG, que buscará identificar puntos de fricción, oportunidades de mejora y momentos clave de valor en la interacción jurídica, con el fin de abordar proactivamente las inquietudes jurídicas de manera clara, oportuna y alineada con la misión institucional; visibilizar el rol estratégico de la Dirección Jurídica como aliada en la toma de decisiones; incorporar criterios de priorización, complejidad y urgencia que permitan ajustar los tiempos de respuesta bajo un enfoque de servicio con ANS.La ruta legal contendrá varias etapas, incluyendo una franja mensual destinada a la atención y resolución de consultas jurídicas formuladas por las distintas áreas del FNG, con el fin de abordar de manera oportuna las inquietudes relacionadas con el objeto social y funcionamiento del FNG. Así mismo, la ruta legal se apoyará en datos que sean recopilados en los espacios de consulta y/o mesas de trabajo, así como en la retroalimentación continua de las diferentes áreas (cliente interno) para fortalecer el relacionamiento, identificar patrones de consulta y anticipar necesidades.ENTREGABLES: ·&amp;nbsp;&amp;nbsp;&amp;nbsp;&amp;nbsp;&amp;nbsp;&amp;nbsp;&amp;nbsp;Etapa 1:Al 31 de julio de 2025, realizar mesas de trabajo con las diferentes áreas del FNG, las cuales se han identificado como consultantes recurrentes en la Dirección Jurídica. Peso 30%&amp;nbsp;·&amp;nbsp;&amp;nbsp;&amp;nbsp;&amp;nbsp;&amp;nbsp;&amp;nbsp;&amp;nbsp;Etapa 2:Al 30 de septiembre de 2025, presentar a la Vicepresidencia Jurídica un borrador de modelo de atención al cliente, teniendo en cuenta el insumo recolectado en las mesas de trabajo.&amp;nbsp;Peso: 30%&amp;nbsp;·&amp;nbsp;&amp;nbsp;&amp;nbsp;&amp;nbsp;&amp;nbsp;&amp;nbsp;&amp;nbsp;Etapa 3: Al 31 de octubre, presentar la documentación que soporte la versión final ruta legal, debidamente aprobada por la Vicepresidencia Jurídica, el cual será formalizado en la Plataforma ISolución, y socializado con las diferentes áreas para su correcta aplicación y ejecución. Peso: 40%&amp;nbsp;EVIDENCIAS DE CUMPLIMIENTO:1.&amp;nbsp;&amp;nbsp;&amp;nbsp;&amp;nbsp;&amp;nbsp;Evidencia soporte reuniones de mesas de trabajo, con las conclusiones de cada sesión de las mesas de trabajo.2.&amp;nbsp;&amp;nbsp;&amp;nbsp;&amp;nbsp;&amp;nbsp;Correo electrónico con la evidencia de la entrega del borrador de modelo 3.&amp;nbsp;&amp;nbsp;&amp;nbsp;&amp;nbsp;&amp;nbsp;Soporte documental de la versión final del proceso de modelo de atención al cliente / ruta legal.&amp;nbsp;EVALUACIÓN:El porcentaje de cumplimiento del objetivo será la sumatoria del peso asignado a cada hito/etapa, que se cumpla al 100%.&amp;nbsp;</t>
  </si>
  <si>
    <t xml:space="preserve">3.	WIKI JURÍDICA </t>
  </si>
  <si>
    <t>Contratar un desarrollador externo para que diseñe e implemente durante el segundo semestre de 2025, en coordinación con la Dirección Jurídica, un motor de búsqueda inteligente basado en inteligencia artificial (ChatGPT, Copilot, etc.), que se integre para usos prácticos con el repositorio interno de documentación legal (conceptos jurídicos internos o emitidos por asesores externos, respuesta a consultas, contratos, MOU’s, NDA’s, Boletines jurídicos y expedientes de procesos judiciales entre otros) con el fin de mantener organizada la memoria documental del FNG, automatizar procesos, mejorar la eficiencia, trazabilidad y precisión en las consultas sobre la información generada por la Dirección Jurídica. El prototipo de Wiki Jurídica deberá estar diseñado al 30 de noviembre de 2025. ENTREGABLES:-&amp;nbsp;&amp;nbsp;&amp;nbsp;&amp;nbsp;&amp;nbsp;&amp;nbsp;&amp;nbsp;&amp;nbsp;&amp;nbsp;&amp;nbsp;&amp;nbsp;Etapa 1:A 18 de julio de 2025, presentar a la Vicepresidencia Jurídica el estudio de mercado realizado con las ofertas obtenidas por parte de los potenciales contratistas. Peso 20% -&amp;nbsp;&amp;nbsp;&amp;nbsp;&amp;nbsp;&amp;nbsp;&amp;nbsp;&amp;nbsp;&amp;nbsp;&amp;nbsp;&amp;nbsp;&amp;nbsp;Etapa 2:A 16 de agosto de 2025, haber finalizado el proceso de contratación del desarrollador externo, previamente elegido con la Vicepresidencia Jurídica. Peso 30%-&amp;nbsp;&amp;nbsp;&amp;nbsp;&amp;nbsp;&amp;nbsp;&amp;nbsp;&amp;nbsp;&amp;nbsp;&amp;nbsp;&amp;nbsp;&amp;nbsp;Etapa 3:Al 30 de agosto de 2025, presentar a la Vicepresidencia Jurídica el repositorio jurídico actualizado desde el 1° de enero de 2024 a 30 de junio de 2025, ubicado en la herramienta público. Peso: 30%-&amp;nbsp;&amp;nbsp;&amp;nbsp;&amp;nbsp;&amp;nbsp;&amp;nbsp;&amp;nbsp;&amp;nbsp;&amp;nbsp;&amp;nbsp;&amp;nbsp;Etapa 4Al 30 de noviembre de 2025, entregar el prototipo de motor de búsqueda, el cual servirá para mejorar eficiencia, trazabilidad y memoria documental de la Dirección jurídica del FNG. Peso 20%-&amp;nbsp;&amp;nbsp;&amp;nbsp;&amp;nbsp;&amp;nbsp;&amp;nbsp;&amp;nbsp;&amp;nbsp;&amp;nbsp;&amp;nbsp;&amp;nbsp;EVIDENCIAS DE CUMPLIMIENTO:1.&amp;nbsp;&amp;nbsp;&amp;nbsp;&amp;nbsp;&amp;nbsp;Sondeo de mercado (ofertas)2.&amp;nbsp;&amp;nbsp;&amp;nbsp;&amp;nbsp;&amp;nbsp;Repositorio actualizado3.&amp;nbsp;&amp;nbsp;&amp;nbsp;&amp;nbsp;&amp;nbsp;Contrato4.&amp;nbsp;&amp;nbsp;&amp;nbsp;&amp;nbsp;&amp;nbsp;Prototipo motor de búsqueda &amp;nbsp;EVALUACIÓN:El porcentaje de cumplimiento del objetivo será la sumatoria del peso asignado a cada hito/etapa, que se cumpla al 100%.&amp;nbsp;</t>
  </si>
  <si>
    <t>5. DIPLOMADO EN GERENCIA JURÍDICA  ANDJE</t>
  </si>
  <si>
    <t>Al 30 de junio de 2025 haber cursado y aprobado el Diplomado en Gerencia Jurídica Pública ofertado por la Agencia de Defensa Jurídica del Estado. Donde el cumplimiento del objetivo se realizará con la obtención del diploma que acredite el cumplimiento de todas las actividades del respectivo diplomado.El cumplimiento del objetivo se realizará con la obtención del diploma que acredite el cumplimiento de todas las actividades del respectivo diplomado el cual será correspondiente al 100% del objetivo, en caso de no obtener el diploma el cumplimiento será del 0%.Diploma que acredite el haber cursado y aprobado el respectivo programa academico.</t>
  </si>
  <si>
    <t>6.FORMALIZACIÓN ACTAS DE  COMITÉ DE CONCILIACIÓN Y DATOS PERSONALES</t>
  </si>
  <si>
    <t>Lograr al 31 de diciembre de 2025, la elaboración y firma de las actas los comités de conciliación y datos personales de las sesiones que se hayan celebrado desde el 1 de enero al 15 de noviembre de 2025, las cuales deberán estar firmadas por sus integrantes y cargadas en Mercurio.  Se obtendrá un 100% del cumplimiento del indicador si se cumplen las actividades mínimo al 90%. Se obtendrá calificación a partir del 80% de la meta: donde 79,9% da cero puntos y proporcional entre el 80% y 90%.&amp;nbsp;Medición: No. de comités celebrados entre el 1º de enero al 15 de noviembre de 2025)/ (No. de actas de comités suscritas entre el 1º de enero al 15 de noviembre de 2025)*100 Entregable: Se le informará al Director Jurídico vía correo electrónico a más tardar el 20 de enero de 2026&amp;nbsp;la relación de actas de comités firmadas y subidas a mercurio.</t>
  </si>
  <si>
    <t>1.	PLATAFORMA DIGITAL DE GESTIÓN JURÍDICA (MODULO DE ARANDA)</t>
  </si>
  <si>
    <t>Diseñar e implementar, en articulación con el área de Tecnología, un módulo de gestión jurídica interna dentro de la plataforma “Aranda” que permita el registro, seguimiento en tiempo real y trazabilidad de las solicitudes jurídicas presentadas por las áreas del FNG (cliente interno en materia de solicitudes de créditos y atención al área comercial) a la Dirección Jurídica, incorporando, entre otros, mecanismos de control de ANS en la atención a las respuestas, visualización de carga operativa, justificación de demoras y generación de reportes ejecutivos diferenciados por área solicitante, con acceso especial para usuarios solicitantes, responsables jurídicos y directivos de cada área. El módulo de aranda deberá estar al 6 de octubre de 2025.ENTREGABLES:-&amp;nbsp;&amp;nbsp;&amp;nbsp;&amp;nbsp;&amp;nbsp;&amp;nbsp;&amp;nbsp;Etapa 1:Al 21 de julio de 2025, presentar a la Vicepresidencia Jurídica el documento de requerimientos funcionales, flujos de proceso, formatos estandarizados de las solicitudes con un lenguaje amigable transformando la experiencia de las diferentes áreas al momento de solicitar los servicios jurídicos.&amp;nbsp;Peso: 45%-&amp;nbsp;&amp;nbsp;&amp;nbsp;&amp;nbsp;&amp;nbsp;&amp;nbsp;&amp;nbsp;Etapa 2:Al 4 de agosto de 2025 entregar al área de Tecnología el proyecto completo con la información requerida, para implementar la función/módulo de gestión jurídica interna en la plataforma Aranda. Peso: 45%-&amp;nbsp;&amp;nbsp;&amp;nbsp;&amp;nbsp;&amp;nbsp;&amp;nbsp;&amp;nbsp;Etapa 3A 6 de octubre de 2025, realizar el correspondiente lanzamiento del módulo jurídico en la plataforma Aranda para uso institucional. Peso: 10%El cumplimiento del cronograma e implementación total del módulo depende de la disponibilidad técnica y priorización de recursos por parte del área de Tecnología. EVIDENCIAS DE CUMPLIMIENTO:-&amp;nbsp;&amp;nbsp;&amp;nbsp;&amp;nbsp;&amp;nbsp;&amp;nbsp;&amp;nbsp;Actas mesas de trabajo-&amp;nbsp;&amp;nbsp;&amp;nbsp;&amp;nbsp;&amp;nbsp;&amp;nbsp;&amp;nbsp;Documento de requerimientos funcionales -&amp;nbsp;&amp;nbsp;&amp;nbsp;&amp;nbsp;&amp;nbsp;&amp;nbsp;&amp;nbsp;Flujos de proceso-&amp;nbsp;&amp;nbsp;&amp;nbsp;&amp;nbsp;&amp;nbsp;&amp;nbsp;&amp;nbsp;Formatos estandarizados de las solicitudes-&amp;nbsp;&amp;nbsp;&amp;nbsp;&amp;nbsp;&amp;nbsp;&amp;nbsp;&amp;nbsp;Cronograma y plan de desarrollo concertado por la Dirección Jurídica y el área de Tecnología-&amp;nbsp;&amp;nbsp;&amp;nbsp;&amp;nbsp;&amp;nbsp;&amp;nbsp;&amp;nbsp;Documento de historia de usuario&amp;nbsp;</t>
  </si>
  <si>
    <t>Subdirector de Asuntos Corporativos</t>
  </si>
  <si>
    <t>Diseñar y formalizar durante el 2025 el procedimiento de anticipación normativa y legislativa del FNGPorcentaje de cumplimiento: 100%Q1: 10%Q2: 10%Q3: 45%Q4: 35%Actividad 1 [Q1 a Q3]. Diseñar el procedimiento de anticipación normativa y legislativa del FNG con el objetivo de institucionalizar y asignar de manera transversal las responsabilidades frente a las actividades relacionadas con la anticipación normativa y legislativa, centradas en la mitigación de riesgos y la potencialización de oportunidades que puedan impactar a la entidad.&amp;nbsp;Entregable 1. Procedimiento de Anticipación Normativa y Legislativa presentado a la Directora de Asuntos Corporativos (documento y constancia de la reunión) [30%].Actividad 2 [Q3]. Cargar el documento en la herramienta institucional dispuesta por la entidad para su formalización.&amp;nbsp;Entregable 2. Cargue del procedimiento en la herramienta dispuesta por la entidad para su formalización [35%].Actividad 3 [Q4]. Socializar con las áreas responsables el procedimiento.Entregable 3. Constancia de las siete reuniones de socialización del procedimiento con los enlaces designados por cada una de las vicepresidencias del FNG [35%].&amp;nbsp;Z:\Objetivos\2025\Dirección de Asuntos Corporativos</t>
  </si>
  <si>
    <t xml:space="preserve">Análisis regulatorio en materia de sostenibilidad aplicable al FNG. </t>
  </si>
  <si>
    <t>Diseñar durante 2025 el mapeo y análisis de la normatividad en materia de sostenibilidad aplicable al FNG, que contenga la normatividad en curso y expedida que pueda representar oportunidades y/o riesgos para la entidad.Porcentaje cumplimiento 100%Q4: 100%Actividad 1. Q4: Realizar una investigación de la normatividad vigente en materia de sostenibilidad aplicable al FNG, que puede contener leyes, decretos, circulares, planes, políticas y CONPES (100%)Entregable 1: Informe de la normativa en materia de sostenibilidad, presentado al Directos de Asuntos Corporativos (100%).Z:\Objetivos\2025\Dirección de Asuntos Corporativos</t>
  </si>
  <si>
    <t>Comunicación y análisis de los asuntos públicos y de gobierno del FNG</t>
  </si>
  <si>
    <t>Durante 2025, diseñar la revista de asuntos públicos del FNG y comunicar y analizar a través de reportes semanales la normatividad identificada, los acontecimientos de la agenda pública y lo que se espera en materia legislativa en el Congreso de la República.Porcentaje cumplimiento 100%&amp;nbsp;Q1: 17,5 %Q2: 17,5%Q3: 47,5 %Q4: 17,5%Actividad 1. Q1-Q4: Elaborar un reporte semanal de agenda pública y anticipación normativa, como instrumento de identificación oportuna, seguimiento y análisis de los asuntos públicos más relevantes que influyen en el contexto operativo del FNG (aspectos políticos, sociales, económicos, culturales, legislativos y regulatorios).&amp;nbsp;Entregable 1: Cincuenta y dos (52) reportes semanales de anticipación normativa y de agenda pública de interés para el FNG (70%).Actividad 2. Q3: Diseño de la revista de asuntos públicos y de gobierno.Entregable 2: Formato revista asuntos públicos y de gobierno del FNG (30%).Z:\Objetivos\2025\Dirección de Asuntos Corporativos</t>
  </si>
  <si>
    <t>Gestionar la anticipación normativa del FNG en 2025, a través de la identificación de normas de interés y la incidencia, por medio de la actualización de la matriz y la presentación de informes.Porcentaje de cumplimiento al 100%Q1: 20%Q2: 30%Q3: 20%Q4: 30%Actividad 1: Q1 a Q4 identificar la normativa de interés, compartir la normativa de interés con las áreas competentes y proponer comentarios, cuando se identifique que es necesario.Entregable 1: Matriz normativa de interés identificada con acciones realizadas 80%.Actividad 2: Q2 y Q4 presentar informes de gestión normativa e incidencia al Vicepresidente Ejecutivo, uno en cada semestre.Entregable 2: Informes semestrales de la gestión normativa (2 informes) presentados al Vicepresidente Ejecutivo 20%.&amp;nbsp;Z:\Objetivos\2025\Dirección de Asuntos Corporativos</t>
  </si>
  <si>
    <t xml:space="preserve">Estrategia de anticipación normativa y legislativa </t>
  </si>
  <si>
    <t>Diseñar durante 2025 la estrategia que contenga un mapa de actores, mensajes clave y documento guía para contribuir a la anticipación normativa y legislativa.Porcentaje cumplimiento 100%Q3: 50%Q4: 50%Actividad 1. Q3: Mapeo de actores relevantes para el FNG en el marco de la anticipación normativa y legislativa.Entregable 1: Mapeo de actores relevantes para el FNG en el marco de la anticipación normativa y legislativa, presentado al Vicepresidente Ejecutivo (25%).Actividad 2. Q3: Elaboración de mensajes clave que permitan potencializar la oferta del FNG, así como la defensa técnica y jurídica para la mitigación de riesgos que puedan impactar a la entidad.Entregable 2: Documento de mensajes claves, socializado al Vicepresidente Ejecutivo (25%).Actividad 3. Q4: Elaborar un documento guía que contenga un plan estratégico para la gestión de los objetivos regulatorios.&amp;nbsp;Entregable 3: Documento guía que contenga un plan estratégico para la gestión de los objetivos regulatorios, socializado con el Director de Asuntos Corporativos&amp;nbsp;(50%).Z:\Objetivos\2025\Dirección de Asuntos Corporativos</t>
  </si>
  <si>
    <t>Subdirector de Vinculación, Aseguramiento y Calidad</t>
  </si>
  <si>
    <t>52082120</t>
  </si>
  <si>
    <t>Lucinda Leyva Ariza</t>
  </si>
  <si>
    <t>Ejecutar al 31 de diciembre de 2025 el proyecto de automatización del proceso de vinculación en la Fase I.&amp;nbsp;Medición: El objetivo se cumple al 100% con la ejecución de todas las actividades, siempre y cuando se cuente con la nueva funcionalidad mediante un botón en la página web para vincular nuevos clientes potenciales, el resultado final corresponderá a la suma de los porcentajes de cumplimiento de cada actividad ejecutada y debidamente evidenciada.&amp;nbsp;Entregable 1 - Q2: Al 30 de junio de 2025, Historia de Usuario radicada en la herramienta ARANDA en donde se evidencia el número del caso generado.&amp;nbsp;Entregable 2 - Q3: Al 30 de septiembre de 2025, presentar el informe de actividades ejecutadas que contenga el avance en el desarrollo de la solución, identificación de ajustes y pruebas, si es aplicable. Este informe será presentado por la Dirección de Vinculación en la reunión de seguimiento del proyecto de automatización.Entregable 3 - Q4: Al 31 de diciembre de 2025, presentar el informe de actividades ejecutadas en el cual se incluya la nueva funcionalidad mediante un botón en la página web para vincular nuevos clientes potenciales. Este informe será presentado por la Dirección de Vinculación en la reunión de seguimiento del proyecto de automatización.Los entregables se encontrarán en la siguiente ruta: P:\Objetivos\2025\Dirección de Vinculación, Aseguramiento y Calidad\Lina Maria Sarmiento BolivarIndicador: Total de entregables a tiempo/ Total de entregables definidos *100 y la solución se encuentre en la página web o el sitio definido técnicamente.Frecuencia del monitoreo: Marzo a Diciembre de 2025</t>
  </si>
  <si>
    <t xml:space="preserve">Rediseño metodología certificación de calidad </t>
  </si>
  <si>
    <t>Rediseñar, antes del 31 de diciembre de 2025, la metodología del modelo de certificación de calidad del FNG, iniciando con la identificación de brechas y oportunidades de mejora en la metodología actual y finalizando con la implementación de una nueva metodología aprobada, documentada y socializada con las áreas involucradas.Medición: El objetivo se cumple al 100% con la ejecución de todas las actividades, el resultado final corresponderá a la suma de los porcentajes de cumplimiento de cada actividad ejecutada y debidamente soportada, las cuales corresponden a las siguientes:Entregable 1 (25%): Al 30 de junio de 2025, presentar el prototipo desarrollado (PPT) que consolide los resultados de las mesas de trabajo realizadas con las áreas involucradas. La evidencia será la presentación en PPT y la sesión grabada en teams.Entregable 2 (25%): Al 31 de julio de 2025, presentar por la parte de la Dirección de Vinculación, Aseguramiento y Calidad la versión final de rediseño del modelo de certificación a Comité Evaluador para su correspondiente aprobación, evidencia acta de la sesión.Entregable 3 (30%): Al 30 de agosto de 2025, presentar por la Dirección de Vinculación, Aseguramiento y Calidad o Vicepresidencia Comercial la versión final de rediseño del modelo de certificación a la instancia que corresponda (Comité de Garantías o Comité de Integrado de Riesgos (Comité SIAR de Garantías o Junta Directiva) para su correspondiente decisión, evidencia acta de la sesión.Entregable 4 (20%): Al 19 de diciembre de 2025, actualizar en ISOLUCION la documentación los siguientes documentos relacionados con el procesoMA-AGA-010 Manual de políticas proceso de certificación de calidadIN-AGA-113 Instructivo evaluación calificación certificación intermediariosFR-AGA-069 Evaluación y calificación del intermediario objeto de certificaciónLos entregables se encontrarán en la siguiente ruta: P:\Objetivos\2025\Dirección de Vinculación, Aseguramiento y Calidad\Lina Maria Sarmiento BolivarFrecuencia del monitoreo: Enero a Diciembre de 2025</t>
  </si>
  <si>
    <t>Gestionar la revisión de garantías del proceso de aseguramiento de calidad</t>
  </si>
  <si>
    <t>﻿Al 31 de diciembre de 2025, ejecutar el cierre del proceso de Aseguramiento de Calidad correspondiente a las 65 garantías asignadas para revisión, conforme al cronograma de trabajo definido para el segundo semestre de 2025. El nivel de cumplimiento se evaluará con base en el porcentaje de cierre efectivo de dichas garantías, de acuerdo con la siguiente escala proporcional:=&amp;gt; 95% de cierre: cumplimiento del 100%= 80 y &amp;lt; 95%: será proporcional al cumplimiento alcanzado&amp;lt; 80: el cumplimiento será 0%MediciónNúmero total garantías cerradas*/Número total de garantías a cerrar* en el período.&amp;nbsp;*Garantías en estado: conforme, no conforme u otroEvidenciaLa gestión de las garantías será registrada en los Formularios de revisión de garantías y la evidencia serán los informes de gestión emitidos por la Subdirección del área y que se encuentran en la siguiente ruta: P:\Vice_Comercial\Dir_Aseguramiento_Calidad\DI_Informes\Informes_Gestion\2025Los entregables se encontrarán en la siguiente ruta: P:\Objetivos\2025\Dirección de Vinculación, Aseguramiento y Calidad\Lina Maria Sarmiento BolivarFrecuencia del monitoreo: Julio 1 a Diciembre 31 de 2025&amp;nbsp;</t>
  </si>
  <si>
    <t xml:space="preserve">Rediseñar la metodología de muestreo periódico del proceso de aseguramiento </t>
  </si>
  <si>
    <t>Rediseñar, antes del 31 de diciembre de 2025, la metodología actual de muestreo periódico del proceso de aseguramiento de calidad.Medición: El objetivo se cumple al 100% con la ejecución de todas las actividades, el resultado final corresponderá a la suma de los porcentajes de cumplimiento de cada actividad ejecutada y debidamente soportada, las cuales corresponden a las siguientes:Entregable 1 (Peso 20%): Al 30 de mayo de 2025, entrega de insumo que contiene el diagnóstico y propuesta de modelo híbrido con la solicitud formal de revisión de la propuesta y rediseño del modelo actual. Esta solicitud se realiza por correo electrónico a la Dirección de modelos técnicos desde el correo de la Subdirección de Vinculación, Aseguramiento y Calidad.Entregable 2 (Peso 30%): Al 30 de agosto de 2025, en una sesión con los equipos de la Vicepresidencia de Riesgos y Vicepresidencia Comercial, incluidos la Dirección de Modelos Técnicos y Dirección de Vinculación, Aseguramiento y Calidad, revisar la propuesta de rediseño de la metodología y como evidencia se registrará un acta de la sesión.Entregable 3 (Peso 30%): Al 30 de octubre de 2025, presentar para aprobación la versión final de la metodología del modelo de muestreo periódico a la instancia que corresponda (Comité de Garantías o Comité de Integrado de Riesgos (Comité SIAR de Garantías o Junta Directiva) como evidencia se tendrá la presentación ante el Comité y el acta correspondiente.Entregable 4 (Peso 20%): Al 19 de diciembre de 2025, entregar el insumo a la Dirección de Modelos Técnicos para la actualización documental de la metodología en el proceso de aseguramiento de calidad que se encuentra en el manual MA-GRI-005 Manual Unificado del Sistema de Administración del Riesgo de Garantías, numeral 11. Derechos de inspección.Los entregables se encontrarán en la siguiente ruta: P:\Objetivos\2025\Dirección de Vinculación, Aseguramiento y Calidad\Lina Maria Sarmiento BolivarFrecuencia del monitoreo: mayo a diciembre 31 de 2025</t>
  </si>
  <si>
    <t xml:space="preserve">Rediseño del proceso de aseguramiento – ASEGURA+ </t>
  </si>
  <si>
    <t>Redefinir, antes del 31 de diciembre de 2025, el proceso de aseguramiento de calidad del FNG, partiendo de un diagnóstico estructurado del proceso actual (AS-IS) y finalizando con el diseño de la versión futura (TO-BE), orientada a su automatización.Medición: El objetivo se cumple al 100% con la ejecución de todas las actividades, el resultado final corresponderá a la suma de los porcentajes de cumplimiento de cada actividad ejecutada y debidamente soportada, las cuales corresponden a las siguientes:Entregable 1 (35%) – Al 31 de julio de 2025, presentar a la Vicepresidencia Comercial el diagnóstico del proceso actual (AS-IS) para su validación, el cual incluya:•	Flujograma actual del proceso, tiempo de ciclo, identificación de actividades con y sin valor agregado, causas-raíz de la problemática y sondeo con los intermediarios financieros sobre la viabilidad de consultar las garantías objeto de aseguramiento en el portal transaccional.Entregable acta de la sesión con conclusiones, recomendaciones o sugerencias.Entregable 2 (35%) – Al 30 de septiembre de 2025, con el resultado del diagnóstico desarrollar el prototipo del rediseño del proceso de aseguramiento de calidad (TO-BE) y presentar a la Vicepresidencia Comercial para su validación, el cual incluya:•	Flujograma del proceso rediseñado, identificación de posibles integraciones requeridas, batería de indicadores, riesgos asociados, propuesta de cronograma y fases de implementación sugeridas del proyecto de automatización para 2026 (sí aplica).•	Presentación del Business Case (sí aplica).&amp;nbsp;•	Identificación y solicitud de necesidades de presupuesto y contratación (sí aplica).Entregable acta de la sesión con conclusiones, recomendaciones o sugerencias.Entregable 3 (30%) – Al 30 de noviembre de 2025, presentar en una mesa de trabajo con la Dirección de Planeación, el alcance de Historia de Usuario – HU que contenga el prototipo de rediseño del proceso de aseguramiento de calidad, denominado “Asegura+” (si se considera viable en el resultado del entregable 2), para que se realice la evaluación y se determine la viabilidad de automatizar el proceso de aseguramiento en 2026.&amp;nbsp;Entregable: acta de la sesión con conclusiones, recomendaciones o sugerencias junto con correo electrónico remitido al área solicitando su concepto de viabilidad.Los entregables se encontrarán en la siguiente ruta: P:\Objetivos\2025\Dirección de Vinculación, Aseguramiento y Calidad\Lina Maria Sarmiento BolivarFrecuencia del monitoreo: Enero a diciembre de 2025</t>
  </si>
  <si>
    <t>Subdirector de Riesgos No Financieros</t>
  </si>
  <si>
    <t>Descripción objetivo:A 31 diciembre de 2025 cumplir las acciones formuladas durante la vigencia en los planes de acción y mejoramiento relacionados con las auditorias realizadas por la Oficina de Control Interno OCI, Superintendencia Financiera de Colombia SFC, Revisoria Fiscal y Contraloría General de la República CGR en las actividades relacionadas con la gestión de SARO.&amp;nbsp;Este objetivo se vincula al objetivo estratégico número 5 "Promover el mejoramiento continuo a través del Sistema de Gestión Integral del FNG", vinculado a la estrategia 5.2. "Búsqueda de mejores prácticas de gestión y cumplimiento normativo" a través de la apuesta estratégica 2025: Fortalecimiento de los componentes asociados a los controles de la matriz de riesgos y controles de la EntidadFórmula medición:# de acciones ejecutadas para el periodo evaluado / # total de acciones incluidas en los planes a ser ejecutadas en el periodo evaluadoEntregables:Q2: Correo electrónico dirigido a los entes de control que solicitaron planes de acción indicando el cumplimiento de las actividades definidas para el periodo y acta de la reunión de la URO correspondiente al mes de junioPeso: 60%Q3: Correo electrónico dirigido a los entes de control que solicitaron planes de acción indicando el cumplimiento de las actividades definidas para el periodo y acta de la reunión de la URO correspondiente al mes de septiembrePeso: 20%Q4:Correo electrónico dirigido a los entes de control que solicitaron planes de acción indicando el cumplimiento de las actividades definidas para el periodo y acta de la reunión de la URO correspondiente al mes de diciembrePeso: 20%</t>
  </si>
  <si>
    <t>Ejecución de pruebas al Plan de Continuidad del Negocio</t>
  </si>
  <si>
    <t>Descripción objetivo:A 31 de diciembre de 2025, llevar a cabo la planificación, diseño y ejecución de las pruebas establecidas al PCN según plan de trabajo del año.&amp;nbsp;Este objetivo se vincula al objetivo estratégico número 5 "Promover el mejoramiento continuo a través del Sistema de Gestión Integral del FNG", vinculado a la estrategia 5.2. "Búsqueda de mejores prácticas de gestión y cumplimiento normativo" a través de la apuesta estratégica 2025: Fortalecimiento de los componentes asociados a los controles de la matriz de riesgos y controles de la EntidadFórmula medición:Número de pruebas de continuidad ejecutadas para el periodo evaluado / Número de pruebas planeadas para el periodo evaluadoEntregables:Q2: Cronograma de pruebas aprobado por el Vicepresidente de Riesgos y acta de la reunión de la URO correspondiente al mes de Junio donde se presenta el cronograma.Peso: 20%Q3: Informe de resultados de las pruebas desarrolladas en el periodo de acuerdo con el plan de trabajo presentado a la URO y acta de la reunión de la URO en los meses donde se presente desarrollo de pruebas de continuidadPeso: 40%Q4:&amp;nbsp;Informe de resultados de las pruebas desarrolladas en el periodo de acuerdo con el plan de trabajo presentado a la URO y acta de la reunión de la URO en los meses donde se presente desarrollo de pruebas de continuidadPeso: 40%</t>
  </si>
  <si>
    <t xml:space="preserve">Establecer un plan de trabajo para mejorar la calificación de madurez del Plan de Continuidad de Negocio (PCN) respecto a la medición del año 2024.  </t>
  </si>
  <si>
    <t>Descripción objetivo: A 31 de diciembre de 2025, llevar a cabo las actividades definidas para mejorar la calificación de madurez del Plan de Continuidad de Negocio (PCN) por lo menos en 6% respecto a la medición del año 2024 que fue de 3.4Este objetivo se vincula al objetivo estratégico número 5 "Promover el mejoramiento continuo a través del Sistema de Gestión Integral del FNG", vinculado a la estrategia 5.2. "Búsqueda de mejores prácticas de gestión y cumplimiento normativo" a través de la apuesta estratégica 2025: Fortalecimiento de los componentes asociados a los controles de la matriz de riesgos y controles de la EntidadFórmula medición: # de actividades ejecutadas para el periodo evaluado / # de actividades planeadas para el periodo evaluadoEntregables:Q2: Plan de trabajo aprobado por el Vicepresidente de Riesgos y acta de la reunión de la URO correspondiente al mes de Junio donde se presenta el plan de trabajo.Peso: 20%Q3: Actas mensuales (julio, agosto y septiembre) de la reunión de la URO donde se presenta el cumplimiento de las actividades planeadas para el mes correspondientePeso: 40%Q4 Actas mensuales (octubre, noviembre y diciembre) de la reunión de la URO donde se presenta el cumplimiento de las actividades planeadas para el mes correspondiente&amp;nbsp;Peso: 40%</t>
  </si>
  <si>
    <t>Descripción objetivo:A 31 de diciembre de 2025 implementar la metodología para la gestión de Riesgos Emergentes aplicables a la entidad hasta la tercera fase "Valoración y priorización" del plan de trabajo establecidoEste objetivo se vincula al objetivo estratégico número 5 "Promover el mejoramiento continuo a través del Sistema de Gestión Integral del FNG", vinculado a la estrategia 5.2. "Búsqueda de mejores prácticas de gestión y cumplimiento normativo" a través de la apuesta estratégica 2025: Fortalecimiento de los componentes asociados a los controles de la matriz de riesgos y controles de la EntidadFórmula medición:# de actividades ejecutadas para el periodo evaluado / # de actividades planeadas para el periodo evaluadoEntregables:Q2: Plan de trabajo aprobado por el Vicepresidente de Riesgos y acta de la reunión de la URO correspondiente al mes de Junio donde se presenta el plan de trabajo y el avance a la fecha.Peso 20%Q3: Actas mensuales (julio, agosto y septiembre) de la reunión de la URO donde se presenta el cumplimiento de las actividades planeadas para el mes correspondientePeso 40%Q4: Actas mensuales (octubre, noviembre y diciembre) de la reunión de la URO donde se presenta el cumplimiento de las actividades planeadas para el mes correspondientePeso: 40%</t>
  </si>
  <si>
    <t>Cumplimiento de Planes de Acción en relación con el Plan de Continuidad de Negocio PCN</t>
  </si>
  <si>
    <t>Descripción objetivo:A 31 diciembre de 2025 cumplir las acciones formuladas durante la vigencia en los planes de acción y mejoramiento relacionados con las auditorias realizadas por la Oficina de Control Interno OCI, Superintendencia Financiera de Colombia SFC, Revisoria Fiscal y Contraloría General de la República CGR en las actividades relacionadas con la gestión del PCNEste objetivo se vincula al objetivo estratégico número 5 "Promover el mejoramiento continuo a través del Sistema de Gestión Integral del FNG", vinculado a la estrategia 5.2. "Búsqueda de mejores prácticas de gestión y cumplimiento normativo" a través de la apuesta estratégica 2025: Fortalecimiento de los componentes asociados a los controles de la matriz de riesgos y controles de la EntidadFórmula medición:# de acciones ejecutadas para el periodo evaluado / # total de acciones incluidas en los planes a ser ejecutadas en el periodo evaluadoEntregables:Q3: Correo electrónico dirigido a los entes de control que solicitaron planes de acción indicando el cumplimiento de las actividades definidas para el periodo y acta de la reunión de la Unidad de Riesgo Operacional URO correspondiente al mes de septiembrePeso: 50%Q4:Correo electrónico dirigido a los entes de control que solicitaron planes de acción indicando el cumplimiento de las actividades definidas para el periodo y acta de la reunión de la URO correspondiente al mes de diciembrePeso: 50%</t>
  </si>
  <si>
    <t xml:space="preserve">Actualización de las políticas, lineamientos y metodología para la gestión de Riesgos Fiscales en el FNG </t>
  </si>
  <si>
    <t>Descripción del objetivo:A 31 de diciembre de 2025, realizar la actualización de políticas, lineamientos y metodología para la gestión de Riesgos Fiscales en el FNG según corresponda a partir de la actualización de la Guía para la administración del riesgo y el diseño de controles en entidades públicas del Departamento Administrativo de la Función Pública DAFP esperada para junio de 2025.Nota: El desarrollo de este objetivo podría estar sujeto a ajustes, ya que depende principalmente de la publicación de la guía del DAFP, la cual constituye el insumo principal para la estandarización de la metodologíaEste objetivo se vincula al objetivo estratégico número 5 "Promover el mejoramiento continuo a través del Sistema de Gestión Integral del FNG", vinculado a la estrategia 5.2. "Búsqueda de mejores prácticas de gestión y cumplimiento normativo" a través de las siguientes apuestas estratégicas 2025:&amp;nbsp;- Fortalecimiento de los componentes asociados a los controles de la matriz de riesgos y controles de la Entidad&amp;nbsp;- Monitoreo a la implementación y actualización normativa (Normativas jurídicas)Indicador/Formula de medición:# de actividades ejecutadas para el periodo evaluado / # de actividades planeadas para el periodo evaluadoEntregables:Q2: Plan de trabajo aprobado por el Vicepresidente de Riesgos y acta de la reunión de la URO correspondiente al mes de Junio donde se presenta el plan de trabajo.Peso 20%Q3: Actas mensuales (julio, agosto y septiembre) de la reunión de la URO donde se presenta el cumplimiento de las actividades planeadas para el mes correspondiente.Peso 40%Q4: Actas mensuales (octubre, noviembre y diciembre) de la reunión de la URO donde se presenta el cumplimiento de las actividades planeadas para el mes correspondientePeso: 40%</t>
  </si>
  <si>
    <t>Descripción objetivo:A 31 de diciembre de 2025 dar cumplimiento al plan de trabajo establecido para el diseño de la herramienta interna para la gestión de SAROEste objetivo se vincula al objetivo estratégico número 5 "Promover el mejoramiento continuo a través del Sistema de Gestión Integral del FNG", vinculado a la estrategia 5.2. "Búsqueda de mejores prácticas de gestión y cumplimiento normativo" a través de la apuesta estratégica 2025: Fortalecimiento de los componentes asociados a los controles de la matriz de riesgos y controles de la EntidadFórmula medición:# de actividades ejecutadas para el periodo evaluado / # de actividades planeadas para el periodo evaluadoEntregables:Q2: Plan de trabajo aprobado por el Vicepresidente de Riesgos y acta de la reunión de la URO correspondiente al mes de Junio donde se presenta el plan de trabajo y el avance a la fecha.Peso 25%&amp;nbsp;Q3: Actas mensuales (julio, agosto y septiembre) de la reunión de la URO donde se presenta el cumplimiento de las actividades planeadas para el mes correspondientePeso 25%Q4: Actas mensuales (octubre, noviembre y diciembre) de la reunión de la URO donde se presenta el cumplimiento de las actividades planeadas para el mes correspondientePeso: 25%Q4: Primera versión del tablero con semáforo de criticidad presentado a Q4 en comité SIAR. Peso: 25%</t>
  </si>
  <si>
    <t>1049606654</t>
  </si>
  <si>
    <t>Linda Yesenia Vanegas Cano</t>
  </si>
  <si>
    <t>Administrador Basis Junior</t>
  </si>
  <si>
    <t>Procedimiento de la administración de la matriz de roles y perfiles</t>
  </si>
  <si>
    <t>Descripción:Generar Durante el año 2025&amp;nbsp;un procedimiento que defina la administración de roles y perfile que incluye la creación, modificación y eliminación, donde se evidencia alcance y los pasos detallados para poder realizar&amp;nbsp;estas actividades, socializándolo con la OCI y con Seguridad de la Información para estandarizar este proceso.Indicador:Cumple/ No&amp;nbsp;cumpleEntregables:Q4:&amp;nbsp;&amp;nbsp;1. Documento del procedimiento y evidencia de publicación&amp;nbsp;en isolution.&amp;nbsp;&amp;nbsp;&amp;nbsp;2. Evidencia (listado de asistencia generado de la sesión de teams ) de la socialización del documento con la OCI y Subdirección de Seguridad de la Información.</t>
  </si>
  <si>
    <t>Descripción:El objetivo es lograr un 100% de cumplimiento en la ejecución y finalización de los proyectos estratégicos de tecnologías de la información que han sido ejecutados y finalizados según la hoja de ruta del Plan Estratégico de Tecnologías de la Información (PETI) del FNG programados para el año 2025, de acuerdo con el alcance, cronogramas y resultados esperados.&amp;nbsp;Indicador:(# Proyectos finalizados / Total proyectos programados para finalizar en el&amp;nbsp;2025) * 100&amp;nbsp;&amp;nbsp;Total proyectos programados 2025 = 9Entregables:Q2:• Informe de avance&amp;nbsp;(número de proyectos completados hasta la fecha).Q3:• Informe de avance intermedio (número de proyectos en fase final).Q4:• Informe de finalización de todos los proyectos del PETI 2025.</t>
  </si>
  <si>
    <t>Depuración Rol usuario USERWEBAPP</t>
  </si>
  <si>
    <t>Descripción:Realizar Durante el año 2025 la creación del rol específico para el usuario USERWEBAPP (App Movil) y desactivar el perfil SAP_ALL en ambiente de QAS y PRD.Indicador:Cumple / No&amp;nbsp;cumpleEntregable:Q4:1. Documento de construcción del rol con las transacciones asignadas.2. Documento de matriz de roles y Perfiles para el rol creado3. RFC en Aranda&amp;nbsp;aprobado en el comité de cambios para paso a PRD del rol creado&amp;nbsp;</t>
  </si>
  <si>
    <t xml:space="preserve"> Despliegue de la segunda fase  de la  matriz de roles y perfiles</t>
  </si>
  <si>
    <t>Descripción:Desplegar Durante el año 2025&amp;nbsp; en ambiente PRD de SAP ECC la matriz de roles y perfiles para las siguientes áreas, Dirección&amp;nbsp;de Estructuración e Innovación de Productos y Gestión, Dirección de Experiencia ,Dirección de Estrategia Comercial, Dirección de Microfinanzas y Programas Especiales, Dirección Comercial Nacional ,Dirección de cumplimiento ,Dirección Asuntos Corporativos, Dirección de Felicidad, Planeación y Gestion Integral ,Oficina de Control Interno, Dirección de Aplicaciones, Dirección Tributaria, Dirección Jurídica.Indicador:Se obtiene un 100% del objetivo si se cumple la siguiente formula:((Sumatoria de porcentaje de avance de las áreas implementadas))/(13-areas planificadas)≥95%Se obtiene un&amp;nbsp;90% del objetivo si se cumple la siguiente formula 90%&amp;gt;(Sumatoria de porcentaje de avance de las áreas implementadas ))/(13-areas planificadas-))/(13 )≥85%Se obtiene un&amp;nbsp;80% del objetivo si el despliegue es menor al 70%.Entregables:Q41. Actas de entrega de la nueva matriz de roles y perfiles firmada por el subdirector y director de cada área.2. RFC aprobada en el comité de cambios para paso a PRD y despliegue de roles y perfiles&amp;nbsp;cada área.</t>
  </si>
  <si>
    <t>Descripción:Gestionar los desarrollos y/o configuraciones de los sistemas de información que soporten la gestión de nuevos productos y servicios, como:- Factoring- Gran empresa- Unificacion de Anexos 14 y 21- Garantia GlobalIndicador:Cumplimiento Q2 (30%) Desarrollo de FactoringCumplimiento Q3 (30%) Desarrollo Gran empresaCumplimiento Q4 (40%) Desarrollo Unificacion de Anexos 14 y 21 y Garantia GlobalEntregables:Control de cambios de paso a ambiente de producción de cada uno de los desarrollos en el trimestre correspondiente y Documento Tecnico de la Solucion propuesta de cada desarrollo.</t>
  </si>
  <si>
    <t>Director de Vinculación, Aseguramiento y Calidad</t>
  </si>
  <si>
    <t>1031150663</t>
  </si>
  <si>
    <t>Luis Carlos Fernandez Vargas</t>
  </si>
  <si>
    <t>Ingeniero de Datos e Inteligencia Artificial</t>
  </si>
  <si>
    <t>Presentar antes del 31 de diciembre una certificación oficial en alguna ruta de formación de Microsoft o Databricks, que fortalezca las capacidades técnicas internas del equipo y esté en concordancia con la infraestructura de datos que se está implementando (Este objetivo se encuentra alineado con el objetivo estratégico: 6.2. Cualificación del talento humano; Apuesta estratégica, Desarrollo de habilidades técnicas, blandas y digitales del talento humano para la transformación digital del FNG):• Evidencia del certificado: peso 100% - Entrega Q4Indicador o Formula con la que se va a Realizar la Medición.Cumple/No CumpleEntregablesCertificado expedidoUbicación de las EvidenciasZ:\Objetivos\2025\Dirección de Planeación</t>
  </si>
  <si>
    <t>Lograr a 31-12-2025, el desarrollo del modulo descriptivo de recuperación de cartera mediante la construcción de un Tablero interactivo y un modelo analítico relacionado con la recuperación de cartera, asegurando el cumplimiento del 100% de los componentes técnicos, analíticos y operativos definidos a continuación (Este objetivo se encuentra alineado con el objetivo estratégico 2. Optimización Financiera; Apuesta estratégica, Diseño de estrategia de recuperación de cartera):• Tablero descriptivo: peso 50% - Entrega en Q3• Diseño metodológico del modelo analítico para cartera: peso 15% - Entrega en Q4• Socialización y recibo de retroalimentación por parte de las áreas responsables de recuperación de cartera: peso 10% - Entrega en Q4• Desarrollo del informe final y su viabilidad de aplicación en las estrategias de recuperación de cartera: peso 25% - Entrega Q4Indicador o Formula con la que se va a Realizar la Medición.Su evaluación será proporcional a la suma de los porcentajes relacionados a cada entregable completado a satisfacciónEntregablesInforme de avance de las actividades relacionadas para entrega en Q3 y Q4 respectivamenteUbicación de las EvidenciasZ:\Objetivos\2025\Dirección de Planeación</t>
  </si>
  <si>
    <t>Lograr a 31-12-2025 la puesta en producción del asistente de inteligencia artificial para la lectura de circulares u otro componente definido por la alta gerencia del FNG, asegurando el cumplimiento del 100% de los componentes relacionados a continuación&amp;nbsp;(Este objetivo se encuentra alineado con el objetivo estratégico 5.1. Consolidación de la Arquitectura Empresarial; Apuesta estratégica, Solución operativa usando tecnología de inteligencia artificial (IA chat bot)):• Catálogo documental del corpus de conocimiento (Listado de circulares, manuales y/o anexos): peso 30% - Entrega Q2• Arquitectura de despliegue y configuración de servicios en el LakeHouse: peso 40% - Entrega Q3• Integración del agente en la plataforma corporativa Microsoft Teams: peso 30% - Entrega Q4Indicador o Formula con la que se va a Realizar la Medición.Su evaluación será proporcional a la suma de los porcentajes relacionados a cada entregable completado a satisfacciónEntregablesActa de recibido a satisfacción por parte del Director de planeación de los componentes de la apuesta de asistente IA para entrega en Q4.Ubicación de las EvidenciasZ:\Objetivos\2025\Dirección de Planeación</t>
  </si>
  <si>
    <t>Lograr a 31 de diciembre de 2025, un estudio integral sobre los clientes del FNG, utilizando las fuentes de información disponibles, con el fin de caracterizar sus principales atributos socio-demográficos y analizar su comportamiento en relación con el uso de las garantías. El estudio permitirá generar conocimiento útil para orientar decisiones estratégicas. (Este objetivo se encuentra alineado con el objetivo estratégico 2. Optimización Financiera; Apuesta estratégica, Fortalecimiento de modelo de proyección y planeación financiera, mediante herramienta tecnológica estructuración y visualización):•&amp;nbsp;Word con la propuesta metodológica aprobada por subdirector de arquitectura de datos: peso 35% - Entrega Q3• Informe sobre la caracterización histórica de los clientes y patrones: peso 40% - Entrega Q4• Hoja de ruta de los siguientes estudios: peso 25% - Entrega Q4Indicador o Formula con la que se va a Realizar la Medición.Su evaluación será proporcional a la suma de los porcentajes relacionados a cada entregable completado a satisfacciónEntregablesInforme de avance de las actividades relacionadas para entrega en Q3 y Q4 respectivamenteUbicación de las EvidenciasZ:\Objetivos\2025\Dirección de Planeación</t>
  </si>
  <si>
    <t>Vicepresidencia Financiera</t>
  </si>
  <si>
    <t>Vicepresidente Financiero</t>
  </si>
  <si>
    <t>1105790866</t>
  </si>
  <si>
    <t>Luis Felipe Guzman Pulido</t>
  </si>
  <si>
    <t>Analista de Procesos y Proyectos</t>
  </si>
  <si>
    <t>Coordinar la apropiación de  una herramienta que optimice el seguimiento a requerimientos externos</t>
  </si>
  <si>
    <t>Descripción del objetivo:Lograr a más tardar el 30-12-2025 coordinar e implementar la apropiación de una herramienta para el seguimiento oportuno, efectivo y documentado de los requerimientos formulados por entes de control, organismos de supervisión y demás partes interesadas externas, garantizando respuestas completas, dentro de los plazos establecidos y alineadas con los lineamientos institucionales, asegurando el cumplimiento del 100 % de las actividades necesarias que se describen a continuación.Indicador: Su evaluación será proporcional a la suma de los porcentajes relacionados a cada entregable completado a satisfacciónActividades:&amp;nbsp;1. Apropiación de la herramienta con los atributos para el seguimiento de requerimientos externos. Peso 70% – Entrega Q3-2025Entregables: Informe de avance de las actividades relacionadas para entrega en Q3, formalizado mediante correo electrónico al Subdirector de Planeación Estratégica y Gestión de Procesos.2. Informe en excel con la totalidad de requerimiento atendidos en los tiempos establecidos en la herramienta, presentado al vicepresidente ejecutivo. Peso 30 % – Entrega Q4-2025Entregables: Informe de avance de las actividades relacionadas para entrega en Q4, formalizado mediante correo electrónico al Subdirector de Planeación Estratégica y Gestión de Procesos.&amp;nbsp;El objetivo esta alineado a la apuesta estratégica del PAI:&amp;nbsp;Mantenimiento del SGI enfocado al rediseño de procedimientos y automatización de procesosUbicación: P:\Objetivos\2025\Dirección de Planeación y Gestión Integral\Luis Felipe Guzman Pulido</t>
  </si>
  <si>
    <t>Apoyo en el Módulo de Proyectos Estratégicos en ISOtools</t>
  </si>
  <si>
    <t>Descripcion del objetivo:Lograr a más tardar el 30-09-2025 Apoyar la transferencia de la información relacionada con los planes y proyectos, desde los formatos actuales hacia la plataforma ISOtools, con el propósito de centralizar, estandarizar y optimizar la gestión, el seguimiento y el control de estos elementos dentro del Sistema Integrado de Gestión (SGI). , asegurando el cumplimiento del 100 % de las actividades necesarias que se describen a continuación.Indicador: Su evaluación será proporcional a la suma de los porcentajes relacionados a cada entregable completado a satisfacciónActividades:1. Entrega de la información migrada en la herramienta ISOtools. Peso: 34%. Entrega Q3 - 2025&amp;nbsp;2. Pruebas de funcionamiento&amp;nbsp;Peso 33%.. Entrega Q3 - 20253. Socialización y capacitación de usuarios. Peso 33%. Entrega Q3 - 2025Entregables: Informe de avance de las actividades relacionadas para entrega en Q3, formalizado mediante correo electrónico al Subdirector de Planeación Estratégica y Gestión de Procesos.&amp;nbsp;El objetivo esta alineado a la apuesta estratégica del PAI:&amp;nbsp;&amp;nbsp;Fortalecimiento de la Metodología para la gestión de proyectosUbicación: P:\Objetivos\2025\Dirección de Planeación y Gestión Integral\Luis Felipe Guzman Pulido</t>
  </si>
  <si>
    <t>Optimizar la gestión documental y archivos de la emisión de documentos de la Subdirección</t>
  </si>
  <si>
    <t>Descripcion del objetivo:Lograr a más tardar el 30-12-2025 ., Realizar un diagnóstico y evaluación de los productos documentales finales generados por la subdirección, con el fin de mejorar los procesos de archivo y publicación en medios digitales, garantizando su disponibilidad, trazabilidad y acceso oportuno, asegurando el cumplimiento del 100 % de las actividades necesarias que se describen a continuación.Indicador: Su evaluación será proporcional a la suma de los porcentajes relacionados a cada entregable completado a satisfacciónActividades:&amp;nbsp;1.&amp;nbsp;Entrega de informe de Evaluación del proceso actual y la propuesta de mejoramiento. Peso 50%. Entrega Q3 - 2025Entregable: Informe de avance de las actividades relacionadas para entrega en Q3, formalizado mediante correo electrónico al Subdirector de Planeación Estratégica y Gestión de Procesos.2.&amp;nbsp;Implementación de propuesta de mejoramiento. Peso 50%-Entrega&amp;nbsp;Q4 - 2025Entregable: Informe de avance de las actividades relacionadas para entrega en Q4, formalizado mediante correo electrónico al Subdirector de Planeación Estratégica y Gestión de Procesos.&amp;nbsp;El objetivo esta alineado a la apuesta estratégica del PAI:&amp;nbsp;Mantenimiento del SGI enfocado al rediseño de procedimientos y automatización de procesosUbicación: P:\Objetivos\2025\Dirección de Planeación y Gestión Integral\Luis Felipe Guzman Pulido</t>
  </si>
  <si>
    <t>Estandarizar y optimizar el proceso de atención a requerimientos externos de la entidad</t>
  </si>
  <si>
    <t>Descripcion del objetivo:Lograr a más tardar el 30-12-2025, Diseñar e implementar un procedimiento estandarizado para la recepción, registro, análisis, seguimiento y respuesta de requerimientos externos dirigidos a la entidad, asegurando eficiencia operativa, trazabilidad y cumplimiento normativo., asegurando el cumplimiento del 100 % de las actividades necesarias que se describen a continuación.Indicador: Su evaluación será proporcional a la suma de los porcentajes relacionados a cada entregable completado a satisfacciónActividades:&amp;nbsp;1.&amp;nbsp;Entrega&amp;nbsp;de Diseño de procedimiento. Peso 50%. Entrega Q3-2025Entregable: Informe de avance de las actividades relacionadas para entrega en Q3, formalizado mediante correo electrónico al Subdirector de Planeación Estratégica y Gestión de Procesos.2. Entrega de matriz de seguimiento a requerimientos. Peso 50%. Entrega Q4-2024Entregable: Informe de avance de las actividades relacionadas para entrega en Q4, formalizado mediante correo electrónico al Subdirector de Planeación Estratégica y Gestión de Procesos.&amp;nbsp;El objetivo esta alineado a la apuesta estratégica del PAI:&amp;nbsp;Mantenimiento del SGI enfocado al rediseño de procedimientos y automatización de procesosUbicación: P:\Objetivos\2025\Dirección de Planeación y Gestión Integral\Luis Felipe Guzman Pulido</t>
  </si>
  <si>
    <t>1015397830</t>
  </si>
  <si>
    <t>Luis Miguel Joya Sanchez</t>
  </si>
  <si>
    <t>Profesional Senior Aseguramiento y Calidad de Garantías</t>
  </si>
  <si>
    <t>Redefinir, antes del 31 de diciembre de 2025, el proceso de aseguramiento de calidad del FNG, partiendo de un diagnóstico estructurado del proceso actual (AS-IS) y finalizando con el diseño de la versión futura (TO-BE), orientada a su automatización.&amp;nbsp;Medición: El objetivo se cumple al 100% con la ejecución de todas las actividades, el resultado final corresponderá a la suma de los porcentajes de cumplimiento de cada actividad ejecutada y debidamente soportada, las cuales corresponden a las siguientes:Entregable 1 (35%) – Al 31 de julio de 2025, presentar a la Vicepresidencia Comercial el diagnóstico del proceso actual (AS-IS) para su validación, el cual incluya:Flujograma actual del proceso, tiempo de ciclo, identificación de actividades con y sin valor agregado, causas-raíz de la problemática y sondeo con los intermediarios financieros sobre la viabilidad de consultar las garantías objeto de aseguramiento en el portal transaccional.Entregable acta de la sesión con conclusiones, recomendaciones o sugerencias.Entregable 2 (35%) – Al 30 de septiembre de 2025, con el resultado del diagnóstico desarrollar el prototipo del rediseño del proceso de aseguramiento de calidad (TO-BE) y presentar a la Vicepresidencia Comercial para su validación, el cual incluya:Flujograma del proceso rediseñado, identificación de posibles integraciones requeridas, batería de indicadores, riesgos asociados, propuesta de cronograma y fases de implementación sugeridas del proyecto de automatización para 2026 (sí aplica).Presentación del Business&amp;nbsp;Case (sí aplica). Identificación y solicitud de necesidades de presupuesto y contratación (sí aplica).Entregable acta de la sesión con conclusiones, recomendaciones o sugerencias.Entregable 3 (30%) – Al 30 de noviembre de 2025, presentar en una mesa de trabajo con la Dirección de Planeación, el alcance de Historia de Usuario – HU que contenga el prototipo de rediseño del proceso de aseguramiento de calidad, denominado “Asegura+” (si se considera viable en el resultado del entregable 2), para que se realice la evaluación y se determine la viabilidad de automatizar el proceso de aseguramiento en 2026.&amp;nbsp;Entregable: acta de la sesión con conclusiones, recomendaciones o sugerencias junto con correo electrónico remitido al área solicitando su concepto de viabilidad.Los entregables se encontrarán en la siguiente ruta: P:\Objetivos\2025\Dirección de Vinculación, Aseguramiento y Calidad\Maria Alejandra Buitrago Jimenez&amp;nbsp;Frecuencia del monitoreo: Enero a diciembre de 2025</t>
  </si>
  <si>
    <t>Rediseñar la metodología de muestreo periódico del proceso de aseguramiento</t>
  </si>
  <si>
    <t>Rediseñar, antes del 31 de diciembre de 2025, la metodología actual de muestreo periódico del proceso de aseguramiento de calidad.&amp;nbsp;Medición: El objetivo se cumple al 100% con la ejecución de todas las actividades, el resultado final corresponderá a la suma de los porcentajes de cumplimiento de cada actividad ejecutada y debidamente soportada, las cuales corresponden a las siguientes:&amp;nbsp;Entregable 1 (Peso 20%): Al 30 de mayo de 2025, entrega de insumo que contiene el diagnóstico y propuesta de modelo híbrido con la solicitud formal de revisión de la propuesta y rediseño del modelo actual. Esta solicitud se realiza por correo electrónico a la Dirección de modelos técnicos desde el correo de la Subdirección de Vinculación, Aseguramiento y Calidad.&amp;nbsp;Entregable 2 (Peso 30%): Al 30 de agosto de 2025, en una sesión con los equipos de la Vicepresidencia de Riesgos y Vicepresidencia Comercial, incluidos la Dirección de Modelos Técnicos y Dirección de Vinculación, Aseguramiento y Calidad, revisar la propuesta de rediseño de la metodología y como evidencia se registrará un acta de la sesión.&amp;nbsp;Entregable 3 (Peso 30%): Al 30 de octubre de 2025, presentar para aprobación la versión final de la metodología del modelo de muestreo periódico a la instancia que corresponda (Comité de Garantías o Comité de Integrado de Riesgos (Comité SIAR de Garantías o Junta Directiva) como evidencia se tendrá la presentación ante el Comité y el acta correspondiente.&amp;nbsp;Entregable 4 (Peso 20%): Al 19 de diciembre de 2025, entregar el insumo a la Dirección de Modelos Técnicos para la actualización documental de la metodología en el proceso de aseguramiento de calidad que se encuentra en el manual MA-GRI-005 Manual Unificado del Sistema de Administración del Riesgo de Garantías, numeral 11. Derechos de inspección.&amp;nbsp;Los entregables se encontrarán en la siguiente ruta: P:\Objetivos\2025\Dirección de Vinculación, Aseguramiento y Calidad\Maria Alejandra Buitrago Jimenez&amp;nbsp;Frecuencia del monitoreo: mayo a diciembre 31 de 2025</t>
  </si>
  <si>
    <t>Al 31 de diciembre de 2025, mejorar la calidad de los entregables a clientes internos y externos. Mediante la medición del producto no conforme el cual se define como un error, imprecisión u omisión en una comunicación entregada (correo, presentación, informes, actas y contratos), en el cual se ha identificado el incumplimiento de un requisito de calidad por parte de la Subdirección, Dirección del equipo, un comité interno o un cliente externo. Este objetivo mide fondo, no forma.&amp;nbsp;Medición: El objetivo mensual se considera cumplido al 100% si no se identifica ningún producto no conforme. La calificación final corresponderá al promedio de las calificaciones mensuales obtenidas.&amp;nbsp;No. eventos mes&amp;nbsp;&amp;nbsp;&amp;nbsp;&amp;nbsp;&amp;nbsp;&amp;nbsp;&amp;nbsp;&amp;nbsp;&amp;nbsp;&amp;nbsp;&amp;nbsp;&amp;nbsp;Calificación0&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100%1&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95%2&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90%3 o más&amp;nbsp;&amp;nbsp;&amp;nbsp;&amp;nbsp;&amp;nbsp;&amp;nbsp;&amp;nbsp;&amp;nbsp;&amp;nbsp;&amp;nbsp;&amp;nbsp;&amp;nbsp;&amp;nbsp;&amp;nbsp;&amp;nbsp;&amp;nbsp;&amp;nbsp;&amp;nbsp;&amp;nbsp;&amp;nbsp;&amp;nbsp;&amp;nbsp;&amp;nbsp;&amp;nbsp;&amp;nbsp;&amp;nbsp;&amp;nbsp;&amp;nbsp;&amp;nbsp;&amp;nbsp;&amp;nbsp;&amp;nbsp;&amp;nbsp;&amp;nbsp;&amp;nbsp;&amp;nbsp;&amp;nbsp;&amp;nbsp;&amp;nbsp;0%&amp;nbsp;Frecuencia del monitoreo: Julio 1 a diciembre 31 de 2025</t>
  </si>
  <si>
    <t>Rediseño metodología certificación de calidad</t>
  </si>
  <si>
    <t>Rediseñar, antes del 31 de diciembre de 2025, la metodología del modelo de certificación de calidad del FNG, iniciando con la identificación de brechas y oportunidades de mejora en la metodología actual y finalizando con la implementación de una nueva metodología aprobada, documentada y socializada con las áreas involucradas.&amp;nbsp;Medición: El objetivo se cumple al 100% con la ejecución de todas las actividades, el resultado final corresponderá a la suma de los porcentajes de cumplimiento de cada actividad ejecutada y debidamente soportada, las cuales corresponden a las siguientes:&amp;nbsp;Entregable 1 (25%): Al 30 de junio de 2025, presentar el prototipo desarrollado (PPT) que consolide los resultados de las mesas de trabajo realizadas con las áreas involucradas. La evidencia será la presentación en PPT y la sesión grabada en teams.&amp;nbsp;Entregable 2 (25%): Al 31 de julio de 2025, presentar por la parte de la Dirección de Vinculación, Aseguramiento y Calidad la versión final de rediseño del modelo de certificación a Comité Evaluador para su correspondiente aprobación, evidencia acta de la sesión.&amp;nbsp;Entregable 3 (30%): Al 30 de agosto de 2025, presentar por la Dirección de Vinculación, Aseguramiento y Calidad o Vicepresidencia Comercial la versión final de rediseño del modelo de certificación a la instancia que corresponda (Comité de Garantías o Comité de Integrado de Riesgos (Comité SIAR de Garantías o Junta Directiva) para su correspondiente decisión, evidencia acta de la sesión.&amp;nbsp;Entregable 4 (Peso 20%): Al 19 de diciembre de 2025, actualizar en ISOLUCION la documentación los siguientes documentos relacionados con el procesoMA-AGA-010 Manual de políticas proceso de certificación de calidadIN-AGA-113 Instructivo evaluación calificación certificación intermediariosFR-AGA-069 Evaluación y calificación del intermediario objeto de certificación&amp;nbsp;Los entregables se encontrarán en la siguiente ruta: P:\Objetivos\2025\Dirección de Vinculación, Aseguramiento y Calidad\Maria Alejandra Buitrago Jimenez&amp;nbsp;Frecuencia del monitoreo: Enero a Diciembre de 2025</t>
  </si>
  <si>
    <t xml:space="preserve">Ejecutar el entregable 4 del objetivo de área - Rediseño metodología certificación de calidad </t>
  </si>
  <si>
    <t>Al 19 de diciembre de 2025, actualizar en ISOLUCION los siguientes documentos relacionados con el proceso del modelo de certificación de calidad FNG:&amp;nbsp;MA-AGA-010 Manual de políticas proceso de certificación de calidadIN-AGA-113 Instructivo evaluación calificación certificación intermediariosFR-AGA-069 Evaluación y calificación del intermediario objeto de certificación.&amp;nbsp;Frecuencia del monitoreo: Enero a diciembre 19 de 2025&amp;nbsp;Medición: Cumple 100% – No cumple 0%&amp;nbsp;Entregable: La evidencia será el documento cargado y aprobado en ISOLUCION donde conste la fecha de actualización en este aplicativo, la cual debe ser anterior o igual al 19 de diciembre de 2025.&amp;nbsp;Los entregables se encontrarán en la siguiente ruta: P:\Objetivos\2025\Dirección de Vinculación, Aseguramiento y Calidad\Luis Miguel Joya</t>
  </si>
  <si>
    <t>Al 31 de diciembre de 2025, ejecutar el cierre del proceso de Aseguramiento de Calidad correspondiente a las 192 garantías asignadas para revisión, conforme al cronograma de trabajo definido para el segundo semestre de 2025. El nivel de cumplimiento se evaluará con base en el porcentaje de cierre efectivo de dichas garantías, de acuerdo con la siguiente escala proporcional:&amp;nbsp;=&amp;gt; 95% de cierre: cumplimiento del 100%= 80 y &amp;lt; 95%: será proporcional al cumplimiento alcanzado&amp;lt; 80: el cumplimiento será 0%&amp;nbsp;Medición&amp;nbsp;Número total garantías cerradas*/Número total de garantías a cerrar* en el período. &amp;nbsp;*Garantías en estado: conforme, no conforme u otro&amp;nbsp;Evidencia&amp;nbsp;La gestión de las garantías será registrada en los Formularios de revisión de garantías y la evidencia serán los informes de gestión emitidos por la Subdirección del área y que se encuentran en la siguiente ruta: P:\Vice_Comercial\Dir_Aseguramiento_Calidad\DI_Informes\Informes_Gestion\2025&amp;nbsp;Los entregables se encontrarán en la siguiente ruta: P:\Objetivos\2025\Dirección de Vinculación, Aseguramiento y Calidad\Maria Alejandra Buitrago Jimenez&amp;nbsp;Frecuencia del monitoreo: Julio 1 a Diciembre 31 de 2025</t>
  </si>
  <si>
    <t xml:space="preserve">Diseño de material audiovisual para la socialización del proceso de certificación de calidad FNG </t>
  </si>
  <si>
    <t>Diseñar, desarrollar e implementar un prototipo de video (presentación explicativa), sobre el proceso de certificación de calidad para intermediarios financieros objeto de certificación y renovación, que esté alineado con los lineamientos del rediseño año 2025 y la metodología de evaluación.&amp;nbsp;Medición: Total de entregables a tiempo/ Total de entregables definidos *100 junto la versión final de video/presentación audiovisual institucional.&amp;nbsp;Frecuencia: Julio 1 de 2025 al 30 de noviembre 2025&amp;nbsp;Entregables: Q2: Al 31 de Julio de 2025, presentar el plan de trabajo acordado entre la Dirección de Vinculación y Marca Institucional. La evidencia será el correo electrónico remitido a las áreas solicitando VoBo.Q3: Al 30 de septiembre, presentar a las direcciones involucradas (Dirección de Vinculación, Experiencia y Soluciones, si aplica) en el proceso de certificación la versión preliminar del video. La evidencia será el correo electrónico remitido a las áreas solicitando VoBo.Q4: Al 30 de noviembre, presentar a las direcciones involucradas (Dirección de Vinculación, Experiencia y Soluciones, si aplica) en el proceso de certificación la versión final del video. La evidencia será el correo electrónico remitido a las áreas solicitando VoBo.&amp;nbsp;Los entregables se encontrarán en la siguiente ruta: P:\Objetivos\2025\Dirección de Vinculación, Aseguramiento y Calidad\Luis Miguel Joya</t>
  </si>
  <si>
    <t>52303234</t>
  </si>
  <si>
    <t>Luz Adriana Camacho Torres</t>
  </si>
  <si>
    <t>Auxiliar de Gestión Administrativa</t>
  </si>
  <si>
    <t>Ejecutar para 2025 la contratación del Plan Anual de Adquisiciones aprobado para el proceso de Gestión Administrativa.&amp;nbsp;&amp;nbsp;Su evaluación será proporcional al numero de procesos contratados.&amp;nbsp;Indicador o Formula con la que se va a Realizar la Medición.No de procesos aprobados en el Plan /No. procesos ejecutadosEntregables&amp;nbsp;Informe trimestral Q3 y Q4 de los procesos contratados presentado al Vicepresidente Ejecutivo.Este objetivo se encuentra en la siguiente ruta:P:\Objetivos\2025\Dirección de Felicidad</t>
  </si>
  <si>
    <t>Documentar el Plan de mantenimiento vial del FNG</t>
  </si>
  <si>
    <t>Gestionar el mantenimiento y buen funcionamiento de los vehiculos de la Entidad con fin de evitar su deterioro físico:Mensual: Inspección mensual del estado del vehículo&amp;nbsp;Mensual: Verificación de planillas de recorrido de los vehículos.Q2 y Q4: Mantenimiento preventivo de los vehículosIndicador o Formula con la que se va a Realizar la Medición.Inspección mensual del estado del vehiculo: 7 inspecciones realizadas / 7 inspecciones planeadascada mes pesa el 14.28Inspección mensual del estado del vehículo: 7 inspecciones realizadas / 7 inspecciones planeadas.EntregablesFormato de inspecciones realizadas&amp;nbsp;Planillas verificadas y firmadasDocumento con la descripción del mantenimiento.&amp;nbsp;Este objetivo se encuentra en la siguiente ruta:P:\Objetivos\2025\Dirección de Felicidad</t>
  </si>
  <si>
    <t>Lograr a 31-12-2025 el cumplimiento del 100% de los&amp;nbsp;planes del Decreto 612-2018, relacionados con la Dirección de Felicidad, los cuales son monitoreados por el Comité Institucional de Gestión y Desempeño.&amp;nbsp;Indicador o Formula con la que se va a Realizar la Medición.Su evaluación será proporcional al resultado obtenido en cada plan. (ejemplo: si se hace el 90% de las actividades la calificación sera 90 puntos- Si la calificación es menor a 80% su calificación sera cero).Entregables&amp;nbsp;Acta de Comité Institucional de Gestión y Desempeño donde se evidencia el cumplimiento de los planes, presentados en cada Q.&amp;nbsp;Este objetivo se encuentra en la siguiente ruta:Z:\Objetivos\2025\Dirección de Felicidad</t>
  </si>
  <si>
    <t>Seguimiento comunicaciones distribuidas por los mensajeros y comunicaciones a nivel nacional- para el pago de la factura del proveedor</t>
  </si>
  <si>
    <t>Para la vigencia 2025, realizar el seguimiento de las comunicaciones que serán distribuidas por el mensajero el cual tendrá un peso de 50%Para la vigencia 2025, realizar el seguimiento de las comunicaciones que serán distribuidas a través del canal de mensajería expresa para le pago de la empresa de mensajería Digicom. su peso será del 50%Indicador o Formula con la que se va a Realizar la Medición.Revisión planillas y Excel de las comunicaciones entregadas&amp;nbsp;Entregables:Planillas de correspondencia y bases de datos de la entrega expresa.Este objetivo se encuentra en la siguiente ruta:P:\Objetivos\2025\Dirección de Felicidad</t>
  </si>
  <si>
    <t>Caja menor</t>
  </si>
  <si>
    <t>Realizar durante el 2025 la legalización del&amp;nbsp;100%&amp;nbsp;de la facturas en SAP a los 3 días hábiles siguientes que los funcionarios entreguen las facturas para su respectiva legalizacion. Peso 100% Evidencia: Reporte en Excel SAP con las fechas de legalizacion de las facturas.Su evaluación será mensual desde el mes de enero hasta diciembre de 2025, así:Enero a Junio: peso 50 de puntos por cada mes.Julio a Diciembre: peso de 50 puntos.&amp;nbsp;Indicador o Formula con la que se va a Realizar la Medición.Reembolsos en PDFEnero a Junio&amp;nbsp;Julio&amp;nbsp;a Diciembre 2025EntregablesReporte en Excel SAP con las fechas de legalizacion de las facturas.Este objetivo se encuentra en la siguiente ruta:P:\Objetivos\2025\Dirección de Felicidad</t>
  </si>
  <si>
    <t>53081198</t>
  </si>
  <si>
    <t>Luz Adriana Loaiza Moreno</t>
  </si>
  <si>
    <t>Profesional de Seguridad de la Información</t>
  </si>
  <si>
    <t>Lineamiento de gestión de logs en el FNG.</t>
  </si>
  <si>
    <t>Descripción del ObjetivoElaborar el lineamiento institucional para la administración de logs, a diciembre 31 de 2025.&amp;nbsp;Indicador o Formula con la que se va a Realizar la MediciónPorcentaje de cumplimiento 100%Q3: 50%Q4: 50%Actividades y EntregablesActividad 1: Q3 elaboración del documento del lineamiento de gestión de logs en su versión borrador (50%).Entregable 1: Entrega del documento borrador, vía correo electrónico, al subdirector de Seguridad de la Información para sus comentarios.Actividad 2: Q4 publicación del lineamiento institucional para la administración de logs del FNG (50%).Entregable 2: publicar en la herramienta definida por la entidad para el sistema de gestión integrado el documento, lineamiento institucional para la administración de logs.Ubicación: Público/gestion estratégica/Dirección asuntos corporativos&amp;nbsp;</t>
  </si>
  <si>
    <t>Descripción del ObjetivoAdelantar el proceso de evaluación y verificación del nivel de madurez de cumplimiento de los controles conforme a la norma ISO 27001:2022, al 30 de diciembre de 2025.&amp;nbsp;Indicador o Formula con la que se va a Realizar la Medición.Porcentaje de cumplimiento 100%Q3: 30%Q4: 70%Actividades y EntregablesActividad 1: Q3: Entrega del plan y programa de autoevaluación a ejecutar (30%).Entregable 1: plan y programa de la autoevaluación en Excel que contenga las pruebas a ser ejecutadas, entregado a la Directora de Asuntos Corporativos vía correo electrónicoActividad 2: Q4 ejecutar el programa de autoevaluación del nivel de madurez de Seguridad de la Información conforme a la norma ISO 27001:2022 (70%).Entregable 2: Correo electrónico dirigido al Vicepresidente Ejecutivo, que contenga la presentación con los resultados de la autoevaluación realizada.&amp;nbsp;Ubicación: Público/gestion estratégica/Dirección asuntos corporativos&amp;nbsp;</t>
  </si>
  <si>
    <t>Matriz de roles y perfiles para aplicativos críticos</t>
  </si>
  <si>
    <t>Descripción del ObjetivoConstruir las matrices de roles y perfiles para los aplicativos Hunter y Mercurio, al 31 de diciembre de 2025.&amp;nbsp;Indicador o Formula con la que se va a Realizar la Medición.Porcentaje de cumplimiento 100%Q3: 50%Q4: 50%Actividades y EntregablesActividad 1: Q3 elaborar la plantilla para la matriz de roles y perfiles del aplicativo Hunter (25%).Entregable 1: Correo electrónico dirigido al Subdirector de Seguridad de la Información con la plantilla de la matriz de roles y perfiles del aplicativo Hunter.Actividad 2: Q3 elaborar la plantilla para la matriz de roles y perfiles del aplicativo Mercurio (25%).Entregable 2: Correo electrónico dirigido al Subdirector de Seguridad de la Información con la plantilla de la matriz de roles y perfiles del aplicativo Mercurio.Actividad 3: Q4 documentar las matrices de roles y perfiles de aplicativos Hunter y mercurio (50%).Entregable 3: Correos electrónicos emitidos por los administradores funcionales de las aplicaciones objeto de evaluación, en el que se evidencie la aprobación de cada una de las matrices de roles y perfiles elaboradas.Ubicación: Público/gestion estratégica/Dirección asuntos corporativos&amp;nbsp;</t>
  </si>
  <si>
    <t>Matriz de roles y perfiles para programas utilitarios</t>
  </si>
  <si>
    <t>Descripción del ObjetivoConstruir 5 matrices de roles y perfiles para programas utilitarios de la Subdirección de Aplicaciones Misionales, al&amp;nbsp;31 de diciembre de 2025.Indicador o Formula con la que se va a Realizar la MediciónPorcentaje de cumplimiento 100%Q3: 50%Q4: 50%Actividades y entregablesActividad 1: Q3 elaborar la plantilla para la matriz de roles y perfiles de los programas utilitarios (50%).Entregable 1: Correo electrónico dirigido al Subdirector de Seguridad de la Información con la plantilla de la matriz de roles y perfiles para los programas utilitarios.Actividad 2: Q4 documentar las matrices de roles y perfiles de los programas utilitarios (50%).Entregable 2: Correos electrónicos emitidos por los administradores funcionales de los 5 programas utilitarios objeto de evaluación, en el que se evidencie la aprobación de cada una de las matrices de roles y perfiles elaboradas.Ubicación: Público/gestion estratégica/Dirección asuntos corporativos&amp;nbsp;</t>
  </si>
  <si>
    <t>Indicador o Formula con la que se va a Realizar la Medición.Porcentaje cumplimiento 100%Q1:14%Q2:7%Q3:40%Q4:39%&amp;nbsp;Actividades y entregablesActividad 1: Q1&amp;nbsp;Formalizar el Manual del Sistema de Gestión de Seguridad de la Información.Entregable 1:&amp;nbsp;Cargue del Manual en la herramienta dispuesta por la entidad para su formalización (10%).&amp;nbsp;Actividad 2:&amp;nbsp;Q1 a Q4 ejecutar los 22 controles que están definidos en la matriz de riesgos y controles del FNG y que están a cargo de Seguridad de la Información.&amp;nbsp;Entregable 2:&amp;nbsp;Informe ejecutivo remitido vía correo electrónico al Vicepresidente Ejecutivo con el resultado de las validaciones efectuadas (15%).&amp;nbsp;Actividad 3: Q2 a Q4 realizar una capacitación de sensibilización en Seguridad de la Información dirigida a los colaboradores del FNG y enviar 8 cápsulas informativas por los canales de comunicación definidos por el fondo.Entregable 3: Presentación de la capacitación de sensibilización realizada y listado de asistentes a la capacitación. 8 cápsulas de información envidas por los canales de comunicación del FNG (10%).&amp;nbsp;&amp;nbsp;Actividad 4:&amp;nbsp;Q3 a Q4 elaborar y evaluar 4 matrices de roles y perfiles para sistemas de información (10%). Se obtendrá un 100% del peso de este entregable si se levantan las cuatro matrices. Si se elaboran 3 matrices se obtendrá una calificación del 75% del peso de este entregable. Si se elaboran 2 o menos matrices, la calificación sera de 0%.Entregable 4: Correo electrónico emitido por el administrador funcional del sistema objeto de evaluación, en el que se evidencie la aprobación de cada una de las matrices de roles y perfiles elaboradas.&amp;nbsp;Actividad 5: Q3 a Q4 elaborar la matriz de activos de información del FNG.Entregable 5: Matriz de activos de información publicada en la página web del FNG antes del 31 de diciembre de 2025 (15%).&amp;nbsp;Actividad 6:&amp;nbsp;Q3 a Q4 realizar dos pruebas de gestión de incidentes de seguridad de la información (10%). Si se realizan las dos pruebas, se tendrá una calificación del 100% del peso de este entregable. Si se realiza una prueba, se tendrá una calificación del 50% del peso de este entregable.&amp;nbsp;Entregable 6: Informes con los resultados de las pruebas ejecutadas, entregados al Vicepresidente Ejecutivo y a la Vicepresidenta de Transformación Digital e Innovación vía correo electrónico.&amp;nbsp;Actividad 7:&amp;nbsp;Q3 a Q4 realizar un análisis de vulnerabilidades y ethical hacking sobre la infraestructura tecnológica del FNG.&amp;nbsp;Entregable 7: Informe de test del análisis de vulnerabilidades y ethical hacking, entregado al Vicepresidente Ejecutivo y a la Vicepresidenta de Transformación Digital e Innovación vía correo electrónico (15%).&amp;nbsp;Actividad 8:&amp;nbsp;Q4 finalizar el entrenamiento, clasificación y etiquetado de la información del FNG.Entregable 8:&amp;nbsp;Informe ejecutivo remitido vía correo electrónico al Vicepresidente Ejecutivo con el resultado de la clasificación y etiquetado de la información del FNG (15%).&amp;nbsp;Ubicación: Público/gestión estratégica/Dirección asuntos corporativos&amp;nbsp;</t>
  </si>
  <si>
    <t>46378445</t>
  </si>
  <si>
    <t>Luz Andrea Gonzalez Saavedra</t>
  </si>
  <si>
    <t>Profesional Senior de Operaciones</t>
  </si>
  <si>
    <t>Al 31 de diciembre de 2025, haber cursado y aprobado el curso de Inteligencia Artificial Generativa del BIDINDICADORCumple/ No CumpleENTREGABLE/EVIDENCIA : Certificado de aprobación ubicadas en la Ruta: P:\Objetivos\2025\Direccion de Operaciones\</t>
  </si>
  <si>
    <t>Universidad de la Garantía</t>
  </si>
  <si>
    <t>Diseñar e incorporar al menos 2 recursos interactivos (digitales o físicos) en el modulo de&amp;nbsp;liquidación y devolución de comisiones de la Universidad del la garantía nivel avanzado, adicionar&amp;nbsp;dictar y evaluar&amp;nbsp;estos modulos a la Dirección de Operaciones en el 4Q del 2025.INDICADOR:Diseño del curso - 50%Dictar y evaluar el curso - 50%ENTREGABLES / EVIDENCIA:Correo dirigido a la directora de Operaciones con la presentación final, listado de asistencia y encuestas.&amp;nbsp; Evidencias ubicadas en la Ruta: P:\Objetivos\2025\Direccion de Operaciones\</t>
  </si>
  <si>
    <t>A 31 de agosto de 2025 actualizar el&amp;nbsp;instructivo IN-AGA-094 Controles y Validaciones Manuales en la Devolución de Comisiones INDICADORCumple/ No CumpleENTREGABLES / EVIDENCIA: Documento actualizado en ISOlución</t>
  </si>
  <si>
    <t>52833710</t>
  </si>
  <si>
    <t>Luz Angela Cuevas Carvajalino</t>
  </si>
  <si>
    <t>Profesional de Selección y Desarrollo</t>
  </si>
  <si>
    <t>Aplicar durante el 2025 dos (2)&amp;nbsp;encuestas estructuradas de Ambiente Laboral con el fin de identificar la percepción de los colaboradores en aspectos clave como el liderazgo, el relacionamiento, la comunicación, las condiciones laborales entre otros que permitan a la Alta Dirección y a la Dirección de Felicidad realizar intervenciones a tiempo y tomar de decisiones.Formula: La medición será la sumatoria de los pesos para cada entregable.De no cumplir con un entregable su calificación será "0" en ese entregableEntregables:Informe entregado a la Vicepresidencia Ejecutiva los diez (10) primeros días hábiles de marzo con los resultados y análisis de la encuesta.Peso:50%Informe entregado a la Vicepresidencia Ejecutiva los diez (10) primeros días hábiles de agosto con los resultados y análisis de la encuesta.Peso:50%</t>
  </si>
  <si>
    <t xml:space="preserve">Actualización y publicación del Reglamento interno de Trabajo </t>
  </si>
  <si>
    <t>Actualizar y Publicar a 31 de diciembre de 2025&amp;nbsp;el Reglamento Interno de Trabajo&amp;nbsp;Su evaluación será:&amp;nbsp;Documento del Reglamento actualizado: 50%Publicación en las instalaciones del FNG y/o Intranet: 50%EntregableReglamento interno de trabajo actualizado y Publicado</t>
  </si>
  <si>
    <t>Lograr a 31-12-2025 el cumplimiento de los planes del Decreto 612-2018, relacionados con Gestión Humana así:Plan Estratégico de Gestión Humana: peso 60%&amp;nbsp;Plan de Capacitación: peso 20%Plan de Seguridad y Salud en el Trabajo: peso 20%Su evaluación será proporcional al resultado obtenido en cada plan.Formula:Su evaluación será proporcional al resultado obtenido en cada plan. (ejemplo: si se hace el 90% de las actividades la calificación será 90 puntos- Si la calificación es menor a 80% su calificación será cero).Entregables:Acta de Comité Institucional de Gestión y Desempeño donde se evidencia el cumplimiento de los planes, presentados en cada Q.&amp;nbsp;</t>
  </si>
  <si>
    <t>Ejecutar las actividades del Plan Carrera y Sucesión 2025Formula:La medición será la sumatoria total de los porcentajes establecidos para cada entregable. De no cumplir con un entregable su calificación será "0" en ese entregableEntregables:Q3: Peso: 70%1. Peso 5%: Presentación propuestas aplicación de pruebas psicotécnicas para aprobación del Vicepresidente Ejecutivo.&amp;nbsp;Entregable. Correo electrónico con el resumen del envío de la presentación y aprobación por parte del Vicepresidente&amp;nbsp;2. Peso 10%: Lanzamiento del Plan Carrera y Sucesión para los colaboradores en cargos críticos y plan de sucesión del FNG.Entregable: Citación, lista de asistencia y registro fotográfico.3. Peso 10%: Aplicación de las pruebas psicotécnicas.Entregable: Correos con el envío de la prueba por colaborador y los resultados de las pruebas4. Peso 5%: Aplicación de la Ficha Técnica - Plan de CarreraEntregable: Remisión de la ficha técnica a través del correo corporativo y fichas técnicas diligenciadas por cada colaborador y recibidas en la dirección de felicidad5. Peso 5%: Actualización Matriz Plan de Carrera y SucesiónEntregable: Archivo Excel con la matriz de plan de carrera y sucesión actualizada6. Peso 5%: Informe avances Plan de Carrera y Sucesión con corte a Q3Entregable: Correo electrónico dirigido la Directora de Felicidad con el informe de los avances del plan de carrera y sucesión con corte al 30 de septiembre de 2025 Se entregará los cinco primeros días del mes de octubre7. Peso 10%:Actualización Modelo de CompetenciasEntregable: Modelo de Competencias actualizado publicado en Isolucion8. Peso 10%:Socialización y Assessment de las pruebas psicotécnicasEntregable: Citación por teams y correo electrónico con el envío de los resultados de la prueba psicotécnica9. Peso 5%: Actualización Matriz Plan de Carrera y Sucesión10. Peso 5%: Informe avances Plan de Carrera y SucesiónEntregable: Correo electrónico dirigido al vicepresidente ejecutivo con el informe de los avances del plan de carrera y sucesión con corte al 30 de septiembre. Se entregara los cinco primeros días del mes de octubre de 2025.Q4: Peso: 30%1. Peso 10%: Acompañamiento del Coach para diseño personalizado del Plan de Carrera y SucesiónEntregable: Citación por teams, listas de asistencia, Soporte de Actividades y/o Registro Fotográficos2. Peso 10%: Aplicación de encuesta a todos los colaboradores en plan de carrera y sucesión para medir la satisfacción del plan.Entregable:&amp;nbsp;Informe de resultados de la encuesta remitido por correo electrónico la Directora de la Dirección de Felicidad. Se entregará durante los primeros 15&amp;nbsp;días del mes de enero de 2026.3. Peso 10%:informe avances Plan de Carrera y SucesiónEntregable: Correo electrónico dirigido a la&amp;nbsp;la Directora de la Dirección de Felicidad con el informe de los avances del plan de carrera y sucesión con corte al 30 de diciembre. Se entregara los 15&amp;nbsp;primeros días del mes de enero de 2026.&amp;nbsp;</t>
  </si>
  <si>
    <t>Formato de Hoja de vida FNG</t>
  </si>
  <si>
    <t>Actualizar el formato de HV del FNG y la información de los colaboradores&amp;nbsp;a 31 de Diciembre 2025&amp;nbsp;&amp;nbsp;Su evaluación será:&amp;nbsp;1. Presentación del formato actualizado de la Hoja de vida FNG&amp;nbsp;en editable y publicado en Isolución&amp;nbsp;(50%) al 30 agosto 2025.2. actualización de la información de los colaboradores en la base de datos de la dirección de Felicidad&amp;nbsp;(50%) al 30 diciembre 2025Entregables:Hoja de Vida FNG actualizada al 30 de Agosto 2025Base de Datos Actualizada al 30 de Diciembre 2025</t>
  </si>
  <si>
    <t>ENCUESTA DE BENEFICIOS Y ACTIVIDADES DE BIENESTAR DEL FNG</t>
  </si>
  <si>
    <t>Diseñar e&amp;nbsp;implementar&amp;nbsp;una encuesta de actividades de medición de los beneficios y actividades de bienestar del FNG, que permita identificar a través de los resultados los beneficios y/o actividades que se puedan potencializar y/o implementar para la formulación del plan de bienestar 2026 .Alcance: 150 colaboradoresSu evaluación será:&amp;nbsp;1.Diseño y Aplicación&amp;nbsp;de la encuesta :50%&amp;nbsp;Personal encuestado / Total de personal * 1002. Presentación del plan&amp;nbsp;de bienestar 2026 a la directora de felicidad 50%Entregables:Encuesta e informe de resultados al 15 de Septiembre , presentado a la Directora de FelicidadPlan de bienestar del 2026 presentado al 30 de Noviembre a la directora de felicidad</t>
  </si>
  <si>
    <t>Plan de Bienestar</t>
  </si>
  <si>
    <t>Ejecutar el 100% de las actividades planificadas en el Plan Anual de Bienestar aprobado para la vigencia 2025Su Evaluación será:&amp;nbsp;1. Ejecución peso 50 %&amp;nbsp;No de las actividades Ejecutadas/ /numero total&amp;nbsp;de actividades planificadas)*1002. Presentar a la Directora de Felicidad las propuestas de las actividades del plan con la siguiente antelacion:50%propuestas para el mes de Julio: fecha max de presentación 14 de junio (8%)propuestas para el mes de Agosto : fecha max de presentación 27 junio&amp;nbsp;(8%)propuestas para el mes de Septiembre : fecha max de presentación 31 julio&amp;nbsp;(8%)propuestas para el mes de Octubre : fecha max de presentacion 31 agosto&amp;nbsp;(8%)propuestas para el mes de Noviembre : fecha max de presentación 30 septiembre (8%)propuestas para el mes de Diciembre : fecha max de presentación 31 octubre (10%)Entregables:Acta de Comité Institucional de Gestión y Desempeño donde se evidencia el cumplimiento de los planes, presentados en cada Q.&amp;nbsp;&amp;nbsp;2. correos electrónicos con las propuestas</t>
  </si>
  <si>
    <t>52308575</t>
  </si>
  <si>
    <t>Luz Angela Velasquez Coy</t>
  </si>
  <si>
    <t>Profesional de Gestión Contable y de Mandatos</t>
  </si>
  <si>
    <t>Acciones de Mejora</t>
  </si>
  <si>
    <t>A 31 diciembre de 2025 lograr como mínimo el cumplimiento del 90% de las acciones formuladas durante la vigencia en los planes de acción y mejoramiento relacionados con las auditorias realizadas por la OCI, SFC, Revisoría Fiscal y CGR en las actividades relacionadas con la Dirección de Contabilidad y Presupuesto.Indicador:Cantidad de actividades de planes de mejoramiento cumplidas (# acciones ejecutadas) / # total de acciones incluidas en los planes a ser ejecutados al 31/12/2025Entregales:Correo electrónico enviado en el cual se informe a la Oficina de control Interno - OCI el cumplimiento de las acciones, la modificación de fechas o entregables acordados, a este correo deben adjuntarse los soportes de evidencias que correspondan en cada caso.Ubicación:﻿P:\Objetivos\2025\Dirección de Contabilidad y Presupuesto\Luz Angela Velásquez Coy</t>
  </si>
  <si>
    <t xml:space="preserve">Estados Financieros de Mandatos </t>
  </si>
  <si>
    <t>Remitir los Estados Financieros de Mandatos de los meses de junio a noviembre a la subdirectora de Contabilidad para su revisión dentro de los primeros 8 días hábiles del mes siguiente al cierre o el día hábil siguiente si este es fin de semana o festivo, con excepción del Mandato Bonos Hipotecarios.</t>
  </si>
  <si>
    <t>Rendimientos de Mandatos</t>
  </si>
  <si>
    <t>Generar las Ordenes de Pago de los Rendimientos Financieros de los Mandatos en Mercurio máximo el segundo día hábil después de recibido el correo de Tesorería con la información de los Rendimientos correspondiente a los meses de junio a diciembre.Indicadores:(Cantidad de ordenes de pago de rendimientos generadas dentro del plazo establecido/Total de ordenes que se deben remitir.Entregables:Un Informe en Excel de junio a diciembre del cumplimiento del plazo establecido y correos de respuesta a Tesorería informando el cargue de las ordenes de pago en Mercurio.Ubicación:P:\Objetivos\2025\Dirección de Contabilidad y Presupuesto\Luz Angela Velásquez Coy</t>
  </si>
  <si>
    <t>Informe de Pagos de Liquidación  de Contratos</t>
  </si>
  <si>
    <t>Gestionar las solicitudes de informes de pagos de liquidación de contratos máximo el segundo día hábil siguiente a la fecha de recibida la solicitud por correo a partir del mes de junio y hasta el mes de diciembre de 2025.Indicador:(Cantidad de solicitud de Informes de liquidación de pagos dentro del plazo establecido/Total de solicitudes de informes en el año.Entregables:Un Informe en Excel&amp;nbsp;de junio a diciembre del cumplimento del plazo establecido y correos de respuesta de cada una de las solicitudes.Ubicación:﻿P:\Objetivos\2025\Dirección de Contabilidad y Presupuesto\Luz Angela Velásquez Coy</t>
  </si>
  <si>
    <t>Realizar el cierre y la transmisión del PUC financiero mensual a la SFC un día hábil antes del vencimiento del plazo formal para transmitir, iniciando con la transmisión a realizarse en el mes de enero de 2025 hasta la transmisión a realizarse en el mes de diciembre de 2025.Indicador:(Cantidad de informes reportados con un día de antelación al vencimiento legal / Total de reportes en el año)&amp;nbsp;Entregables:Se evaluará por cada mes con el cumplimiento del Calendario Financiero 2025.Ubicación:﻿P:\Objetivos\2025\Dirección de Contabilidad y Presupuesto\Luz Angela Velásquez Coy</t>
  </si>
  <si>
    <t>Realizar las planillas de cuentas contables de enero a diciembre el día 10 del mes siguiente al corte o el día hábil siguiente si este es fin de semana o festivo.Indicador:(Cantidad de planillas realizadas dentro del plazo establecido / Total de planillas en el año)&amp;nbsp;Entregables:Enviar correo al Subdirector o Director del departamento de contabilidad evidenciando el cumplimiento de la generación de las respectivas planillasUbicación:﻿P:\Objetivos\2025\Dirección de Contabilidad y Presupuesto\Luz Angela Velásquez Coy</t>
  </si>
  <si>
    <t>Vicepresidencia Comercial</t>
  </si>
  <si>
    <t>Vicepresidente Comercial</t>
  </si>
  <si>
    <t>Realizar propuestas para evaluar durante el año 2025 los esquemas de atención comercial, teniendo en cuenta la finalización de los contratos de Agencia Comercial en las 6 regionales .La presentación de los esquemas debe presentarse al Comité Directivo a mas tardar el 31 de octubre de 2025. Entregable: acta de Comité Directivo con la presentación del esquema para tomar la decisión. La evidencia se encuentra en la siguiente Ruta: P:\Objetivos\2025\Vicepresidencia Comercial\Luz Patricia Garzon Almanza</t>
  </si>
  <si>
    <t>1014261483</t>
  </si>
  <si>
    <t>Manuel Alejandro Lucero Ortega</t>
  </si>
  <si>
    <t>Profesional Senior de Estrategias Financieras</t>
  </si>
  <si>
    <t>Estrategia Siniestralidad</t>
  </si>
  <si>
    <t>Diseñar e implementar a 31 de diciembre del 2025, el 100% de las actividades de una estrategia que fortalezca los mecanismos para la mitigación del impacto en siniestralidad con las herramientas que dispone el FNG.Medición: El objetivo se cumple al 100 % con la ejecución de la totalidad de las actividades planteadas. Mínimo se debe cumplir con la ejecución del 80% de las actividades. Se medirá mediante tabla equitativa, en la cual alcanzar el 80% de las actividades representará un puntaje de 80 y así respectivamente. Menos del 80% de ejecución el puntaje será de 0Entregable: Cronograma en Excel con las actividades ejecutadas en el año, revisado y aprobado por el Director EIGE por medio de correo electrónico.</t>
  </si>
  <si>
    <t>Metodología de calidad consultoría financiera</t>
  </si>
  <si>
    <t>Aumentar la calidad de los informes de diagnóstico financiero y organizacional por medio del diseño de una metodología de verificación y validación en criterios de calidad a 31 de diciembre del 2025.Medición: Metodología aprobada. La calificación será del 100% si se entrega la metodología a satisfacción o del 0% si no se entrega.Entrega: Documento en PDF con la metodología, revisada y aprobada por el Director EIGE por medio de correo electrónico.</t>
  </si>
  <si>
    <t>Solución para la integración de la Generación de demanda</t>
  </si>
  <si>
    <t>Diseñar e implementar a 31 de diciembre del 2025, una solución que integre la generación de demanda con los servicios de consultoría de demente empresarial.Medición: La calificación se determinará de acuerdo con el cumplimiento de cada hito: Investigación 25%, Construcción 25%, Piloto 30% e Implementación 20%.Entregable: ﻿Investigación: Presentación en Power pointConstrucción: Documento PDFPiloto: Correos con resultados de pruebasImplementación: Correo de aprobación de la solución por el Director EIGE</t>
  </si>
  <si>
    <t>Metodología de evaluación - Emprendimiento de alto impacto</t>
  </si>
  <si>
    <t>A 31 de Diciembre diseñar la metodología de evaluación dirigido a los emprendedores que se postulen para el estudio del otorgamiento de la garantía de emprendedor a empresario.Medición: Metodología aprobada. La calificación será del 100% si se entrega la metodología a satisfacción o del 0% si no se entrega.Entregable: Documento en PDF con la metodología y sesiones realizadas, revisadas y aprobadas por el Director EIGE por medio de correo electrónico.﻿</t>
  </si>
  <si>
    <t>Prestación de Servicios de Consultoría</t>
  </si>
  <si>
    <t>Prestar servicios de consultoría financiera por medio de los servicios disponibles a 32 empresas con el fin de aportar conocimiento clave para su sostenibilidad y fortalecimiento como unidades productivas.Medición: Porcentaje de cumplimiento 100%(Número de empresas terminadas / Meta Número de empresas a gestionar)*100Entregable: Informes de diagnóstico financiero entregados por correo electrónico.</t>
  </si>
  <si>
    <t>1030564304</t>
  </si>
  <si>
    <t>Manuel Alejandro Ramirez Dueñas</t>
  </si>
  <si>
    <t>Profesional Administrador de Portales Bancarios</t>
  </si>
  <si>
    <t>Aprobación de Pagos</t>
  </si>
  <si>
    <t>Aprobar entre enero y diciembre de 2025, el 100% de la asignación de liquidaciones de pagos de garantías dentro del tiempo establecido (2 días hábiles). Indicador: 100% es igual a 100 puntos con una calificación proporcional entre 97% y 100%, donde 96,99% es 0 puntos. Evidencia: Base en Excel de las liquidaciones asignadas y aprobadas. Las evidencias se guardarán en la carpeta de público\objetivos\Dirección de Operaciones.&amp;nbsp;</t>
  </si>
  <si>
    <t>Novedades Anexo 16</t>
  </si>
  <si>
    <t>Entre junio y diciembre de 2025, responder en la mitad del tiempo establecido (hora y media) las novedades reportadas por los intermediarios financieros a través del portal transaccional (Anexo 16),&amp;nbsp;que le sean asignados, contando el tiempo desde la fecha de procesamiento de los archivos.INDICADOR: (# de Anexos 16 asignados con respuesta en mitad de tiempo / Total de archivos asignados )*100. El objetivo será medible a partir de un cumplimiento del 90%, según la siguiente tabla métrica:&amp;nbsp;Cumplimiento&amp;nbsp;&amp;nbsp;Calificación    &amp;lt;=89,9% 0   90% 9%   91% 18%   92% 27%   93% 36%   94% 45%   95% 54%   96% 63%   97% 72%   98% 81%   99% 90%   100% 100%  &amp;nbsp;EVIDENCIA:&amp;nbsp;Base en excel con los archivos procesados relacionando fecha y hora de procesamiento y&amp;nbsp;&amp;nbsp;Fecha y hora de cargue en la carpeta de salida. Las evidencias se guardarán en la carpeta de público\objetivos\Dirección de Operaciones.</t>
  </si>
  <si>
    <t>Seguimiento proyectos y documentos de confirmación de comisiones</t>
  </si>
  <si>
    <t>El viernes de cada semana, entre junio y diciembre de 2025, realizar el seguimiento de los proyectos y los documentos de confirmación de comisiones, que se encuentren vencidos a la fecha.&amp;nbsp;Medición: ((# de casos de seguimiento creados en CRM) / (# IF con proyectos vencidos al viernes de cada semana + # IF con documentos de confirmación de comisiones vencidos al viernes de cada semana))) * 100&amp;nbsp;&amp;nbsp;Entregable Relación de casos creados en CRM relacionando fecha de creación de cada caso. Las evidencias se guardarán en la carpeta de público\objetivos\Dirección de Operaciones.</t>
  </si>
  <si>
    <t>Curso inteligencia artificial generativa – BID y Análisis de datos</t>
  </si>
  <si>
    <t>Al 16 de junio del 2025 cursar y aprobar los cinco (5) módulos del curso de Inteligencia Artificial Generativa (IAGen): Fundamentos para la función pública de América Latina y el Caribe - Edición Colombia (BID). &amp;nbsp;A 31/12/2025 Cursar y Aprobar el curso de Analista de datos de la ruta de aprendizaje de Microsoft&amp;nbsp;Indicador:&amp;nbsp;Certificado curso IA1Gen – BID 50% Cumple &amp;nbsp;/ No cumple +Certificado curso Analista de datos MS 50% Cumple&amp;nbsp;/ No cumple&amp;nbsp;Evidencia: Certificados de aprobación en la ruta O:\Objetivos\2025\Direccion de Operaciones</t>
  </si>
  <si>
    <t>Director de Proyectos de Transformación Digital e Innovación</t>
  </si>
  <si>
    <t>1. Cumplimiento hoja de ruta PETI 2025</t>
  </si>
  <si>
    <t xml:space="preserve">3. Gestión de proyectos de la hoja de ruta PETI  </t>
  </si>
  <si>
    <t>5.  Actualización marco gestión de proyectos</t>
  </si>
  <si>
    <t>4. Aseguramiento de calidad de gestión de proyectos, de los proyectos de la hoja de ruta PETI</t>
  </si>
  <si>
    <t>2. Fortalecimiento de las capacidades de innovación en el FNG</t>
  </si>
  <si>
    <t>80067757</t>
  </si>
  <si>
    <t>Manuel Fernando Renteria Velasquez</t>
  </si>
  <si>
    <t>Subdirector Gestión Jurídica de Cartera</t>
  </si>
  <si>
    <t>A 31 de diciembre de 2025, realizar un estudio de factibilidad y viabilidad que concluya si es conveniente realizar el pago de las garantías reclamadas bajo el esquema tradicional de reclamación con recuperación de cartera de manera anticipada con una acreditación de los soportes jurídicos de pago (mandamiento de pago y/o auto de graduación y calificación de crédito) con posterioridad al pago de la garantía al intermediario financiero.&amp;nbsp;ENTREGABLES: Este objetivo tendrá los siguientes hitos y entregables: a)&amp;nbsp;&amp;nbsp;&amp;nbsp;&amp;nbsp;&amp;nbsp;A 31 de julio de 2025, presentar al Comité Directivo un esquema de pros y contras inicial del estudio de viabilidad. Se requiere entrevistas con las áreas de operaciones, financiera, riesgos y comercial. Peso: 20%b)&amp;nbsp;&amp;nbsp;&amp;nbsp;&amp;nbsp;A 31 de agosto 2025, presentar al Comité de Recuperación de Cartera el análisis del impacto operativo de realizar el pago de garantías anticipado obteniendo el mandamiento de pago posteriormente. Peso: 20%c)&amp;nbsp;&amp;nbsp;&amp;nbsp;&amp;nbsp;&amp;nbsp;A 30 de septiembre de 2025, presentar al Comité de Recuperación de Cartera el análisis de riesgos enfocado a la siniestralidad, con la propuesta del pago de garantías anticipado obteniendo el mandamiento de pago posteriormente (artículos a modificar en el reglamento de garantías). Peso: 20%d)&amp;nbsp;&amp;nbsp;&amp;nbsp;&amp;nbsp;A 31 de octubre 2025, presentar al Comité de Recuperación de Cartera las conclusiones del informe de factibilidad y viabilidad de la propuesta del pago de garantías anticipado obteniendo el mandamiento de pago posteriormente. Evidencia: informe de factibilidad y viabilidad. Peso: 20%e)&amp;nbsp;&amp;nbsp;&amp;nbsp;&amp;nbsp;&amp;nbsp;A 30 de noviembre de 2025, presentar al Comité Directivo las conclusiones del informe de factibilidad y viabilidad de la propuesta del pago de garantías anticipado. Peso 20%EVIDENCIAS DE CUMPLIMIENTO: Actas de los comités de recuperación de cartera y directivo con la presentación de los informes propuestos.EVALUACIÓN: &amp;nbsp;el porcentaje de cumplimiento del objetivo será la sumatoria del peso asignado a cada hito, que se cumpla al 100%.&amp;nbsp;</t>
  </si>
  <si>
    <t>Generar ingresos por concepto de recuperación y venta de cartera derivado del pago de garantías con recuperación de cartera por la suma de $88,642 millones, correspondiente al valor contemplado en el presupuesto de ingresos aprobado por Junta Directiva para el año 2025. (Este valor contempla ingresos derivados de la meta de recuperación de cartera asignada a los FRGs, reintegros y reactivaciones, recuperación por anexo 13 (IF), ingresos por ventas de cartera y compartición del precio de la enajenación de la cartera de los IF.) ENTREGABLE: Correo enviado por la Directora/Subdirectora de Cartera los primeros días del año 2026, informando los resultados definitivos de la recuperación de cartera durante la vigencia 2025. EVIDENCIA DE CUMPLIMIENTO: Correo electrónico remito por la Directora/Subdirectora de Cartera los primeros días del año 2026, informando los resultados definitivos de la recuperación de cartera durante la vigencia 2025. EVALUACIÓN: Se obtendrá calificación a partir del cumplimiento del 90% ($79,778 millones) de la meta: donde el 89,9% da 0% y proporcional entre el 90% y 100%.</t>
  </si>
  <si>
    <t>Gestión CRM</t>
  </si>
  <si>
    <t>Durante la vigencia 2025 cumplir en los plazos establecidos como mínimo en un 98%, las solicitudes de asesoría jurídica radicadas mediante CRM de acuerdo con el ANS de conceptos jurídicos y PQRS (valor mínimo para obtener puntaje 90%) Medición: No. De PQRS realizadas a tiempo / No. De PQRS solicitadas * 100 Entregable: Informe de las solicitudes radicadas mediante la herramienta de CRM y un archivo en excel que contenga la relación de solicitudes remitidas por correo electrónico a 31 de diciembre de 2025. Los soportes se resguardarán en la siguiente ruta: P:\Objetivos\2025\Manuel Rentería.</t>
  </si>
  <si>
    <t>DESCRIPCIÓN DEL OBJETIVO: A 31 de diciembre de 2025, realizar un diagnóstico general de la gestión de cobranza de los 4 operadores de recuperación de cartera (FRG), con el fin de definir un plan de trabajo para consolidar una propuesta de un modelo de cobranza que tenga como propósito mejorar la experiencia y satisfacción de los deudores de la cartera especial en este proceso. ENTREGABLE: Este objetivo tendrá los siguientes hitos y entregables: a)&amp;nbsp;&amp;nbsp;&amp;nbsp;&amp;nbsp;&amp;nbsp;A 31 de Julio 2025, presentar al Comité de Recuperación de Cartera, el objetivo del proyecto y cronograma de actividades del plan de trabajo. Evidencia: Informe y cronograma. Peso: 20%b)&amp;nbsp;&amp;nbsp;&amp;nbsp;&amp;nbsp;A 31 de Agosto 2025, presentar un informe al Comité de Recuperación de Cartera sobre el primer avance del diagnóstico preliminar del modelo de cobranza actual de los FRG. Este informe debe contener como mínimo: Organigrama del equipo de trabajo de cada FRG, experiencia de los gestores, infraestructura y protocolos de cobranza actuales y estudio inicial de habilidades blandas de los gestores. Evidencia: Informe. Peso: 20%c)&amp;nbsp;&amp;nbsp;&amp;nbsp;&amp;nbsp;&amp;nbsp;A 30 de septiembre presentar un informe de avance del desarrollo del objetivo al Comité Directivo. Peso: 10%d)&amp;nbsp;&amp;nbsp;&amp;nbsp;&amp;nbsp;A 31 de octubre 2025, presentar un informe al Comité de Recuperación de Cartera que contenga una propuesta de la estandarización de los protocolos de atención en la cobranza determinados por el FNG. Evidencia: Informe. Peso: 20%e)&amp;nbsp;&amp;nbsp;&amp;nbsp;&amp;nbsp;&amp;nbsp;A 30 de noviembre presentar un informe de avance del desarrollo del objetivo al Comité Directivo. Peso: 10%f)&amp;nbsp;&amp;nbsp; A 31 de diciembre 2025, socializar con los FRG los protocolos de cobranza estandarizados a través de capacitaciones a los gestores.&amp;nbsp;Evidencia: Actas de reunión. Peso: 20%EVIDENCIAS DE CUMPLIMIENTO: Actas de los comités de recuperación de cartera y directivo con la presentación de los informes propuestos, así como actas de reunión de la socialización de capacitaciones.EVALUACIÓN:&amp;nbsp;el porcentaje de cumplimiento del objetivo será la sumatoria del peso asignado a cada hito, que se cumpla al 100%.&amp;nbsp;</t>
  </si>
  <si>
    <t>A 31 de diciembre de 2025, la Dirección implementará un tablero ejecutivo integral que permita el monitoreo en tiempo real del desempeño de la gestión de recuperación de cartera, incluyendo seguimiento a metas de recuperación, evaluación de la efectividad de los operadores de cobranza, y/o otros indicadores que se relacionen con el proceso.ENTREGABLES: Este objetivo tendrá los siguientes hitos y entregables:a)&amp;nbsp;&amp;nbsp;&amp;nbsp;&amp;nbsp;&amp;nbsp;A 31 de agosto 2025, presentar al Comité de Recuperación de Cartera el diseño conceptual y arquitectura técnica del tablero ejecutivo, incluyendo definición de indicadores, fuentes de datos y maquetas de las pantallas principales. Evidencia: Acta de Comité. Peso: 20%b)&amp;nbsp;&amp;nbsp;&amp;nbsp;&amp;nbsp;A 30 de septiembre 2025, presentar al Comité de Recuperación de Cartera la versión beta del tablero con los requerimientos solicitados a ese corte. Evidencia: Acta de Comité con la Demostración funcional del tablero. Peso: 25%c)&amp;nbsp;&amp;nbsp;&amp;nbsp;&amp;nbsp;&amp;nbsp;A 31 de octubre 2025, realizar socialización del tablero en versión beta con los equipos de los fondos de garantías (FRG), para recopilar observaciones y sugerencias de mejora al mismo. Evidencia: Actas de reunión de socialización. Peso: 20%d)&amp;nbsp;&amp;nbsp;&amp;nbsp;&amp;nbsp;A 30 de noviembre 2025. Radicar dos funcionalidades adicionales para el seguimiento de indicadores de cartera, incluyendo las mejoras al tablero inicial con la carga de las historias de usuario respectivas. Evidencia: Documento de historias de usuario y número del ticket del caso en Aranda creado.&amp;nbsp;Peso: 20%e)&amp;nbsp;&amp;nbsp;&amp;nbsp;&amp;nbsp;&amp;nbsp;A 31 de diciembre 2025, presentar el tablero ejecutivo definitivo y con acceso completo a los miembros del Comité de Recuperación de Cartera. Evidencia: Acta de Comité. Peso: 15%EVIDENCIAS DE CUMPLIMIENTO: Actas de los comités de recuperación de cartera con la presentación de los informes y demostraciones propuestas, actas de socialización, documentación técnica y acta final de entrega del sistema.EVALUACIÓN: El porcentaje de cumplimiento del objetivo será la sumatoria del peso asignado a cada hito, que se cumpla al 100%.</t>
  </si>
  <si>
    <t>1015422322</t>
  </si>
  <si>
    <t>Manuel Leonardo Basto Rodríguez</t>
  </si>
  <si>
    <t>Realizador Audiovisual</t>
  </si>
  <si>
    <t>En la vigencia 2025 diseñar y ejecutar la realización de un seriado de mínimo 3 capítulos en el que se expliquen nuevos productos, programas especiales y servicios no financieros del FNG*Indicador o Formula con la que se va a Realizar la Medición.Actividades ejecutadasJulio (50%): plantear la idea, el concepto creativo y canales de emisión del seriadoOctubre (50%): publicación de tres capítulos de acuerdo con el plan de divulgación aprobado*Entregables Julio: presentación con la idea de seriado aprobadaOctubre: correo enviado al jefe directo con el informe de publicación de los tres capítulos</t>
  </si>
  <si>
    <t>Para el Q2, definir, implementar y ejecutar el plan de comunicaciones estratégicas que contribuyan a reforzar el posicionamiento del FNG, el cual debe incluir:- Plan de relacionamiento con medios- Plan de pauta en medios* Indicador o Fórmula con la que se va a Realizar la Medición.Q2 (50%): plan de comunicaciones estratégicas que incluya plan de relacionamiento con medios y  plan de pauta en mediosQ4 (50%): informe de la implementación del plan*EntregablesQ2: presentar al VP ejecutivo, en reunión de avances del área, el plan de comunicaciones estratégicasQ4: enviar un informe al VP ejecutivo con las evidencias de la implementación del plan</t>
  </si>
  <si>
    <t>Rediseñar la interfaz de la Intranet a 31 de julio de 2025 *Indicador o Formula con la que se va a Realizar la Medición.% de avance de las actividadesQ2 (50%) Presentar, en reunión de avances del área, el prototipo de rediseño de la Intranet al vicepresidente ejecutivo para su aprobación Q3 (50%) Realizar la divulgación de la nueva interfaz de la Intranet en los canales internos*Entregables Q2: Correo del vicepresidente ejecutivo dando su aprobación al rediseño de la Intranet.Q3: Informe que incluya: - Evidencias del rediseño de la Intranet - Evidencias de divulgación del rediseño de la Intranet en canales internos</t>
  </si>
  <si>
    <t xml:space="preserve">Fotos empresarios </t>
  </si>
  <si>
    <t>A 31 de diciembre de 2025, actualizar la galería gráfica con mínimo 30 empresarios nuevos, que funcionen para piezas y elementos graficos*Indicador o Formula con la que se va a Realizar la Medición.Actividades ejecutadasQ4: la actualización de la galería con 30 empresarios nuevos corresponderá al 100% del cumplimiento, con 29 al 99% del cumplimiento, 28 al 98%, 27 al 97%, 26 al 96% y 25 al 0%.*Entregables Q4: repositorio en One Drive con las fotos enviado al jefe directo</t>
  </si>
  <si>
    <t>Para el 2025, lograr una calificación de 9,45 en la encuesta de satisfacción de cliente interno, manteniendo el resultado obtenido en 2024*Indicador o Fórmula con la que se va a Realizar la Medición.Calificación del áreaQ4 (100%) Obtener una medición de 9,45 en la encuesta de satisfacción del cliente interno equivale al 100% de la calificación, 9,40 equivaldrá al 90%, 9,30 al 80% y 9,20 al 0%*Entregables Q4: resultado de la encuesta</t>
  </si>
  <si>
    <t>Capacitaciones audiovisuales</t>
  </si>
  <si>
    <t>A 31 de diciembre liderar al menos 2 talleres en los que se compartan herramientas de prácticas audiovisuales que faciliten la labor de los equipos comerciales en los territorios, con el fin de fortalecer la imagen del FNG*Indicador o Fórmula con la que se va a Realizar la Medición.Atividades ejecutadasQ2:(50%) presentación de asesoria o taller audiovisual explicando el alcance de la fotografía en los diferentes equipos comerciales tales como territoriales y educación financiera Q4: (50%) presentación de asesoría o taller audiovisual explicando el alcance de la fotografía en los diferentes equipos comerciales tales como territoriales y educación financiera *Entregables Q2: informe con los alcances logrados (asistencia y actividades ejecutadas) en el tallerQ4: informe con los alcances logrados (asistencia y actividades ejecutadas) en el taller</t>
  </si>
  <si>
    <t>Testimoniales</t>
  </si>
  <si>
    <t>A 31 de diciembre, realizar mínimo 30 testimoniales para las diferentes plataformas *Indicador o Formula con la que se va a Realizar la Medición.Actividades Q2: (33%) grabación de 6 testimonialesQ3: (33%) grabación de 12 testimonialesQ4: (33%) grabación de 10 testimoniales*Entregables Q2: repositorio en OneDrive con los testimoiniales enviado al jefe directoQ3: repositorio en OneDrive con los testimoiniales enviado al jefe directoQ4: repositorio en OneDrive con los testimoiniales enviado al jefe directo</t>
  </si>
  <si>
    <t>1020796608</t>
  </si>
  <si>
    <t>Maria Alejandra Buitrago Jimenez</t>
  </si>
  <si>
    <t>Profesional de Seguimiento y Control de Datos</t>
  </si>
  <si>
    <t>Al 31 de diciembre de 2025, ejecutar el cierre del proceso de Aseguramiento de Calidad correspondiente a las 141 garantías asignadas para revisión, conforme al cronograma de trabajo definido para el segundo semestre de 2025. El nivel de cumplimiento se evaluará con base en el porcentaje de cierre efectivo de dichas garantías, de acuerdo con la siguiente escala proporcional:&amp;nbsp;=&amp;gt; 95% de cierre: cumplimiento del 100%= 80 y &amp;lt; 95%: será proporcional al cumplimiento alcanzado&amp;lt; 80: el cumplimiento será 0%&amp;nbsp;Medición&amp;nbsp;Número total garantías cerradas*/Número total de garantías a cerrar* en el período. &amp;nbsp;*Garantías en estado: conforme, no conforme u otro&amp;nbsp;Evidencia&amp;nbsp;La gestión de las garantías será registrada en los Formularios de revisión de garantías y la evidencia serán los informes de gestión emitidos por la Subdirección del área y que se encuentran en la siguiente ruta: P:\Vice_Comercial\Dir_Aseguramiento_Calidad\DI_Informes\Informes_Gestion\2025&amp;nbsp;Los entregables se encontrarán en la siguiente ruta: P:\Objetivos\2025\Dirección de Vinculación, Aseguramiento y Calidad\Maria Alejandra Buitrago Jimenez&amp;nbsp;Frecuencia del monitoreo: Julio 1 a diciembre 31 de 2025</t>
  </si>
  <si>
    <t>Redefinir, antes del 31 de diciembre de 2025, el proceso de aseguramiento de calidad del FNG, partiendo de un diagnóstico estructurado del proceso actual (AS-IS) y finalizando con el diseño de la versión futura (TO-BE), orientada a su automatización.&amp;nbsp;Medición: El objetivo se cumple al 100% con la ejecución de todas las actividades, el resultado final corresponderá a la suma de los porcentajes de cumplimiento de cada actividad ejecutada y debidamente soportada, las cuales corresponden a las siguientes:Entregable 1 (35%) – Al 31 de julio de 2025, presentar a la Vicepresidencia Comercial el diagnóstico del proceso actual (AS-IS) para su validación, el cual incluya:Flujograma actual del proceso, tiempo de ciclo, identificación de actividades con y sin valor agregado, causas-raíz de la problemática y sondeo con los intermediarios financieros sobre la viabilidad de consultar las garantías objeto de aseguramiento en el portal transaccional.Entregable acta de la sesión con conclusiones, recomendaciones o sugerencias.Entregable 2 (35%) – Al 30 de septiembre de 2025, con el resultado del diagnóstico desarrollar el prototipo del rediseño del proceso de aseguramiento de calidad (TO-BE) y presentar a la Vicepresidencia Comercial para su validación, el cual incluya:Flujograma del proceso rediseñado, identificación de posibles integraciones requeridas, batería de indicadores, riesgos asociados, propuesta de cronograma y fases de implementación sugeridas del proyecto de automatización para 2026 (sí aplica).Presentación del Business&amp;nbsp;Case (sí aplica). Identificación y solicitud de necesidades de presupuesto y contratación (sí aplica).Entregable acta de la sesión con conclusiones, recomendaciones o sugerencias.Entregable 3 (30%) – Al 30 de noviembre de 2025, presentar en una mesa de trabajo con la Dirección de Planeación, el alcance de Historia de Usuario – HU que contenga el prototipo de rediseño del proceso de aseguramiento de calidad, denominado “Asegura+” (si se considera viable en el resultado del entregable 2), para que se realice la evaluación y se determine la viabilidad de automatizar el proceso de aseguramiento en 2026. Entregable: acta de la sesión con conclusiones, recomendaciones o sugerencias junto con correo electrónico remitido al área solicitando su concepto de viabilidad.Los entregables se encontrarán en la siguiente ruta: P:\Objetivos\2025\Dirección de Vinculación, Aseguramiento y Calidad\Maria Alejandra Buitrago Jimenez&amp;nbsp;Frecuencia del monitoreo: Enero a diciembre de 2025</t>
  </si>
  <si>
    <t xml:space="preserve">Ejecutar el entregable 4 del objetivo de área - Rediseñar la metodología de muestreo periódico del proceso de aseguramiento </t>
  </si>
  <si>
    <t>Al 19 de diciembre de 2025, enviar el insumo a la Dirección de Modelos Técnicos de los siguientes documentos relacionados con el proceso del modelo de aseguramiento de calidad FNG:MA-GRI-005 Manual Unificado del Sistema de Administración del Riesgo de Garantías, numeral 11. Derechos de inspecciónFrecuencia del monitoreo: Julio a diciembre 19 de 2025Medición: Cumple 100% – No cumple 0%Entregable: La evidencia será el correo electrónico donde conste la fecha de entrega del insumo, la cual debe ser anterior o igual al 19 de diciembre de 2025.Los entregables se encontrarán en la siguiente ruta: P:\Objetivos\2025\Dirección de Vinculación, Aseguramiento y Calidad\Maria Alejandra Buitrago Jimenez</t>
  </si>
  <si>
    <t>Rediseñar, antes del 31 de diciembre de 2025, la metodología del modelo de certificación de calidad del FNG, iniciando con la identificación de brechas y oportunidades de mejora en la metodología actual y finalizando con la implementación de una nueva metodología aprobada, documentada y socializada con las áreas involucradas.&amp;nbsp;Medición: El objetivo se cumple al 100% con la ejecución de todas las actividades, el resultado final corresponderá a la suma de los porcentajes de cumplimiento de cada actividad ejecutada y debidamente soportada, las cuales corresponden a las siguientes:&amp;nbsp;Entregable 1 (25%): Al 30 de junio de 2025, presentar el prototipo desarrollado (PPT) que consolide los resultados de las mesas de trabajo realizadas con las áreas involucradas. La evidencia será la presentación en PPT y la sesión grabada en teams.&amp;nbsp;Entregable 2 (25%): Al 31 de julio de 2025, presentar por la parte de la Dirección de Vinculación, Aseguramiento y Calidad la versión final de rediseño del modelo de certificación a Comité Evaluador para su correspondiente aprobación, evidencia acta de la sesión.&amp;nbsp;Entregable 3 (30%): Al 30 de agosto de 2025, presentar por la Dirección de Vinculación, Aseguramiento y Calidad o Vicepresidencia Comercial la versión final de rediseño del modelo de certificación a la instancia que corresponda (Comité de Garantías o Comité de Integrado de Riesgos (Comité SIAR de Garantías o Junta Directiva) para su correspondiente decisión, evidencia acta de la sesión.&amp;nbsp;Entregable 4 (Peso 20%): Al 19 de diciembre de 2025, actualizar en ISOLUCION la documentación los siguientes documentos relacionados con el procesoMA-AGA-010 Manual de políticas proceso de certificación de calidadIN-AGA-113 Instructivo evaluación calificación certificación intermediariosFR-AGA-069 Evaluación y calificación del intermediario objeto de certificación&amp;nbsp;Los entregables se encontrarán en la siguiente ruta: P:\Objetivos\2025\Dirección de Vinculación, Aseguramiento y Calidad\Maria Alejandra Buitrago Jimenez&amp;nbsp;Frecuencia del monitoreo: Enero a diciembre de 2025</t>
  </si>
  <si>
    <t>Al 31 de diciembre de 2025, mejorar la calidad de los entregables a clientes internos y externos. Mediante la medición del producto no conforme el cual se define como un error, imprecisión u omisión en una comunicación entregada (correo, presentación, informes, actas y contratos), en el cual se ha identificado el incumplimiento de un requisito de calidad por parte de la Subdirección, Dirección del equipo, un comité interno o un cliente externo. Este objetivo mide fondo, no forma.Medición: El objetivo mensual se considera cumplido al 100% si no se identifica ningún producto no conforme. La calificación final corresponderá al promedio de las calificaciones mensuales obtenidas.No. eventos mes&amp;nbsp;&amp;nbsp;&amp;nbsp;&amp;nbsp;&amp;nbsp;&amp;nbsp;&amp;nbsp;Calificación0&amp;nbsp;&amp;nbsp;&amp;nbsp;&amp;nbsp;&amp;nbsp;&amp;nbsp;&amp;nbsp;&amp;nbsp;&amp;nbsp;&amp;nbsp;&amp;nbsp;&amp;nbsp;&amp;nbsp;&amp;nbsp;&amp;nbsp;&amp;nbsp;&amp;nbsp;&amp;nbsp;&amp;nbsp;&amp;nbsp;&amp;nbsp;&amp;nbsp;&amp;nbsp;&amp;nbsp;100%1&amp;nbsp;&amp;nbsp;&amp;nbsp;&amp;nbsp;&amp;nbsp;&amp;nbsp;&amp;nbsp;&amp;nbsp;&amp;nbsp;&amp;nbsp;&amp;nbsp;&amp;nbsp;&amp;nbsp;&amp;nbsp;&amp;nbsp;&amp;nbsp;&amp;nbsp;&amp;nbsp;&amp;nbsp;&amp;nbsp;&amp;nbsp;&amp;nbsp;&amp;nbsp;&amp;nbsp;&amp;nbsp;95%2&amp;nbsp;&amp;nbsp;&amp;nbsp;&amp;nbsp;&amp;nbsp;&amp;nbsp;&amp;nbsp;&amp;nbsp;&amp;nbsp;&amp;nbsp;&amp;nbsp;&amp;nbsp;&amp;nbsp;&amp;nbsp;&amp;nbsp;&amp;nbsp;&amp;nbsp;&amp;nbsp;&amp;nbsp;&amp;nbsp;&amp;nbsp;&amp;nbsp;&amp;nbsp;&amp;nbsp;90%3 o más&amp;nbsp;&amp;nbsp;&amp;nbsp;&amp;nbsp;&amp;nbsp;&amp;nbsp;&amp;nbsp;&amp;nbsp;&amp;nbsp;&amp;nbsp;&amp;nbsp;0%&amp;nbsp;Frecuencia del monitoreo: Julio 1 a diciembre 31 de 2025</t>
  </si>
  <si>
    <t>1000708896</t>
  </si>
  <si>
    <t>Maria Alejandra Perez Rojas</t>
  </si>
  <si>
    <t>Profesional  de Experiencia y Cultura de Servicio</t>
  </si>
  <si>
    <t>Cultura de Servicio</t>
  </si>
  <si>
    <t>A 31 de diciembre de 2025 diseñar y ejecutar 10 actividades y campañas que permitan reforzar la cultura de servicio con los funcionarios del FNG y/o FRG´s, teniendo en cuenta lo siguiente:&amp;nbsp;Campañas: 1. Buenas prácticas en el ambiente laboral, 2. Relanzamiento estrellas del servicio, 3. Dinámica de relacionamiento mediante tarjetas de Pepe servicio.&amp;nbsp;Actividades:&amp;nbsp;4. El Desafío FNG, 5. Embajadores del servicio, 6. Refuerzo a los comportamientos de servicio, 7. Habilidades blandas, 8. lenguaje Claro, 9. Mi Comercial ideal, 10.Focus Group y otras que se requieran y soliciten hasta el 30 de noviembre del 2025 por parte de la Subdirectora de Experiencia de Negocio.&amp;nbsp;Entregable: Informe enviado a la Subdirectora de Experiencia de Negocio a través de correo electrónico sobre la ejecución de las actividades y campañas realizadas de cultura de servicio, máximo el 15 de diciembre de 2025 con su respectivo visto bueno.El objetivo se cumple al 100 % con la ejecución de la totalidad de las actividades y campañas planteadas. Mínimo se debe cumplir con la ejecución del 70% de las actividades. Se medirá mediante tabla equitativa, en la cual alcanzar el 70% de las actividades representará un puntaje de 70 y así respectivamente. Menos del 70% de ejecución el puntaje será de 0.&amp;nbsp;Formula: Total de actividades y campañas ejecutadas / Total de actividades planteadas *100.Los entregables se encontrarán en la siguiente ruta: P:\Objetivos\2025\Dirección de Experiencia\Maria Alejandra Perez Rojas</t>
  </si>
  <si>
    <t>Noticomercial</t>
  </si>
  <si>
    <t>Al 31 de diciembre del 2025 socializar a la Vicepresidencia Comercial 7 Boletines Noticomercial como un medio para fortalecer el relacionamiento interno.Actividad: Recibir, registrar, diseñar y redactar los logros, noticias y eventos destacables mensuales de cada una de las direcciones de la Vicepresidencia ComercialEntregable: Asegurar el envío del Boletín Noticomercial a través de correo electrónico a toda la Vicepresidencia Comercial máximo el día 13 de cada mes o en caso de ser festivo el día hábil siguiente.El objetivo se cumple al 100 % con el envío de los 7 Noticomerciales. Mínimo se debe cumplir con el envío del 85% de los boletines. Se medirá mediante tabla equitativa, en la cual cumplir con el 85% de la socialización de los Noticomerciales representará un puntaje de 85 y así respectivamente. Menos del 85% de los envíos, el puntaje será de 0. Formula: Total de Noticomerciales enviados en tiempo&amp;nbsp;/ 7 Noticomerciales *100.Los entregables se encontrarán en la siguiente ruta: P:\Objetivos\2025\Dirección de Experiencia\Maria Alejandra Perez Rojas</t>
  </si>
  <si>
    <t xml:space="preserve">Acción comunicativa: Pepe te informa </t>
  </si>
  <si>
    <t>Al 31 de diciembre de 2025 proponer y socializar a los funcionarios del FNG, contenido basado en experiencia del cliente a través del boletín "Pepe te informa", que contribuyan a reforzar los conocimientos de cultura de servicio y generación de Experiencias memorables al interior del FNG.Actividad: Socializar contenido enfocado en Experiencia del Cliente con los siguientes temas: Vitaminas del Poder (35%), Lenguaje Claro (30%) y Tips a tener en cuenta del Modelo de Experiencia al Cliente (MEC) (35%).Entregable: Envío de presentación a través de correo electrónico dirigido a la Subdirectora de Experiencia de Negocio con la evidencia de los 3 temas socializados a través del boletín, máximo hasta el 15 de diciembre del 2025 con su respectivo visto bueno.&amp;nbsp;Medición: El objetivo se cumple al 100 % con la socialización de los 3 temas en el Boletín Pepe te informa. El resultado final será el equivalente a las actividades realizadas.Formula: Total de temas socializados / Total de temas planteados *100.Los entregables se encontrarán en la siguiente ruta: P:\Objetivos\2025\Dirección de Experiencia\Maria Alejandra Perez Rojas</t>
  </si>
  <si>
    <t>Lograr al 31 de diciembre de 2025 la acreditación en experiencia del cliente para el Fondo Nacional de Garantías. El objetivo se cumple al 100% con la ejecución de todas las actividades, el resultado final corresponderá a la suma de los porcentajes de cumplimiento de cada actividad ejecutada y debidamente soportada, las cuales corresponden a las siguientes:Actividad 1: Formular plan de preparación para la acreditación aprobado por la vicepresidente comercial, que contemple actividades como la comunicación y sensibilización de las áreas claves del FNG involucradas en este proceso. (Peso: 15%)Entregable: Acta firmada por la vicepresidente comercial con el plan de preparación.Actividad 2: Proceso de contratación para formalizar el acuerdo con la entidad prestadora del servicio y garantizar las condiciones administrativas y operativas necesarias para la ejecución del proyecto. (Peso: 10%).Entregable: Minuta contrato firmada por las partes.Actividad 3: Asegurar que todas las partes involucradas comprendan la importancia del assessment CX y participen activamente en el proceso (Peso: 15%):&amp;nbsp;•	Proveer información clave a proveedor, convocar a los líderes claves a un espacio de sensibilización y socializar la aplicación del assessment.&amp;nbsp;Entregable: Informe de actividades realizadas, enviado por correo electrónico a la VP Comercial y a la dirección de experiencia.Actividad 4: Apoyo en la Evaluación de Madurez en CX (assessment CX) (Peso: 10%):•	Facilitar la recolección de información necesaria para el diagnóstico de madurez en CX.•	Monitorear el avance de la recopilación de datos y garantizar una alta tasa de respuesta en las encuestas.•	Facilitar el acceso a las personas a entrevistar para el análisis cualitativo.Entregable: Informe de actividades realizadas, enviado por correo electrónico a la Vicepresidente Comercial y a la directora de experiencia.Actividad 5: Asegurar que el análisis refleje fielmente la situación del FNG y proporcionar retroalimentación para su ajuste (Peso: 15%):&amp;nbsp;•	Revisar el informe de hallazgos principales.•	Validar las observaciones sobre el diagnóstico.&amp;nbsp;Entregable: Correo de aceptación de la vicepresidente comercial con las observaciones al proveedor.Actividad 6:&amp;nbsp;Recibir el informe con el resultado de la acreditación y asegurar la entrega de los resultados por parte del proveedor y que el Roadmap propuesto sea viable y alineado con los objetivos estratégicos del FNG:•	Priorizar las acciones clave del Roadmap y asignar responsables internos para su ejecución. (Peso: 10%)Entregable: Informe con el resultado de la acreditación y presentación con la propuesta de priorización de las actividades y asignación de responsables, aprobada a satisfacción por correo electrónico a la VP Comercial y a la dirección de experiencia.Actividad 7: Convocar y garantizar la participación de las áreas claves en el taller de Co-creación. (Peso: 10%)Entregable: Informe del taller realizado, enviado por correo electrónico a la VP Comercial.Actividad 8: Establecer plan de trabajo post-acreditación el cual incluya los compromisos adquiridos que permita que la acreditación tenga un impacto tangible en el FNG. (Peso: 15%)Entregable: Plan de trabajo final aprobado por la VP Comercial mediante acta.Los entregables se encuentran en la siguiente ruta: P:\Objetivos\2025\Dirección de Experiencia\Maria Alejandra Perez Rojas</t>
  </si>
  <si>
    <t>Estrellas del Servicio</t>
  </si>
  <si>
    <t>Al 31 de diciembre de 2025 plantear y ejecutar acciones de reconocimientos mensuales a los funcionarios del FNG por su servicio extraordinario destacando sus actitudes y el reflejo de los comportamientos del servicio.Actividad 1: Agendamiento del Comité con los miembros, explicación y socialización de las postulaciones. 25%Entregable 1:Capturas de pantalla de las citaciones a los comités y de las sesiones a partir del mes de junio.Actividad 2: Realización del acta. 25%Entregable 2: Envío de 8 actas mensuales contadas a partir del mes de mayo, las cuales serán enviadas a través de correo electrónico a los miembros del comité y a la subdirectora de Experiencia de NegocioActividad 3: Socialización de los ganadores y entrega de estrellas. 25%Entregable 3: Evidencia a través de capturas de pantalla de la socialización de los ganadores de Estrellas de Servicio por medio de los canales internos del FNG y fotografías de las estrellas entregadas.Actividad 4: Entrega de premios. 25%Entregable 4: Evidencia a través de fotografías de la entrega de premios a los ganadores de estrellas de servicio del año 2025.Entregable final: Informe enviado a través de correo electrónico a la Subdirectora de Experiencia de Negocio con la metodología y actividades realizadas para el reconocimiento de estrellas de servicioEl objetivo se cumple al 100 % con la ejecución de la totalidad de las actividades planteadas. Mínimo se debe cumplir con la ejecución del 75% de las actividades. Se medirá mediante tabla equitativa, en la cual alcanzar el 75% de las actividades representará un puntaje de 75 y así respectivamente. Menos del 75% de ejecución el puntaje será de 0.&amp;nbsp;Formula: Total de actividades ejecutadas / Total de actividades planteadas *100.Los entregables se encontrarán en la siguiente ruta: P:\Objetivos\2025\Dirección de Experiencia\Maria Alejandra Perez Rojas</t>
  </si>
  <si>
    <t>Subdirector de Oficina de Control Interno</t>
  </si>
  <si>
    <t>79554242</t>
  </si>
  <si>
    <t>Alex Hernando Lopez Lopez</t>
  </si>
  <si>
    <t>1.	Cumplimiento Cronograma Plan Anual de Auditoría 2025</t>
  </si>
  <si>
    <t>Al 31 de diciembre de 2025, ejecutar el 100% de las actividades programadas en el Cronograma del Plan Anual de Auditoría para la vigencia 2025. Indicador: Cumple o no cumple. Entregable: ·&amp;nbsp;Soporte de la medición del indicador "Cumplimiento del plan integral de auditorías" del cuarto trimestre de 2025 publicado en ISOlución.·&amp;nbsp;Reporte del estado y porcentaje de ejecución del Plan anual de Auditoría 2025 en el Comité de Auditoría de Febrero de 2026. El soporte será la presentación y el acta del Comité supeditada a la firma del presidente del Comité.</t>
  </si>
  <si>
    <t>1.	Propuesta de Técnicas de Auditoría Forense</t>
  </si>
  <si>
    <t>Presentar en el mes de noviembre de 2025 una propuesta sobre la aplicación de técnicas de auditoría forense que puedan ser incorporada progresivamente en los procedimientos de Auditoría Interna de la OCI, realizando un diagnóstico general de las técnicas utilizadas y considerando los lineamientos del DAFP.Indicador: Cumple o no cumple.&amp;nbsp;Entregable: Presentación en el Comité Primario OCI de noviembre, la propuesta sobre la aplicación de técnicas de auditoría forense que puedan ser incorporada progresivamente en los procedimientos de Auditoría Interna.</t>
  </si>
  <si>
    <t xml:space="preserve">2.	Encuentros Un Café con la OCI </t>
  </si>
  <si>
    <t>A partir de junio de 2025, la Oficina de Control Interno iniciará una serie de encuentros con las diferentes direcciones, mediante la estrategia denominada “Un café con la OCI”. Estos espacios están pensados como momentos de diálogo y acercamiento, en los que se abordarán temas relacionados con los controles administrativos y se promoverá una cultura de control y enfoque hacia la prevención.Indicador: Cumple o no cumple. Entregable: Se presentará un resumen ejecutivo de las presentaciones realizadas por la Oficina de Control Interno (OCI) en las sesiones del Comité Primario durante junio a diciembre de 2025, con base en las fechas en que se llevaron a cabo dichas intervenciones (actas).Listado de asistentes en formato Excel, material utilizado y/o capturas de pantalla de las citaciones realizadas a través de Microsoft Teams, correspondientes a las sesiones desarrolladas y presentadas ante el Comité Primario en enero de 2026.</t>
  </si>
  <si>
    <t>1070950195</t>
  </si>
  <si>
    <t>Maria Angelica Rojas Moya</t>
  </si>
  <si>
    <t>Realizar mensualmente la conciliación contable vs presupuesto y el informe de ejecución presupuestal, el día de la transmisión del respectivo corte a la SFC, desde el corte del mes de mayo hasta el corte del mes de noviembre de 2025.IndicadorCantidad de informes remitidos dentro de las fechas establecidas / Total de informes del añoEntregablesCorreos remitidos al Vicepresidente Financiero con indicación de la ruta de los informes.Evidencia P:\Objetivos\2025\Dirección de Contabilidad y Presupuesto\María Angélica Rojas Moya</t>
  </si>
  <si>
    <t xml:space="preserve">Envío de información a Grupo Bicentenario </t>
  </si>
  <si>
    <t>Realizar el envío de la información con destino a Grupo Bicentenario un día antes de las fechas establecidas en la "Circular 01_Cierres Trimestrales 2025", esto para los trimestres 2 y 3 del año 2025.Indicador: • Informe con corte a junio 2025.&amp;nbsp;&amp;nbsp;&amp;nbsp;&amp;nbsp;&amp;nbsp;&amp;nbsp;&amp;nbsp;&amp;nbsp;&amp;nbsp;&amp;nbsp;&amp;nbsp;&amp;nbsp;&amp;nbsp;&amp;nbsp;&amp;nbsp;&amp;nbsp;&amp;nbsp;&amp;nbsp;&amp;nbsp;&amp;nbsp;&amp;nbsp;50% • Informe con corte a septiembre 2025.&amp;nbsp;&amp;nbsp;&amp;nbsp;&amp;nbsp;&amp;nbsp;&amp;nbsp;&amp;nbsp;&amp;nbsp;&amp;nbsp;&amp;nbsp;&amp;nbsp;50%&amp;nbsp; Entregables:Correos electrónicos remitidos a la administración de Grupo Bicentenario con la información solicitada.Evidencia:﻿ P:\Objetivos\2025\Dirección de Contabilidad y Presupuesto\María Angélica Rojas Moya &amp;nbsp;</t>
  </si>
  <si>
    <t>Realizar el cierre y la transmisión del PUC financiero mensual a la SFC un día hábil antes del vencimiento del plazo formal para transmitir, iniciando con la transmisión a realizarse en el mes de enero de 2025 hasta la transmisión a realizarse en el mes de diciembre de 2025.Indicador:(Cantidad de informes reportados con un día de antelación al vencimiento legal / Total de reportes en el año)&amp;nbsp;Entregables: Se evaluará por cada mes con el cumplimiento del Calendario Financiero 2025.Evidencias:"P:\Objetivos\2025\Dirección de Contabilidad y Presupuesto\María Angélica Rojas Moya"</t>
  </si>
  <si>
    <t>Publicación estados financieros</t>
  </si>
  <si>
    <t>Remitir solicitud de publicación de los estados financieros en la página web del FNG, de manera mensual y dentro de los 10 días hábiles siguientes a la transmisión de estos a la SFC, iniciando con los estados financieros del mes de enero a publicarse en el mes de febrero hasta los estados financieros del mes de noviembre de 2025 a publicarse en diciembre.Indicador:(Cantidad de solicitudes de publicación remitidas en tiempo/ Total de solicitudes de publicación en el año) Entregables:Correo a las áreas encargadas de las publicaciones en las fechas establecidas y los estados financieros.&amp;nbsp; Evidencia:﻿ P:\Objetivos\2025\Dirección de Contabilidad y Presupuesto\María Angélica Rojas Moya</t>
  </si>
  <si>
    <t>Actualizaciones planillas mensuales</t>
  </si>
  <si>
    <t>Realizar las planillas de las cuentas contables a mas tardar el&amp;nbsp;día 10 del mes siguiente al corte o el día hábil siguiente si este es fin de semana o festivo.Indicador:(Cantidad de planillas realizadas dentro del plazo establecido / Total de planillas en el año)Entregables:Envío de correo al subdirector o director de contabilidad en las fechas establecidas evidenciando la actualización del respectivo mes y las planillas contables.&amp;nbsp;Evidencia: P:\Objetivos\2025\Dirección de Contabilidad y Presupuesto\María Angélica Rojas Moya</t>
  </si>
  <si>
    <t>A 31 diciembre de 2025 lograr como mínimo el cumplimiento del 90% de las acciones formuladas durante la vigencia en los planes de acción y mejoramiento relacionados con las auditorias realizadas por la OCI, SFC, Revisoria Fiscal y CGR en las actividades relacionadas con la Dirección de Contabilidad y Presupuesto.Indicador: Cantidad de actividades de planes de mejoramiento cumplidas (# acciones ejecutadas) / # total de acciones incluidas en los planes a ser ejecutados al 31/12/2025Entregables:Correo electrónico enviado en el cual se informe a la Oficina de control Interno - OCI el cumplimiento de las acciones, la modificación de fechas o entregables acordados, a este correo deben adjuntarse los soportes de evidencias que correspondan en cada caso.Evidencias:P:\Objetivos\2025\Dirección de Contabilidad y Presupuesto\María Angélica Rojas Moya</t>
  </si>
  <si>
    <t>Al 31 de diciembre de 2025 realizar las etapas requeridas del área de Contabilidad, para la implementación del módulo de activos fijos.&amp;nbsp;Indicador: * Documento con la definición de reglas de negocio (Bussines Blue Print) 31 de agosto 30% * Definición de datos contables maestros 31 de diciembre 30% * Informe de ejecución de pruebas 31 de diciembre 40%Entregables: *Correo electrónico remitido al Vicepresidente Financiero con el Informe definición de reglas de negocio (Bussines Blue Print) 31 de Agosto 30% *Correo electrónico remitido al Vicepresidente Financiero con el informe de definición de datos contables maestros 31 de diciembre. 30% * Correo electrónico remitido al Vicepresidente Financiero con el Informe de ejecución de pruebas. 31 de diciembre 40%Evidencias: P:\Objetivos\2025\Dirección de Contabilidad y Presupuesto\María Angélica Rojas Moya﻿</t>
  </si>
  <si>
    <t>Subdirector de Riesgos de Portafolio</t>
  </si>
  <si>
    <t>Analizar el marco de aplicación de la normatividad referente a las Grandes Exposiciones de las que trata la Circular Externa 003 de 2024 de la SFC y aplicar medidas de seguimiento para el cumplimiento de la normatividad.Q1. Enviar a la SFC el análisis de la aplicación de la Circular Externa 003 de 2024 en el Fondo Nacional de Garantías donde se identifiquen las fuentes de riesgo de las Grandes Exposiciones en la situación Financiera.&amp;nbsp;Q3. Presentar ante Comité SIAR la propuesta para el seguimiento de las Grandes Exposiciones donde se evalúen las posibles modificaciones de las políticas y metodologías de riesgo de contraparte y composición de portafolio.De acuerdo con el PAI 2025, este proyecto se vincula al objetivo estratégico 5. Promover el mejoramiento continuo a través del Sistema de Gestión Integral del FNG, especificamente en el subnumeral 5.2. Búsqueda de mejores prácticas de gestión y cumplimiento normativo (Monitoreo a la implementación y actualización normativa (Normativas jurídicas)ENTREGABLEQ1. Comunicación oficial enviada a la SFC donde se expone el ámbito de aplicación de&amp;nbsp;la Circular Externa 003 de 2024 en el FNG con sus fuentes de riesgo identificadas.&amp;nbsp;Q3. Acta Comité SIAR con la propuesta del mecanismo de seguimiento de las grandes exposiciones y el análisis de los ajustes documentales de políticas y metodologías.&amp;nbsp;&amp;nbsp;&amp;nbsp;</t>
  </si>
  <si>
    <t>Evaluación del marco preliminar de implementación del Sistema de Administración de Riesgos Ambientales y Sociales y el Sistema de Administración del Riesgo de Conductas (SARCO) para definir su relación con el SIAR.Q3. Hacer seguimiento a la publicación de las circulares que regulan el Sistema de Administración de Riesgos Ambientales y Sociales y el Sistema de Administración del Riesgo de Conductas (SARCO) y analizar el proceso de implementación en relación con el SIAR.Q4. Presentar al Comité SIAR la implementación preliminar del Sistema de Administración de Riesgos Ambientales y Sociales y el Sistema de Administración del Riesgo de Conductas (SARCO) en relación con su articulación con el Sistema Integral de Administración de Riesgos (SIAR), que incluya el plan de implementación y los requerimientos necesarios para el cumplimiento de la normatividad.De acuerdo con el PAI 2025, este proyecto se vincula al objetivo estratégico 5. Promover el mejoramiento continuo a través del Sistema de Gestión Integral del FNG, especificamente en el subnumeral 5.2. Búsqueda de mejores prácticas de gestión y cumplimiento normativo (Monitoreo a la implementación y actualización normativa (Normativas jurídicas)ENTREGABLEQ3. Enviar a los miembros del Comité SIAR un informe que relacione el análisis de entendimiento y el impacto de las circulares publicadas por la SFC en relación con el Sistema de Administración de Riesgos Ambientales y Sociales y el Sistema de Administración del Riesgo de Conductas (SARCO) en relación con la gestión actual del SIAR.&amp;nbsp;Q4. Acta de Comité SIAR donde conste la presentación del informe técnico que contenga el plan de implementación del Sistema de Administración de Riesgos Ambientales y Sociales, articulado con el SIAR, incluyendo los requerimientos normativos y las acciones necesarias para su cumplimiento.</t>
  </si>
  <si>
    <t>Proponer alternativas de modificación del límite de inversiones clasificadas hasta el vencimiento y ajustar las políticas y procedimientos para el seguimiento del cumplimiento de los límites.Q3. Presentar ante Comité SIAR el análisis para modificar el Límite de Clasificación de Inversiones Hasta el Vencimiento que contenga la propuesta de ajuste de limites y condiciones operativas para el seguimiento de los limites.&amp;nbsp;Q3. Documentar la propuesta del proceso operativo para el seguimiento de los límites de clasificación del portafolio a partir de las líneas de defensa del control de riesgos.&amp;nbsp;De acuerdo con el PAI 2025, este proyecto se vincula al objetivo estratégico 2. Asegurar la sostenibilidad financiera del FNG que contribuya con el crecimiento de la operación, específicamente en el subnumeral 2.1. Optimización Financiera (Optimización del Portafolio de Inversiones)ENTREGABLESEntregable 1: Acta Comité SIAR y presentación ante la JD de la propuesta de modificación del límite de clasificación de Inversiones a Q3.Entregable 2: Publicación en Isolución del Procedimiento operativo para el control del seguimiento de los limites de riesgo a Q3.</t>
  </si>
  <si>
    <t>Proponer alternativas para presentar el Informe de Seguimiento Integral de Riesgos</t>
  </si>
  <si>
    <t>Mejorar el informe ejecutivo del seguimiento del SIAR que se presenta ante la Junta Directiva donde se relacione la integración de los riesgos.&amp;nbsp;Q3. Diseñar plantilla para la elaboración del Informe de Seguimiento Integral de Riesgos donde se consolide información de la gestión de riesgo de mercado, riesgo de liquidez, riesgo de garantías y riesgo operacional.&amp;nbsp;Q4. Presentar al Vicepresidente de Riesgos a mas tardar el 31 de octubre de 2025 la propuesta del informe en formato Power Point que contenga la integración de los riesgos gestionados (SARM, SARL, SARG y SARO) con el impacto en la solvencia para relacionar el Marco de Apetito de Riesgos.De acuerdo con el PAI 2025, este proyecto se vincula al objetivo estratégico 3. Fortalecer la gestión y administración integral del riesgo para generar un adecuado ambiente de control.&amp;nbsp;ENTREGABLEQ3. Plantilla que integre la información consolidada de la gestión del riesgo de mercado, riesgo de liquidez, riesgo de garantías y riesgo operacional, alineada con los resultados del Marco de Apetito de Riesgo (MAR).Q4. Ayuda de memoria firmada por el Vicepresidente de Riesgos, que respalde la realización de la reunión en la cual se presentó la propuesta del Informe de Seguimiento Integral de Riesgos, incluyendo la interacción entre los riesgos de mercado, liquidez, garantías y operacional, y su impacto en el MAR.&amp;nbsp;</t>
  </si>
  <si>
    <t>52050179</t>
  </si>
  <si>
    <t>Maria Ines Gonzalez Silva</t>
  </si>
  <si>
    <t>DescripciónA 31 de diciembre, realizar 300 gestiones iniciales de relacionamiento institucional con entes territoriales, organismos internacionales, entes institucionales y/o agremiaciones. Se entenderá por 'gestión inicial' cualquier acción formal de primer contacto orientada al establecimiento de relaciones de colaboración. La gestión inicial representa el 50% del objetivo. El otro 50% del objetivo corresponde a concretar al menos 120 acercamientos efectivos para la articulación de convenios. Un 'acercamiento para articulación' se definirá como cualquier acción formal que implique el envío de escenarios de colaboración orientados a la suscripción de un convenio, siempre que exista un interés previo manifestado por la contraparte luego de una gestión inicial.&amp;nbsp;&amp;nbsp;Indicador o Formula con la que se va a Realizar la MediciónNo de gestiones + No de acercamientos = 100%(No de Gestiones iniciales/300 * 50%) + (No de acercamientos/120 *50%)Realizar 300 gestiones o más equivale al 100%, mínimo se deben realizar 240 gestiones; realizar menos de 240 se obtendrá un puntaje de 0. Se medirá de acuerdo a la tabla equitativa donde obtener un puntaje de 80 la calificación será de 80% y así hasta llegar a 100%&amp;nbsp;Realizar 120 acercamientos o más equivale al 100% mínimo se deben realizar 96 acercamientos; realizar menos de 96 acercamientos se obtendrá un puntaje de 0. Se medirá de acuerdo a la tabla equitativa donde obtener un puntaje de 80 la calificación será de 80% y así hasta llegar a 100%EvidenciaEvidencia: correo electrónico, mensajes WhatsApp, reuniones virtuales y/o presenciales.</t>
  </si>
  <si>
    <t>DescripciónGestionar la suscripción de quince (15) convenios u otrosíes de programas especiales.&amp;nbsp;&amp;nbsp;Indicador o Formula con la que se va a Realizar la MediciónNo. Convenios y otrosíes suscritos/15*100Formula = convenio 1 + convenio 2 + convenio 3 + …......... + convenio 15Nota aclaratoria: La medición se realizará de acuerdo con tabla proporcional donde 1 es el 6,6% y 15 el 100%.&amp;nbsp;EvidenciaMinuta de Convenio u otrosí firmados</t>
  </si>
  <si>
    <t>DescripciónAsegurar el cumplimiento oportuno y completo de las obligaciones derivadas de los convenios vigentes en lo referente a la elaboración y envío de los informes, así como la programación de los comités técnicos de acuerdo con los plazos y condiciones establecidos en las respectivas minutas, mediante la articulación y&amp;nbsp;coordinación con las áreas responsables de suministrar los insumos técnicos, administrativos y financieros necesarios para su elaboración, con el propósito de garantizar el cumplimiento de los compromisos adquiridos por la entidad, optimizando los procesos de recopilación, validación y consolidación de la información dentro de los tiempos estipulados.**Prosperidad SocialNota: a la fecha existen 17 convenios vigentes de los cuales 13 informes se envían mensuales y 4 informes se envían trimestrales, la base de convenios vigentes se encontrará en la carpeta de objetivos&amp;nbsp;Indicador o Formula con la que se va a Realizar la MediciónTotalidad de informes enviados en el mes/totalidad de informes a enviar en el mesEvidenciaCorreo electrónico de la subdirectora y/o profesional con el envío del informe y/o Actas de comités al mandante</t>
  </si>
  <si>
    <t>DescripciónA corte de 31 de diciembre realizar la revisión, validación y/o actualización de los procesos asociados a la subdirección de programas especiales con el fin de garantizar la vigencia, pertinencia y alineación de dichos procesos con los lineamientos institucionales, normativos y operativos vigentes.&amp;nbsp;Nota aclaratoria: A la fecha la subdirección de programas especiales cuenta con 8 procesos de acuerdo al correo enviado por la subdirección de planeación&amp;nbsp;&amp;nbsp;Indicador o Formula con la que se va a Realizar la Medición(No de procesos revisados validados y/o actualizados de la subdirección de programas especiales/8)*100Evidencia﻿Correo electrónico a la subdirección de planeación y procesos con la revisión y/o actualización documental de los procesos de la subdirección de programas especiales</t>
  </si>
  <si>
    <t>1193373790</t>
  </si>
  <si>
    <t>Maria Jose Neira Saenz</t>
  </si>
  <si>
    <t>Informes Finales de Supervisión</t>
  </si>
  <si>
    <t>Elaborar y radicar ante la Dirección de Contratación durante la vigencia 2025, los informes Finales de Supervisión de los contratos de la dirección de felicidad que terminen y sean pagados efectivamente por el FNG dentro del Q. Dicha radicación deberá realizarse dentro del mes siguiente a la terminación del plazo de ejecución ( cuando aplique ) o en caso de que a la fecha de terminación del plazo de ejecución no se haya realizado el ultimo pago al contratista, dentro del mes siguiente a la realización del ultimo pago por parte del FNG.&amp;nbsp;(N.º de informes Finales de supervisión de los contratos terminados y pagados dentro del Q, radicados en la Direccion de Contratación en cumplimiento del plazo de un (1) mes siguiente a la terminación del plazo de ejecución o en su defecto dentro del mes siguiente a la realización del ultimo pago&amp;nbsp;por parte del FNG&amp;nbsp;/ Nro de contratos terminados y pagados dentro del Q) )×100Remitir un informe trimestral a la Directora de la Dirección de Felicidad, dentro de los diez (10) días hábiles siguientes a la finalización del Q, que detalle el nivel de cumplimiento del plazo establecido para la radicación de&amp;nbsp;los Informes Finales de Supervisión en la Dirección de Contratación durante el Q. Dicho informe debe cumplir como mínimo con los siguientes ítems:&amp;nbsp;( Nro del Contrato, fecha de terminación del plazo de ejecución, fecha del último pago realizado al contratista, fecha de radicación del informe final de supervisión a la Dirección de Contratación)&amp;nbsp;Nota 1 : Para la elaboración del informe trimestral únicamente se tendrán en cuenta los contratos que hayan terminado dentro del Q y a los que efectivamente se les haya realizado el ultimo pago por parte del FNG.Q2: 30%Q3 : 30%Q4: 40%&amp;nbsp;Ruta: P:\Objetivos\2025\Dirección de Felicidad\Maria Jose Neira Sáenz</t>
  </si>
  <si>
    <t>Ejecutar para 2025 el Plan Anual de Adquisiciones aprobado para la Dirección de Felicidad.&amp;nbsp;Su evaluación será proporcional al numero de procesos aprobados y contratados para la vigencia, de acuerdo con el PAA aprobado por el Comité Institucional de Gestión y Desempeño. La evaluación iniciará a partir del Q2.&amp;nbsp;Formula : No. de procesos ejecutados (contrato firmado) /No. procesos aprobados&amp;nbsp;*100Su medición será:Informe de ejecución de los contratos a Q2: 30%Informe de ejecución de los contratos a Q3 : 30%Informe de ejecución de los contratos a Q4: 40%Ruta: P:\Objetivos\2025\Dirección de Felicidad\Maria Jose Neira Saenz</t>
  </si>
  <si>
    <t xml:space="preserve">Actas de Liquidación </t>
  </si>
  <si>
    <t>Elaborar y radicar ante la Direccion de Contratacion durante la vigencia 2025, las Actas de liquidación de los contratos de la dirección de felicidad que requieran ser liquidados, que terminen su plazo de ejecución dentro del Q&amp;nbsp;y a los cuales se les realice el ultimo pago dentro del mismo trimestre.&amp;nbsp;Dicha radicación deberá realizarse dentro de los 2 meses siguiente a la terminación del plazo de ejecución o en caso de que a la fecha de terminación del plazo de ejecución no se haya realizado el ultimo pago al contratista, dentro de los 2 meses siguiente a la realización del ultimo pago por parte del FNG.&amp;nbsp; (N.º de Actas de liquidación radicadas en la Dirección de Contratación de los contratos de la Dirección de Felicidad terminados y pagados dentro del Q que requieran ser liquidados, en cumplimiento del plazo de dos (2) meses siguiente a la terminación del plazo de ejecución o en su defecto dentro del mes siguiente a la realización del ultimo pago&amp;nbsp;/ Nro de contratos terminados y pagados dentro del Q que requieren ser liquidados )×100Remitir un informe trimestral a la Directora de la Dirección de Felicidad, dentro de los diez (10) días hábiles siguientes a la finalización del Q, que detalle el nivel de cumplimiento del plazo establecido para la radicación de las actas de liquidación de los contratos que lo requieran, en la Dirección de Contratación durante el Q, dentro del mes siguiente a la terminación del plazo de ejecución o en caso de que a la fecha de terminación del plazo de ejecución no se haya realizado el ultimo pago al contratista, dentro del mes siguiente a la realización del ultimo pago por parte del FNG.&amp;nbsp;&amp;nbsp;Dicho informe debe cumplir como minimo con los siguientes items:&amp;nbsp;( Nro del Contrato, fecha de terminación del plazo de ejecución, fecha del último pago realizado al contratista, fecha de radicación del Acta de liquidación en la Dirección de Contratación)Nota 1: Para la realización del presente informe trimestral no se tendrá en cuenta la elaboración y radicación en la dirección de contratación de la liquidación de los contratos suscritos por medio de la TVEC, dado que la liquidación de dichos contratos las debe realizar directamente la dirección de contratación.&amp;nbsp;Porcentaje: Q2: 30%Q3 : 30%Q4: 40%Ruta: P:\Objetivos\2025\Dirección de Felicidad\Maria Jose Neira Saenz</t>
  </si>
  <si>
    <t>Lograr a 31 de diciembre de 2025 el cumplimiento del 100% de los&amp;nbsp;planes del Decreto 612-2018, relacionados con la Dirección de Felicidad, los cuales son monitoreados por el Comité Institucional de Gestión y Desempeño.&amp;nbsp;&amp;nbsp;&amp;nbsp;&amp;nbsp;&amp;nbsp;&amp;nbsp;&amp;nbsp;&amp;nbsp;&amp;nbsp;&amp;nbsp;&amp;nbsp;&amp;nbsp;&amp;nbsp;&amp;nbsp;&amp;nbsp;&amp;nbsp;&amp;nbsp;&amp;nbsp;&amp;nbsp;&amp;nbsp;&amp;nbsp;&amp;nbsp;&amp;nbsp;&amp;nbsp;&amp;nbsp;&amp;nbsp;&amp;nbsp;&amp;nbsp;&amp;nbsp;&amp;nbsp;&amp;nbsp;&amp;nbsp;Plan Estratégico de Gestión Humana: peso 10%&amp;nbsp;Plan de Capacitación: peso 20%Plan de Bienestar :peso 20%Plan de Seguridad y Salud en el Trabajo: peso 20%Plan de Gestión Ambiental 10%Plan Institucional de Archivo 20%Su evaluación será proporcional al resultado obtenido en cada plan. (ejemplo: si se hace el 90% de las actividades la calificación será 90 puntos- Si la calificación es menor a 80% su calificación será cero).Entregable : Acta de Comité Institucional de Gestión y Desempeño donde se evidencia el cumplimiento de los planes,&amp;nbsp;presentados en cada Q.Ruta: P:\Objetivos\2025\Dirección de Felicidad\Maria Jose Neira Saenz</t>
  </si>
  <si>
    <t>Realizar durante el 2025 el seguimiento a la creación de los expedientes contractuales en Mercurio, SECOP y/o TVEC por parte del abogado encargado del proceso en la Dirección de Contratación, dentro del mes siguiente a la fecha de inicio del plazo de ejecución de los contratos suscritos por la Dirección de Felicidad.(Número de contratos suscritos durante el trimestre / Número de expedientes contractuales creados por contrato dentro del mes siguiente a la fecha de inicio del plazo de ejecución ) × 100Remitir informe trimestral a la Directora de la Dirección de Felicidad, dentro de los diez (10) días hábiles siguientes a la finalización de cada trimestre, en el que se detalle el nivel de cumplimiento respecto a la creación de los expedientes contractuales en Mercurio, SECOP y/o TVEC de los contratos suscritos durante el trimestre, verificando que dicha creación se haya efectuado dentro del mes siguiente a la fecha de inicio del plazo de ejecución de cada contrato.Porcentajes:Q2: 30%Q3 : 30%Q4: 40%Ruta: P:\Objetivos\2025\Dirección de Felicidad\Maria Jose Neira Saenz</t>
  </si>
  <si>
    <t>Revisar los informes parciales de supervisión de los contratos de la Dirección de felicidad que se encuentran en ejecución durante la vigencia 2025 y que le sean asignados a cada abogado de la Dirección de Felicidad. (N.º de informes parciales de supervisión remitidos a los abogados para su revisión / N.º&amp;nbsp;de informes parciales de supervisión revisados por el abogado dentro de los dos (2) días hábiles siguientes a la recepción del informe )×100Cada abogado de la Dirección de Felicidad deberá remitir un informe trimestral a la Directora de la Dirección de Felicidad, dentro de los diez (10) días hábiles siguientes a la finalización de cada trimestre, en el cual se detalle el nivel de cumplimiento del plazo establecido de dos (2) días hábiles para la revisión y envío de los informes parciales de supervisión a su cargo, dirigidos a la supervisora o a quien haga sus veces.  Nota 1 : (Q4) Para el Q4, se debe remitir el informe a mas tardar el 30 de diciembre de 2025. Q2: 30%Q3 : 30%Q4: 40%Ruta: P:\Objetivos\2025\Dirección de Felicidad\Maria Jose Neira Saenz</t>
  </si>
  <si>
    <t>Actualización de la Matríz de seguimiento del Plan Anual de Adquisiciones de la Dirección de Felicidad</t>
  </si>
  <si>
    <t>Realizar durante el 2025 la actualización del Plan Anual de Adquisiciones de la Dirección de Felicidad mediante el envío de la matriz actualizada al ultimo día de cada mes en formatos Excel y PDF, a la Directora de la Dirección, con el fin de garantizar la trazabilidad, el control y el cumplimiento de los plazos contractuales proyectados.(Número de matrices del Plan Anual de Adquisiciones de la Dirección de felicidad, actualizadas al último día de cada mes, remitidas a la Directora de la Dirección de Felicidad&amp;nbsp;/ Número de meses en los que se requiere la remisión de la matriz ) × 100Elaborar un informe trimestral en el que se detalle el nivel de cumplimiento respecto a la remisión&amp;nbsp;de la Matriz de Seguimiento del Plan Anual de Adquisiciones de la Dirección de Felicidad, debidamente actualizada al ultimo dia de cada mes, en los formatos Excel y PDF. Dicho informe deberá incluir la evidencia del envío de la matriz a la Directora de la Dirección de Felicidad. El informe trimestral deberá ser remitido dentro de los diez (10) días hábiles siguientes a la finalización de cada trimestre.Nota 1: El informe trimestral del Q4, se deberá enviar a mas tardar el 27 de diciembre de 2025.&amp;nbsp;Q2: 30%Q3 : 30%Q4: 40%Ruta: P:\Objetivos\2025\Dirección de Felicidad\Maria Jose Neira Saenz</t>
  </si>
  <si>
    <t>Garantizar durante la vigencia 2025, la ejecución oportuna del Plan Anual de Adquisiciones de la Dirección de Felicidad, cumpliendo con los tiempos previstos para la radicación de los procesos contractuales ante la Dirección de Contratación, de conformidad con el PAA aprobado para la vigencia.&amp;nbsp; Formula : (Número de procesos contractuales programados en el Plan Anual de Adquisiciones (PAA) de la Dirección de Felicidad para ser radicados durante el trimestre / Número de procesos contractuales efectivamente radicados ante la Dirección de Contratación dentro de los plazos establecidos en el PAA) × 100 Entregable : Remitir un informe trimestral a la Directora de la Dirección de Felicidad, dentro de los diez (10) días hábiles siguientes a la finalización de cada trimestre, en el cual se detalle el nivel de cumplimiento de los plazos establecidos en el PAA para la radicación de los procesos contractuales en la Dirección de Contratación durante el Q. Asimismo, en dicho informe se debe incluir el correo electrónico por medio del cual se realiza la respectiva radicación a la Dirección de Contratación. Nota 1 : Para el Q4, se debe remitir el informe trimestral a mas tardar el día 30 de diciembre de 2025. Nota 3: Para la evaluación de cada Q se tendrá en cuenta el PAA actualizado por la Dirección de Contratación, al ultimo día de finalización de cada Q.&amp;nbsp;Nota 4: La dirección de contratación remitirá el último día de cada mes el PAA actualizado.&amp;nbsp;Peso de los entregables : Q2: 30%Q3 : 30%Q4: 40%Ubicación de las evidencias: P:\Objetivos\2025\Dirección de Felicidad\Maria Jose Neira Saenz</t>
  </si>
  <si>
    <t>53067199</t>
  </si>
  <si>
    <t>Mariana Luz Orozco Perez</t>
  </si>
  <si>
    <t>Gerente de Cuenta Bogotá - Cundinamarca</t>
  </si>
  <si>
    <t xml:space="preserve">Visitas a sucursales de Intermediarios Financieros del portafolio asignado. </t>
  </si>
  <si>
    <t>Realizar trescientas cincuenta y siete (357) visitas a sucursales activas gestionables de Intermediarios Financieros del FNG del portafolio asignado durante el año 2025 (base inicial aprobada por el subdirector comercial&amp;nbsp;y sujeta a modificaciones). Para los departamentos de Bogotá y Cundinamarca.&amp;nbsp;&amp;nbsp;% Cumplimiento. Realizar 357 visitas o más obtendrá un puntaje de 100%. Realizar menos de 322 (90%) visitas obtendrá un puntaje de 0%.Se medirá de acuerdo a la tabla equitativa: menor a 90% - 0 ; entre 90 y 93% el 80%; entre 93 y 95% el 90% y entre 95 y 100 el 100%</t>
  </si>
  <si>
    <t>Capacitaciones y/o visitas a gerentes de zona y/o regionales de Intermediarios Financieros del portafolio asignado.</t>
  </si>
  <si>
    <t>Realizar cuarenta (40) visitas y/o capacitaciones a&amp;nbsp;gerentes de zona y/o regionales de Intermediarios Financieros del FNG del&amp;nbsp;portafolio asignado durante el año 2025 (base inicial aprobada por el subdirector comercial&amp;nbsp;y sujeta a modificaciones).&amp;nbsp;Para los departamentos de Bogotá y Cundinamarca.&amp;nbsp;&amp;nbsp;% Cumplimiento. Realizar 40 visitas y/o capacitaciones a&amp;nbsp;gerentes de zona y/o regionales de Intermediarios Financieros del FNG del&amp;nbsp;portafolio asignado durante el año 2025 obtendrá un puntaje de 100%. Realizar menos de 36 (90%) visitas y/o capacitaciones obtendrá un puntaje de 0%. Se medirá de acuerdo a la tabla equitativa: menor a 90% - 0; entre 90 y 93% el 80%; entre 93 y 95% el 90% y entre 95 y 100 el 100%</t>
  </si>
  <si>
    <t>Encuesta Externa</t>
  </si>
  <si>
    <t>Obtener al 31 de diciembre de 2025 un resultado ponderado en la Encuesta de Satisfacción del Cliente Externo para las zonas de venta FNG S. A Y FNG TOLIMA, mayor o igual a 9.1 (Donde menor a 8.6 es 0 puntos y 9.1 es 100 puntos), Rango: &amp;gt; o = 8.6 Pts. &amp;lt; 9.1 Pts. La fórmula de medición del Rango: = (Resultado Indicador – Cumplimiento Mínimo) / (Meta – Cumplimiento Mínimo) x 100.Evidencia: Resultado encuesta de cliente Externo.&amp;nbsp;&amp;nbsp;% cumplimiento. Mayor o igual a 9.1 (Donde menor a 8.6 es 0 puntos y 9.1 es 100 puntos), Rango: &amp;gt; o = 8.6 Pts. &amp;lt; 9.1 Pts. La fórmula de medición del Rango: = (Resultado Indicador – Cumplimiento Mínimo) / (Meta – Cumplimiento Mínimo) x 100.</t>
  </si>
  <si>
    <t>Movilización de créditos con garantías del FNG en el portafolio asignado</t>
  </si>
  <si>
    <t>Lograr al 31 de diciembre de 2025 una movilización de créditos con garantías del FNG&amp;nbsp;igual o superior al 100% de la meta asignada por la vicepresidencia comercial (base inicial aprobada por el subdirector comercial&amp;nbsp;y sujeta a modificaciones).&amp;nbsp;Para los departamentos de Bogotá y Cundinamarca.&amp;nbsp;&amp;nbsp;&amp;nbsp;&amp;nbsp;% Cumplimiento. Calificación proporcional entre la meta asignada por la vicepresidencia comercial&amp;nbsp;(base inicial aprobada por el subdirector comercial&amp;nbsp;y sujeta a modificaciones).&amp;nbsp;Para los departamentos de Bogotá y Cundinamarca.&amp;nbsp;y&amp;nbsp;$1.760.167.436.176&amp;nbsp;billones (donde menor a $1.760.167.436.176 billones es 0% y la meta asignada&amp;nbsp;o superior a ese valor asignado por la vicepresidencia comercial es 100%)&amp;nbsp;La fórmula de medición del Rango: = (Resultado Indicador – Cumplimiento Mínimo) / (Meta – Cumplimiento Mínimo) x 100.</t>
  </si>
  <si>
    <t>Lograr la vinculación y/o reactivación durante el año 2025, de catorce (14) intermediarios financieros en la regional Bogotá-Centro (la cual comprende los departamentos de: Bogotá, Cundinamarca, Tolima, Huila, Caquetá, Meta, Guainía, Guaviare, Vaupés, Vichada y Amazonas).&amp;nbsp;&amp;nbsp;&amp;nbsp;&amp;nbsp;% Cumplimiento. Realizar catorce (14) vinculaciones y/o reactivaciones o más obtendrá un puntaje de 100%, el resultado obtenido será la calificación final del objetivo según la formula. # de vinculaciones dividido en la meta. &amp;nbsp;Ejemplo N. Vinculados/Meta. 7/14=50%&amp;nbsp;y así hasta llegar al 100%.</t>
  </si>
  <si>
    <t>53123300</t>
  </si>
  <si>
    <t>Maria Natalia Lucena Borrero</t>
  </si>
  <si>
    <t>Subdirector de Gestión Territorial y Agroindustria</t>
  </si>
  <si>
    <t>Implementar el proceso de generación de demanda</t>
  </si>
  <si>
    <t>Implementar el procedimiento de generación de demanda dirigido a organizaciones de base y asociaciones de productores, con el fin de registrar 10.000 productores al cierre del año 2025Indicador o Formula con la que se va a Realizar la Medición(P1 × 50%) + (P2 × 50%)Donde:P1 = Cumplimiento en la implementación del procedimiento50% si está implementado, 0% si no.P2 = Cumplimiento en el registro de productores:10.000 registros = 50%8.000 registros =40%6.000 registros =30%Menos de 6.000 = 0%Evidencia:* P1:Procedimiento aprobado en Isolución* P2: Pantallazo de la pagina web del aliado&amp;nbsp;con el botón incorporado para su autogestión* Informe&amp;nbsp;de gestión de registros enviado vía correo electrónico al Director de microfinanzas y Programas Especiales remitido por el profesional y/o subdirector de Gestión Territorial y Agroindustrial</t>
  </si>
  <si>
    <t>Definir planes de trabajo con gremios, entidades publico/privadas y organizaciones sociales</t>
  </si>
  <si>
    <t>Acordar e implementar 8 (ocho) planes de trabajo con gremios, entidades público/privadas y organizaciones sociales que permitan la referenciación de potenciales clientes a la Dirección Comercial del Fondo Nacional de Garantías, que contribuyan a la movilización de&amp;nbsp;garantías destinadas para las actividades agropecuarias y agroindustriales&amp;nbsp;Indicador o Formula con la que se va a Realizar la MediciónNo Planes de trabajo implementados gremios, entidades publico/privadas y organizaciones sociales / 8*100Formula= plan 1+ plan 2+ …....+ Plan 8=100%Donde cada plan tiene un puntaje 12,5%EvidenciaPlanes de trabajo aprobados por el Director de Microfinanzas y Programas Especiales, vía correo electrónico. Y su implementación será el&amp;nbsp;registro de actividades realizadas enviadas al Director de Microfinanzas y Programas Especiales</t>
  </si>
  <si>
    <t xml:space="preserve">Impulsar el esquema asociativo </t>
  </si>
  <si>
    <t>Realizar veinte (20) reuniones con actores del ecosistema productivo —como asociaciones, cooperativas, entes territoriales departamentales y municipales (alcaldías y gobernaciones), entidades públicas y privadas, cámaras de comercio, juntas de acción comunal y gremios— con el propósito de impulsar el esquema asociativo, antes del 30 de diciembre de 2025.&amp;nbsp;Indicador o Formula con la que se va a Realizar la Medición(Número de reuniones efectivamente realizadas / 20) × 100Realización de 20 reuniones: 100% de cumplimientoRealización de 15 reuniones: 75% de cumplimientoRealización de 10 reuniones: 50% de cumplimientoRealización de menos de 5 reuniones: 0% de cumplimientoEvidencia:Informes de las reunionesFotografías y listas de asistenciaSoporte documental de las reuniones realizadasRegistro en los planes de cuenta del CRMNota: Las evidencias serán remitidas al&amp;nbsp;correo electrónico Director de Microfinanzas y Programas Especiales</t>
  </si>
  <si>
    <t>Capacitaciones a los   Fondos Regionales</t>
  </si>
  <si>
    <t>Realizar dos (2) procesos de capacitación a los&amp;nbsp;Fondos Regionales de Garantías (FRG) antes del 30 de diciembre de 2025, enfocados en la estrategia de gestión territorial (generación de demanda) y en temas agroindustriales.&amp;nbsp;Nota: Total de Fondos Regionales 9&amp;nbsp;Indicador o Formula con la que se va a Realizar la Medición(N° de FRG capacitados con 2 procesos / 9) × 100Escala de evaluación:9 FRG capacitados (100%) → Cumplimiento totalMínimo 7 FRG capacitados (≥77.7%) → 80% de cumplimientoMenos de 7 FRG capacitados (&amp;lt;77.7%) → 0% de cumplimientoLa evidencia será:Asistencia digital (formato de registro)Copia o pantallazo del asistente de programación en Microsoft TeamsCorreo electrónico de convocatoria o confirmación de participación</t>
  </si>
  <si>
    <t xml:space="preserve">Referenciar a la Dirección Comercial Nacional tres (3) originadores de crédito no tradicional </t>
  </si>
  <si>
    <t>Referenciar a la Dirección Comercial nacional tres (3)&amp;nbsp;actores de la cadena agroindustrial que otorguen crédito que contribuyan en la movilización de garantías, con el apoyo de los Fondos Regionales de Garantías (FRG) y los equipos territoriales, antes del 30 de diciembre de 2025.&amp;nbsp;Indicador o Formula con la que se va a Realizar la Medición(Número de actores vinculados / 3) × 100&amp;nbsp;Referenciar 1 actor : 33% de cumplimientoReferenciar 2 actores: 66% de cumplimientoReferenciar 3 actores: 100% de cumplimientoEvidenciaCorreos, soportes reuniones donde se envie la información de contacto de los actores a la Dirección Nacional Comercial&amp;nbsp;</t>
  </si>
  <si>
    <t>1057606854</t>
  </si>
  <si>
    <t>Maria Paula Camargo Perez</t>
  </si>
  <si>
    <t>Profesional de Optimización de Procesos y Mediciones</t>
  </si>
  <si>
    <t>Lograr al 31 de diciembre de 2025 la acreditación en experiencia del cliente para el Fondo Nacional de Garantías. El objetivo se cumple al 100% con la ejecución de todas las actividades, el resultado final corresponderá a la suma de los porcentajes de cumplimiento de cada actividad ejecutada y debidamente soportada, las cuales corresponden a las siguientes:Actividad 1: Formular plan de preparación para la acreditación aprobado por la vicepresidente comercial, que contemple actividades como la comunicación y sensibilización de las áreas claves del FNG involucradas en este proceso. (Peso: 15%)Entregable: Acta firmada por la vicepresidente comercial con el plan de preparación.Actividad 2: Proceso de contratación para formalizar el acuerdo con la entidad prestadora del servicio y garantizar las condiciones administrativas y operativas necesarias para la ejecución del proyecto. (Peso: 10%).Entregable: Minuta contrato firmada por las partes.Actividad 3: Asegurar que todas las partes involucradas comprendan la importancia del assessment CX y participen activamente en el proceso (Peso: 15%):&amp;nbsp;•	Proveer información clave a proveedor, convocar a los líderes claves a un espacio de sensibilización y socializar la aplicación del assessment.&amp;nbsp;Entregable: Informe de actividades realizadas, enviado por correo electrónico a la VP Comercial y a la dirección de experiencia.Actividad 4: Apoyo en la Evaluación de Madurez en CX (assessment CX) (Peso: 10%):•	Facilitar la recolección de información necesaria para el diagnóstico de madurez en CX.•	Monitorear el avance de la recopilación de datos y garantizar una alta tasa de respuesta en las encuestas.•	Facilitar el acceso a las personas a entrevistar para el análisis cualitativo.Entregable: Informe de actividades realizadas, enviado por correo electrónico a la Vicepresidente Comercial y a la directora de experiencia.Actividad 5: Asegurar que el análisis refleje fielmente la situación del FNG y proporcionar retroalimentación para su ajuste (Peso: 15%):&amp;nbsp;•	Revisar el informe de hallazgos principales.•	Validar las observaciones sobre el diagnóstico.&amp;nbsp;Entregable: Correo de aceptación de la vicepresidente comercial con las observaciones al proveedor.Actividad 6:&amp;nbsp;Recibir el informe con el resultado de la acreditación y asegurar la entrega de los resultados por parte del proveedor y que el Roadmap propuesto sea viable y alineado con los objetivos estratégicos del FNG:•	Priorizar las acciones clave del Roadmap y asignar responsables internos para su ejecución. (Peso: 10%)Entregable: Informe con el resultado de la acreditación y presentación con la propuesta de priorización de las actividades y asignación de responsables, aprobada a satisfacción por correo electrónico a la VP Comercial y a la dirección de experiencia.Actividad 7: Convocar y garantizar la participación de las áreas claves en el taller de Co-creación. (Peso: 10%)Entregable: Informe del taller realizado, enviado por correo electrónico a la VP Comercial.Actividad 8: Establecer plan de trabajo post-acreditación el cual incluya los compromisos adquiridos que permita que la acreditación tenga un impacto tangible en el FNG. (Peso: 15%)Entregable: Plan de trabajo final aprobado por la VP Comercial mediante acta.Los entregables se encontrarán en la siguiente ruta:P:\Objetivos\2025\Dirección de Experiencia\Maria Paula Camargo Perez</t>
  </si>
  <si>
    <t>Informe de resultados medición satisfacción al cliente</t>
  </si>
  <si>
    <t>Al 31 de diciembre de 2025, enviar a través de correo electrónico a las áreas correspondientes el resultado de las mediciones de las encuestas de satisfacción general (1. Territorial, 2. Fondos Regionales, 3.Dirección General, 4.Canal Presencial, 5. DeMente Empresarial, 6.Vinculación Nuevos IF, 7.Certificación de Calidad, 8. Aseguramiento de Calidad, 9. Renovación Certificación de Calidad, 10. Acuerdos de pago), de acuerdo con cada corte según el definido para cada encuesta, garantizando la calidad de la información sin que el cliente interno reporte errores en los datos y/o la subdirectora de experiencia de negocio.Entregable: Envío de informes a través de correo electrónico con los resultados de las encuestas a las áreas correspondientes y a la Subdirectora de Experiencia de Negocio.El objetivo se cumple al 100% con el envío de los informes sin errores reportados por parte de la subdirectora y/o de las áreas, por cada error reportado se disminuirá el 2% del total del objetivo (20%)Los entregables se encontrarán en la siguiente ruta:P:\Objetivos\2025\Dirección de Experiencia\Maria Paula Camargo Perez</t>
  </si>
  <si>
    <t>Mejoras en el portal transaccional</t>
  </si>
  <si>
    <t>Al 31 de diciembre de 2025, implementar dos mejoras en el portal transaccional dirigidas a los Intermediarios Financieros, las cuales corresponden a las siguientes: 1. Visualización del monto disponible por productos especiales. 2. Creación de una sección para la consulta de documentos de interés. Estas mejoras permitirán optimizar la experiencia de los usuarios del portal en cuanto a información operativa clave, a través de la radicación de Historias de Usuario (HU), pruebas funcionales y la articulación con la Dirección de TI.Actividad 1 - Disponible productos especiales. Peso 50%Gestionar la visualización del monto disponible por productos especiales en el portal transaccional, mediante la radicación de la Historia de Usuario (HU) correspondiente.Entregable 1: Radicación de la Historia de Usuario (HU) a través del aplicativo Aranda.Actividad 2 - Documentos de interés. Peso 50%Gestionar la creación de una sección para la consulta de documentos de interés en el portal transaccional, mediante la radicación de la Historia de Usuario (HU) y la validación funcional.Entregable 2: Radicación de la Historia de Usuario (HU) a través del aplicativo Aranda. (25%)Entregable 2.1: Evidencia de pruebas funcionales realizada en la plantilla de pruebas enviada a través de correo electrónico a TI con el respectivo visto bueno de la Subdirectora de Experiencia de Negocio. (25%)Medición: El objetivo se cumple al 100 % con la ejecución de la totalidad de las actividades planteadas. El resultado final será el equivalente a las actividades realizadas.Los entregables se encontrarán en la siguiente ruta:P:\Objetivos\2025\Dirección de Experiencia\Maria Paula Camargo Perez</t>
  </si>
  <si>
    <t>Implementación de archivos en la SFTP</t>
  </si>
  <si>
    <t>Al 31 de diciembre de 2025, habilitar los archivos de los anexos 5, 7 y 7A, así como la base de Clientes Preferentes en el canal SFTP, para facilitar el acceso de los Intermediarios Financieros a la información necesaria para la conciliación y los procesos operativos, garantizando la correcta socialización y pruebas previas.Actividad 1: Anexo 5, 7 y 7A. (Peso: 50%)Habilitar los archivos de los anexos 5, 7 y 7A en el canal SFTP, construir y presentar la propuesta de historia de usuario a la Dirección de Soluciones y Soporte para su radicación, realizar pruebas de la información revisando que cada campo corresponda a la estructura del anexo y finalmente remitir la información a la Dirección de Estrategia Comercial para su socialización.Entregable 1: Correo electrónico dirigido a la Dirección de Soluciones y Soporte Comercial con la propuesta de historia de usuario a radicar en Aranda. (20%)Entregable 1.1: Correo electrónico dirigido a TI con la evidencia de las pruebas realizadas. (20%)Entregable 1.2: Correo electrónico dirigido a la Dirección de Estrategia Comercial indicando la finalización del requerimiento para la socialización con los Intermediarios Financieros que correspondan. (10%)Actividad 2: Clientes preferentes (Peso: 50%)Habilitar la base de Clientes Preferentes en el canal SFTP, construir y radicar la historia de usuario correspondiente y realizar las respectivas pruebas.Entregable 2: Correo electrónico con la historia de usuario radicada en aplicativo Aranda. (30%)Entregable 2.1: Correo electrónico dirigido a TI con la evidencia de las pruebas realizadas. (20%)Medición: El objetivo se cumple al 100 % con la ejecución de la totalidad de las actividades planteadas. El resultado final será el equivalente a las actividades realizadas.Los entregables se encontrarán en la siguiente ruta:P:\Objetivos\2025\Dirección de Experiencia\Maria Paula Camargo Perez</t>
  </si>
  <si>
    <t xml:space="preserve">Circulares en el portal transaccional </t>
  </si>
  <si>
    <t>Al 31 de diciembre de 2025, depurar las circulares CNE y CIE, modificar los filtros en la sección de circulares en el Portal Transaccional para mejorar la experiencia del usuario (UX), y actualizar la información en la tabla de CNE y CIE para asegurar la coincidencia con el contenido de las circulares correspondientes.Actividad 1: Depuración de las CNE y CIE. (Peso 40%)Consolidar la base total de circulares CNE y CIE e identificar aquellas que deben mantenerse vigentes o ser derogadas. Esta base será remitida a la Subdirectora de Experiencia de Negocio para su revisión inicial. Posteriormente, se realizarán mesas de trabajo con los grupos de valor (cliente interno) para validar y confirmar la depuración propuesta, y finalmente remitir la circular informativa con la derogación de las circulares.Entregable 1: Correo electrónico enviado a la Subdirectora de Experiencia de Negocio con la base de datos consolidada de circulares susceptibles de derogación, junto con el acta de derogación firmada por los involucrados. Será válido con el visto bueno. (20%)Entregable 1.1: Envío de la circular a través de mailing a los Intermediarios Financieros informando el resultado de la derogación. (20%)Actividad 2: Modificación de filtros de búsqueda para mejorar la experiencia de usuario (UX). (Peso 30%)Diseñar y radicar una historia de usuario (HU) que contemple la modificación de los filtros de búsqueda de circulares en el portal transaccional, y realizar las pruebas necesarias para validar su funcionalidad.Entregable 2. Historia de usuario (HU) radicada en el aplicativo Aranda. (20%)Entregable 2.1 Evidencia de pruebas funcionales realizadas en la plantilla de pruebas, remitido a TI a través de correo electrónico con el visto bueno de la Subdirectora de Experiencia de Negocio. (10%)Actividad 3: Actualización de la información en la tabla de CNE y CIE en el portal transaccional. (Peso 30%)Actualizar la información que contiene tabla de circulares CNE y CIE publicada en el portal transaccional, garantizando que refleje correctamente la información de cada circular, y coordinar con la Dirección de Marca Institucional la publicación de los cambios.Entregable 3. Envío de la base de datos actualizada con la información de las circulares mediante correo electrónico a la subdirectora de experiencia de negocio. (10%)Entregable 3.1. Evidencia de pruebas de completitud de las tablas de circulares, remitido a la Subdirectora de Experiencia de Negocio con el respectivo visto bueno. (20%)Medición: El objetivo se cumple al 100 % con la ejecución de la totalidad de las actividades planteadas. El resultado final será el equivalente a las actividades realizadas.Los entregables se encontrarán en la siguiente ruta:P:\Objetivos\2025\Dirección de Experiencia\Maria Paula Camargo Perez</t>
  </si>
  <si>
    <t>Al 31 de diciembre de 2025, implementar el desarrollo y puesta en marcha de 10 tableros en la herramienta PowerBI para el seguimiento en tiempo real de los indicadores, donde se aprecien las encuestas de resultados de: 1) Territorial, 2) Fondos Regionales, 3) Dirección General, 4) Canal Presencial, 5) Portal Transaccional, 6) DeMente Empresarial, 7) Vinculación Nuevos IF, 8). Certificación de Calidad, 9). Aseguramiento de Calidad, 10) Renovación Certificación de Calidad.&amp;nbsp;&amp;nbsp;Actividad 1: Implementar un sistema automatizado a través de tableros dinamicos para el envío periódico de encuestas de atención comercial y generar informe sobre su implementación y mejora de experiencia.Entregable 1: Tableros automatizados en la herramienta power BI (70%)Actividad 2: Definir una propuesta que permita trabajar en alternativas de solución basados en los resultados de las encuestasEntregable 2: Correo electrónico con la presentación de la propuesta aprobado por la Directora de Experiencia (30%)Medición: El objetivo se cumple al 100 % con la ejecución de la totalidad de las actividades planteadas. El resultado final será el equivalente a las actividades realizadas.Los entregables se encontrarán en la siguiente ruta:P:\Objetivos\2025\Dirección de Experiencia\Maria Paula Camargo Perez</t>
  </si>
  <si>
    <t>52526729</t>
  </si>
  <si>
    <t>Maria Teresa Hernandez Niño</t>
  </si>
  <si>
    <t>Gerente de Cuenta Senior Fondos Regionales</t>
  </si>
  <si>
    <t>Correo de Seguimiento a FRG´s</t>
  </si>
  <si>
    <t>Realizar 12 seguimientos anuales (de forma mensual) de los indicadores definidos para los Fondos Asignados (3 FRG)&amp;nbsp;y dejar como evidencia un correo a la subdirectora de Fondos Regionales que soporte los seguimientos y los compromisos establecidos en el año. Mínimo 10 informes. Calificación equitativa entre 10 y 12&amp;nbsp;(Donde hacer menos de 10 es 0%,&amp;nbsp;10 seguimientos dan 83,33%, 11 seguimientos dan una calificación de 91,66%&amp;nbsp;y 12 otorga 100%)</t>
  </si>
  <si>
    <t>Lograr a 31 de diciembre de 2025 un total de 102 eventos Regionales&amp;nbsp;en los territorios segun los Fondos Asignados&amp;nbsp;(3 Fondos Regionales)Calificación proporcional entre&amp;nbsp;97 y 102&amp;nbsp;&amp;nbsp;(Donde menos a 97&amp;nbsp;es 0 puntos y 102 es 100 puntos)La fórmula de medición del Rango: = (Resultado Indicador – Cumplimiento Mínimo) / (Meta – Cumplimiento Mínimo) x 100.</t>
  </si>
  <si>
    <t xml:space="preserve">Movilización Garantía Global </t>
  </si>
  <si>
    <t>Lograr a 31 de diciembre de 2025 una movilización de créditos con el producto de Garantía Global por valor de $500.000 millones. Calificación proporcional entre $400.000 millones y $500.000 millones. *(Donde menor a $400.000 millones es 0 puntos y 500.000 millones es 100) La fórmula de medición del Rango: = (Resultado Indicador – Cumplimiento Mínimo) / (Meta – Cumplimiento Mínimo) x 100.</t>
  </si>
  <si>
    <t xml:space="preserve">Vinculaciones de Global </t>
  </si>
  <si>
    <t>Lograr que cada Regional del FNG vincule al menos 2 entidades para el producto de Garantía Global en el año 2025, la meta será 16 entidades vinculadas (2 por cada región).Donde 16 corresponde a 100%, - 15 corresponde al 93,8% - 14 corresponde a 87,5% y 13 corresponde a&amp;nbsp;81,3% donde menos a 13 corresponderá al 0% del cumplimiento del objetivo.Nota: Es de aclarar si un fondo hace más vinculaciones de las establecidas, no contaran más de 2 por regional para el objetivo.</t>
  </si>
  <si>
    <t>Diseñar e implementar una estrategia durante el año 2025 en las regiones, que propicie el incremento en la movilización del producto de "Garantía Global".La estrategia estará basada en la realización de sesiones grupales de capacitación del producto a la Fuerza Comercial Regional.*Primer entregable Q2 (Correo al jefe inmediato con el avance de los territorios capacitados en el Q2 (3 Regionales), Peso = 20%*Segundo entregable Q3 (Correo al jefe inmediato con el avance de los territorios capacitados en el Q2 (5 Regionales), Peso = 40%*Tercer entregable Q4 (Correo al jefe inmediato con el informe final de la estrategia y sus resultados al final del Q4), Peso = 40%</t>
  </si>
  <si>
    <t>1019091260</t>
  </si>
  <si>
    <t>Marielena Rojas Vacca</t>
  </si>
  <si>
    <t>En el marco del PAI 2025, y con el propósito de abordar el Objetivo Estratégico 3: Fortalecer la gestión y administración integral del riesgo para generar un adecuado ambiente de control, y a su vez, contribuir a la estrategia 3.1: Consolidar la gestión integral de Riesgos en cuanto a la apuesta estratégica " Aplicación de modelos prospectivos transversales a los sistemas de riesgos", la Dirección de Riesgo de Garantías establece el siguiente objetivo:Diseñar y presentar al Comité SIAR, antes del 31 de diciembre de 2025, un modelo actualizado del Valor Máximo Discrecional (VMD) empresarial para intermediarios vigilados por la Superintendencia Financiera de Colombia, que incluya un componente prospectivo basado en variables macroeconómicas y tendencias sectoriales, con el fin de fortalecer la evaluación del Indicador Financiero (IF). Este objetivo impacta el Indicador: Modelo ActualizadoEntrega Q2: Entrega de la base al área de Modelos Técnicos los insumos para la construcción de los indicadores que se evalúan actualmente en el modelo. Peso: 15%Socialización a través de reunión Teams con el equipo de Modelos Técnicos para el entendimiento del modelo VMD Vigilado Actual (Grabación Reunión). Peso: 15%Entrega Q3: Script de Python con ajustes metodológicos. Peso: 30%Entrega Q4: Ajuste del modelo Actual con el componente prospectivo en archivo Excel. Peso: 15% Presentación de la propuesta al comité SIAR. Peso: 25%.</t>
  </si>
  <si>
    <t>Modelo SARO</t>
  </si>
  <si>
    <t>En el marco del PAI 2025, y con el propósito de abordar el Objetivo Estratégico 5: Promover el mejoramiento continuo a través del Sistema de Gestión Integral del FNG, y a su vez, contribuir a la estrategia 5.2: Búsqueda de mejores prácticas de gestión y cumplimiento normativo en cuanto a la apuesta estratégica " Fortalecimiento de los componentes asociados a los controles de la matriz de riesgos y controles de la entidad", la Dirección de Riesgo de Garantías establece el siguiente objetivo:Diseñar e implementar una solución integral que incluya (i) una base de datos en SQL Server para consolidar y actualizar información sobre riesgos operativos del FNG proveniente de matrices en Excel y fuentes externas, con seguimiento mediante registros de cambios filtrables por código, fecha o área, y (ii) un tablero interactivo en Tableau conectado a esta base, que permita visualizar la información con filtros por área, fecha, riesgos y controles, y genere visuales tipo semáforo por niveles de criticidad.Entrega Q2: Plan de trabajo. Diagnóstico y análisis de histórico de matrices de la 1 al 49. Script en Python para carga automática desde matrices consolidadas a una estructura de tabla en Excel. Peso: 40%Entrega Q3: Tabla en SQL Server con datos cargados. Reporte con ejemplos de consultas por código, área o fecha. Peso:50%Entrega Q4: Diseño del mockup del tablero con filtros definidos. Tablero en Tableau con semáforo por criticidad y filtros operativos. Peso: 10%</t>
  </si>
  <si>
    <t>Subdirector de Contabilidad y Presupuesto</t>
  </si>
  <si>
    <t>Presentar&amp;nbsp;los informes a la CGN de los cortes de marzo, junio y septiembre de 2025 un día antes del vencimiento establecido, de acuerdo con la normatividad aplicable.&amp;nbsp;Indicador o fórmula de medición: (Cantidad de informes reportados dentro de las fechas establecidas / Total de reportes en el año).Entregables: Se evaluará por cada trimestre con el cumplimiento del Calendario Financiero 2025.Evidencia:P:\Objetivos\2025\Dirección de Contabilidad y Presupuesto\Marilyn del Carmen Avendaño Armenta</t>
  </si>
  <si>
    <t>Realizar mensualmente la conciliación contable vs presupuesto y el informe de ejecución presupuestal, el día de la transmisión del respectivo corte a la SFC, desde el corte del mes de mayo hasta el corte del mes de noviembre de 2025.Indicador o Formula de medición: Cantidad de informes remitidos dentro de las fechas establecidas / Total de informes del año.Entregable: Correos remitidos al Vicepresidente Financiero con indicación de la ruta de los informes.Evidencia:P:\Objetivos\2025\Dirección de Contabilidad y Presupuesto\Marilyn del Carmen Avendaño Armenta</t>
  </si>
  <si>
    <t>A 31 diciembre de 2025 lograr como mínimo el cumplimiento del 90% de las acciones formuladas durante la vigencia en los planes de acción y mejoramiento relacionados con las auditorias realizadas por la OCI, SFC, Revisoria Fiscal y CGR en las actividades relacionadas con la Dirección de Contabilidad y Presupuesto.Indicador o Formula de Medición: Cantidad de actividades de planes de mejoramiento cumplidas (# acciones ejecutadas) / # total de acciones incluidas en los planes a ser ejecutados al 31/12/2025.Entregables: Correo electrónico enviado en el cual se informe a la Oficina de control Interno - OCI el cumplimiento de las acciones, la modificación de fechas o entregables acordados, a este correo deben adjuntarse los soportes de evidencias que correspondan en cada caso.Evidencia:P:\Objetivos\2025\Dirección de Contabilidad y Presupuesto\Marilyn del Carmen Avendaño Armenta</t>
  </si>
  <si>
    <t>Realizar el cierre y la transmisión del PUC financiero mensual a la SFC un día hábil antes del vencimiento del plazo formal para transmitir, iniciando con la transmisión a realizarse en el mes de enero de 2025 hasta la transmisión a realizarse en el mes de diciembre de 2025.Indicador o Formula de Medición: (Cantidad de informes reportados con un día de antelación al vencimiento legal / Total de reportes en el año).Entregable: Se evaluará por cada mes con el cumplimiento del Calendario Financiero 2025.Evidencia:P:\Objetivos\2025\Dirección de Contabilidad y Presupuesto\Marilyn del Carmen Avendaño Armenta</t>
  </si>
  <si>
    <t>Realizar el envío de la información con destino a Grupo Bicentenario un día antes de las fechas establecidas en la "Circular 01_Cierres Trimestrales 2025", esto para los trimestres 2 y 3 del año 2025..Indicador o fórmula de medición:• Informe con corte a junio 2025.&amp;nbsp;&amp;nbsp;&amp;nbsp;&amp;nbsp;&amp;nbsp;&amp;nbsp;&amp;nbsp;&amp;nbsp;&amp;nbsp;&amp;nbsp;&amp;nbsp;&amp;nbsp;&amp;nbsp;&amp;nbsp;&amp;nbsp;&amp;nbsp;&amp;nbsp;&amp;nbsp;&amp;nbsp;&amp;nbsp;&amp;nbsp;50%• Informe con corte a septiembre 2025.&amp;nbsp;&amp;nbsp;&amp;nbsp;&amp;nbsp;&amp;nbsp;&amp;nbsp;&amp;nbsp;&amp;nbsp;&amp;nbsp;&amp;nbsp;&amp;nbsp;50%&amp;nbsp;Entregables:Correos electrónicos remitidos a la administración de Grupo Bicentenario con la información solicitada.Evidencia:P:\Objetivos\2025\Dirección de Contabilidad y Presupuesto\Marilyn del Carmen Avendaño Armenta</t>
  </si>
  <si>
    <t>Al 31 de diciembre de 2025 realizar las etapas requeridas del área de Contabilidad, para la implementación del módulo de activos fijos.&amp;nbsp;Indicador o Formula de medición:• Documento con la definición de reglas de negocio (Bussines Blue Print) 31 de agosto 30%• Definición de datos contables maestros 31 de diciembre 30%• Informe de ejecución de pruebas 31 de diciembre 40%Entregables:• Correo electrónico remitido al Vicepresidente Financiero con el Informe definición de reglas de negocio (Bussines Blue Print) 31 de Agosto 30%• Correo electrónico remitido al Vicepresidente Financiero con el informe de definición de datos contables maestros 31 de diciembre. 30%• Correo electrónico remitido al Vicepresidente Financiero con el Informe de ejecución de pruebas. 31 de diciembre 40%Evidencia:P:\Objetivos\2025\Dirección de Contabilidad y Presupuesto\Marilyn del Carmen Avendaño Armenta</t>
  </si>
  <si>
    <t>Diseñar un informe del presupuesto ejecutado de los contratos que se encuentran en el Plan Anual de Adquisiciones, para los cortes de julio, septiembre y noviembre de 2025, hasta el último día hábil del mes siguiente al corte.Indicador o Formula&amp;nbsp;de medición:•Modelo del diseño del informe de presupuesto de ejecución contractual&amp;nbsp;de los contratos del PAA Julio de 2025:&amp;nbsp;25%• Generación de primer informe de prueba Agosto 2025:&amp;nbsp;&amp;nbsp;&amp;nbsp;&amp;nbsp;25%• Envío informe con corte a septiembre 2025 hasta el 31 de octubre:&amp;nbsp;25%• Envío informe con corte a noviembre 2025 hasta el 31 de diciembre:&amp;nbsp;25%&amp;nbsp;Entregable:•Correo remitido al Vicepresidente Financiero con el Modelo del diseño del informe de presupuesto de ejecución contractual&amp;nbsp;de los contratos del PAA Julio de 2025:&amp;nbsp;25%• Correo remitido al Vicepresidente Financiera con el primer informe de prueba Agosto 2025:&amp;nbsp;&amp;nbsp;&amp;nbsp;&amp;nbsp;25%• Correo remitido a las áreas con el envío del informe con corte a septiembre 2025 hasta el 31 de octubre:&amp;nbsp;25%•&amp;nbsp;Correo remitido a las áreas con el envío del informe con corte a noviembre 2025 hasta el 31 de diciembre:&amp;nbsp;25%&amp;nbsp;Evidencia:P:\Objetivos\2025\Dirección de Contabilidad y Presupuesto\Marilyn del Carmen Avendaño Armenta</t>
  </si>
  <si>
    <t>79413200</t>
  </si>
  <si>
    <t>Martin Francisco Ospina Niño</t>
  </si>
  <si>
    <t>Fortalecer a nivel estratégico, las competencias de gerentes y líderes funcionales en formulación, estructuración y seguimiento de planes y proyectos</t>
  </si>
  <si>
    <t>Descripción del objetivo:Lograr a más tardar el 30-12-2025 el fortalecimiento de las competencias para la formulación, estructuración, control y seguimiento de proyectos e iniciativas dirigido a todos los gerentes y líderes funcionales mediante sesiones virtuales o presenciales y material tutorial con el fin de fortalecer la cultura organizacional en la gestión de proyectos, asegurando el cumplimiento del 100 % de las actividades necesarias que se describen a continuación.Indicador: Su evaluación será proporcional a la suma de los porcentajes relacionados a cada entregable completado a satisfacción.Actividades:1. Diseñar, organizar y dictar el curso práctico de estructuración de planes y proyectos: Peso 50 % – Entrega Q3-20252. Elaborar informe que recopile la asistencia a la capacitación a los procesos de formulación y estructuración de Proyectos e Iniciativas: Peso 20 % – Entrega Q4-20253. Exponer el material tutorial explicativo (enlace accesible para todos los Gerentes y Líderes): Peso 30% – Entrega Q4-2025Entregables: Informe de avance de las actividades relacionadas para entrega en Q4, formalizado mediante correo electrónico al Subdirector de Planeación Estratégica y Gestión de Procesos.El objetivo esta alineado a la apuesta estratégica del PAI: Fortalecimiento de la Metodología para la gestión de proyectos.Ubicación: P:\Objetivos\2025\Dirección de Planeación y Gestión Integral\Martin Francisco Ospina Niño</t>
  </si>
  <si>
    <t>Socialización de funcionalidades del módulo “Proyectos e iniciativas”de Isotools</t>
  </si>
  <si>
    <t>Descripción del objetivo:Lograr a más tardar el 30-09-2025, la socialización y capacitación sobre el módulo Proyectos e iniciativas de Isotools para todos los gerentes y líderes funcionales, mediante sesiones virtuales en Microsoft Teams y la difusión de un video o infografía explicativa, dejando evidencias de participación y acceso a los materiales, cumpliendo el 100 % de las actividades necesarias que se describen a continuación.Indicador: Su evaluación será proporcional a la suma de los porcentajes relacionados a cada entregable completado a satisfacciónActividades:1. Gestionar material visual de socialización (Video o infografía): Peso 40 % – Entrega Q3-20252. Convocar a los Gerentes y Líderes Funcionales y ejecutar las sesiones virtual en Teams: Peso 20 % – Entrega Q3-20253. Difundir el material&amp;nbsp;tutorial explicativo (enlace accesible para todos los líderes): Peso 20 % – Entrega Q3-20254. Elaborar informe que recopile la socialización a los procesos sobre el módulo Proyectos e iniciativas de Isotools: Peso 20 % – Entrega Q3-2025Entregable: Informe de avance de las actividades relacionadas para entrega en Q3, formalizado mediante correo electrónico al Subdirector de Planeación Estratégica y Gestión de Procesos.El objetivo esta alineado a la apuesta estratégica del PAI: Fortalecimiento de la Metodología para la gestión de proyectosUbicación: P:\Objetivos\2025\Dirección de Planeación y Gestión Integral\Martin Francisco Ospina Niño</t>
  </si>
  <si>
    <t>Migrar, centralizar y estructurar las apuestas estratégicas del PAI 2025 en Isotools</t>
  </si>
  <si>
    <t>Descripción del objetivo:Lograr a más tardar el 30-09-2025, la migración completa de las apuestas estratégicas del PAI 2025 a Isotools, clasificación de la información de la ficha plan o proyecto, inclusión de actividades, validación y ajustes de la estructuración y puesta en producción del módulo de Gestión de proyectos e iniciativas, asegurando el cumplimiento del 100 % de las actividades descritas a continuación:Indicador: Su evaluación será proporcional a la suma de los porcentajes relacionados a cada entregable completado a satisfacciónActividades:1. Inventario y alistamiento de la información de las apuestas estratégicas del PAI 2025 a migrar: Peso 10 % – Entrega Q3-20252. Ejecutar migración del 100 % de las apuestas estratégicas: Peso 40 % – Entrega Q3-20253. Validar funcionamiento del módulo de Gestión de proyectos e iniciativas y realizar ajustes de estructuración en Isotoola: Peso 30 % – Entrega Q3-20254. Informar la puesta en producción del módulo Gestor de Proyectos: Peso 20 % – Entrega Q3-2025Entregable: Informe de avance de las actividades de la migración y estructuración de las apuestas estratégicas del PAI 2025 en Isotools relacionadas para entrega en Q3, formalizado mediante correo electrónico al Subdirector de Planeación Estratégica y Gestión de Procesos.El objetivo esta alineado a la apuesta estratégica del PAI: Fortalecimiento de la Metodología para la gestión de proyectosUbicación: P:\Objetivos\2025\Dirección de Planeación y Gestión Integral\Martin Francisco Ospina Niño</t>
  </si>
  <si>
    <t>Articulación de Isotools con la metodología de planes y proyectos con Isotools</t>
  </si>
  <si>
    <t>Descripción del Objetivo:Lograr a más tardar el 30-12-2025, la actualización y publicación del Manual de Planes y Proyectos del FNG, incorporando las funcionalidades del módulo “Proyectos e Iniciativas” de Isotools para orientar a gerentes y líderes funcionales en la estructuración de las apuestas estratégicas, cargue de avances y evidencias, asegurando el cumplimiento del 100 % de las actividades que se describen a continuación.Indicador: Su evaluación será proporcional a la suma de los porcentajes relacionados a cada entregable completado a satisfacciónActividades:1. Actualizar las funcionalidades del módulo de proyectos e iniciativas en el manual de Planes y Proyectos del FNG: Peso 50 % – Entrega Q4-20252. Publicar el manual en Isotools y notificar a los Gerentes y Líderes Funcionales: Peso 50 % – Entrega Q4-2025Entregables: Informe de avance de las actividades relacionadas para entrega en Q4, formalizado mediante correo electrónico al Subdirector de Planeación Estratégica y Gestión de Procesos.El objetivo esta alineado a la apuesta estratégica del PAI: Fortalecimiento de la Metodología para la gestión de proyectosUbicación: P:\Objetivos\2025\Dirección de Planeación y Gestión Integral\Martin Francisco Ospina Niño</t>
  </si>
  <si>
    <t>1022977661</t>
  </si>
  <si>
    <t>Maryi Lorena Torres Rivera</t>
  </si>
  <si>
    <t>Especialista de Intermediarios Financieros</t>
  </si>
  <si>
    <t>Objetivo: FASE I Mejoras al ciclo operativo de la garantía: A 31 de diciembre de 2025 cumplir con las actividades definidas para la FASE I del plan de mejoras al ciclo operativo de la garantía para las cooperativas.Frecuencia: AnualIndicador: A 31 de diciembre de 2025 cumplir con las actividades definidas para la FASE I del plan de mejoras al ciclo operativo de la garantía para las cooperativas. El objetivo se cumple al 100% con la ejecución de todas las actividades. El resultado final corresponderá a la suma de los porcentajes de cumplimiento de cada actividad ejecutada y debidamente soportada, las cuales corresponden a las siguientes:1.&amp;nbsp;&amp;nbsp;&amp;nbsp;&amp;nbsp;&amp;nbsp;Definición de las actividades a realizar para el plan de mejoras dentro de los 10 días hábiles siguientes a la terminación del Q2. (Peso 20%) Entregable: Presentación enviada y aprobada por correo electrónico a la Vicepresidente Comercial con la definición de las actividades.2.&amp;nbsp;&amp;nbsp;&amp;nbsp;&amp;nbsp;&amp;nbsp;Ejecución de las actividades definidas al Q4. Se medirá de la siguiente manera:&amp;nbsp;(# de actividades ejecutadas / # total de actividades definidas)*100 (Peso 80%) Entregable: Informe presentado y aprobado a la Vicepresidente comercial dentro de los 10 días hábiles siguientes a la terminación del Q4.Fecha inicio - Fin: 01-01-2025 / 31-12-2025Entregables: Definición de las actividades a realizar para el plan de mejoras dentro de los 10 días hábiles siguientes a la terminación del Q2. (Peso 20%) Entregable: Presentación enviada y aprobada por correo electrónico a la Vicepresidente Comercial con la definición de las actividades.Ejecución de las actividades definidas al Q4. Se medirá de la siguiente manera:&amp;nbsp;(# de actividades ejecutadas / # total de actividades definidas)*100 (Peso 80%) Entregable: Informe presentado y aprobado a la Vicepresidente comercial dentro de los 10 días hábiles siguientes a la terminación del Q4. Ruta de los entregables: P:\Objetivos\2025\Dirección de Soluciones y Soporte Comercial\Maryi Lorena Torres Rivera</t>
  </si>
  <si>
    <t>Calidad en las respuestas de PQRFSD del Grupo de Intermediarios</t>
  </si>
  <si>
    <t>Objetivo: Promedio del resultado de los meses evaluados (resultado anual del indicador "calidad en las respuestas de PQRFSD del Grupo de Intermediarios")Frecuencia monitoreo: AnualIndicador o formula con la que se va a realizar la medición: Promedio del resultado de los meses evaluados indicador "calidad en las respuestas de PQRFSD del Grupo de intermediarios financieros"Si el resultado es entre 85% y 100%: la calificación será 100 puntosSi el indicador es menor al 85%&amp;nbsp;se medirá de la siguiente forma: (indicador /85)*100Nota: el resultado del año, se obtiene sobre el promedio de los meses medidos en el año 2025.Fecha Inicio-fin: 01-04-25 al 31-12-25Entregables: Promedio del año del indicador "calidad en las respuestas de PQRFSD del Grupo de intermediarios financieros remitido por el especialista de calidad"Nota: el resultado del año, se obtiene sobre el promedio de los meses medidos en Isolucion en 2025.Ruta P:\Objetivos\2025\Dirección de Soluciones y Soporte Comercial\Maryi Lorena Torres Rivera</t>
  </si>
  <si>
    <t>Fortalecimiento del conocimiento de intermediarios financieros a través de capacitaciones</t>
  </si>
  <si>
    <t>Objetivo: Fortalecer las capacidades de los intermediarios financieros en la gestión de garantías, asegurando la correcta aplicación de la normativa vigente, a través de la realización de 100 sesiones virtuales y presenciales de capacitación y asesoramiento personalizado durante el año 2025.Frecuencia del Monitoreo: AnualIndicador o formula con la que se va a realizar la medición:La fórmula a utilizar la siguiente:Si el resultado es entre 90 y 100 sesiones: la calificación será 100 puntosSi las sesiones son menores a 90 se medirá de la siguiente forma: (No. De sesiones realizadas /90)*100Fecha inicio-fin: 01-01-2025 / 31-12-2025Entregables: Informe de las sesiones realizadas con los intermediarios, enviado y aprobado vía correo electrónico a la Subdirectora y/o&amp;nbsp;Directora de soluciones y soporte comercial a los 10 días hábiles siguientes de finalizado el Q2 y Q3 con los avances y Q4 los resultados de cierre.Ruta: P:\Objetivos\2025\Dirección de Soluciones y Soporte Comercial\Maryi Lorena Torres Rivera</t>
  </si>
  <si>
    <t>Disminuir tiempo de respuesta de casos excepcionales</t>
  </si>
  <si>
    <t>Objetivo: Lograr la disminución en el tiempo de respuesta de quince (15) días hábiles a diez (10) días hábiles, en el 50% de los casos excepcionales radicados por el portal transaccional gestionados por el equipo de intermediarios Financieros.Frecuenta de monitoreo: AnualIndicador o formula con la que se va a realizar la medición: La fórmula a utilizar es la siguiente: No. De casos atendidos dentro de los 10 días hábiles / total de casos atendidos al mes.Fecha inicio-fin: 01-06-2025 / 31-12-2025	Entregables: Q3 y Q4: Informe CRM con la medición del Q, revisado y aprobado por correo electrónico por parte de la Directora de Soluciones y Soporte Comercial y/o Subdirectora de Soluciones y Soporte Comercial dentro los 10 días hábiles siguientes a la terminación de cada QRuta: P:\Objetivos\2025\Dirección de Soluciones y Soporte Comercial\Maryi Lorena Torres Rivera</t>
  </si>
  <si>
    <t>Resolver oportunamente el 100% de los casos de PQRS atendidos en el 2025 en la entidad, de conformidad con los plazos legales.&amp;nbsp;Mínimo el 98% donde menos de 98% obtendrá un puntaje de 0. Se medirá de acuerdo a la tabla equitativa: Donde al sacar un puntaje del 98% el puntaje será 98% y así hasta llegar a 100%.Frecuencia del Monitoreo: AnualIndicador o fórmula de medición: La Tabla equivalente respecto al resultado anual del indicador de nivel de oportunidad en las respuestas a PQRS.Mínimo el 98% donde menos de 98% obtendrá un puntaje de 0. Se medirá de acuerdo a la tabla equitativa: Donde al sacar un puntaje del 98% el puntaje será 98% y así hasta llegar a 100%.Nota: el resultado del año, se obtiene sobre el promedio de los meses medidos en Isolucion en 2025.Fecha inicio-fin: 01-01-2025 / 31-12-2025Entregables:Reporte de indicador "Nivel de oportunidad en las respuestas a PQRS" mensual en IsoluciónNota: el resultado del año, se obtiene sobre el promedio de los meses medidos en Isolucion en 2025.Ruta: P:\Objetivos\2025\Dirección de Soluciones y Soporte Comercial\Maryi Lorena Torres Rivera</t>
  </si>
  <si>
    <t>Objetivo: Análisis de viabilidad de Centro de Experiencia Propio: Elaborar el estudio de factibilidad y viabilidad de contar con un Centro de Experiencia propio.Frecuencia: AnualIndicador: Elaborar el estudio de factibilidad y viabilidad de contar con un Centro de Experiencia propio, el cual contiene las siguientes fases y entregables:1. Diagnóstico del Centro de Experiencia actual y variables a considerar en el estudio de factibilidad, fecha entrega: 15/05/25.2. Un informe que contenga las necesidades de la organización, fecha entrega: 01/07/253. Estructuración del anexo técnico del Centro de experiencia, fecha entrega: 11/07/254. Elaboración de la matriz y análisis de riesgos,fecha entrega: 31/07/255. Estudio de Mercado para el Centro de Experiencia, fecha entrega: 15/08/25Los entregables del 1 al 5 tendrán un peso individual del 15% y los mismos deberán ser cargados en la carpeta P:\Gestion Estratégica, dentro de los tiempos estipulados en la ficha.Nota: Si se presenta retraso en el cargue de los entregables se realizará una penalización del 1% por día de retraso.Informe final de Viabilidad del Centro de Experiencia Propio. Entregable: Número de Acta Comité Directivo en el que se presentó el Informe final de Viabilidad del Centro de Experiencia Propio, presentado a Comité Directivo a más tardar el 15 de septiembre de 2025La suma de los entregables del 1 al 5 suman 75% y el informe final tiene un peso del 25% lo que equivale al 100% del objetivo.Fecha inicio - Fin: 01-05-2025 / 15-09-2025Entregables: Entregables:&amp;nbsp;1. Diagnóstico del Centro de Experiencia actual y variables a considerar en el estudio de factibilidad2. Un informe&amp;nbsp;que cotenga las necesidades de la organización&amp;nbsp;3. Estructuración del anexo técnico del Centro de Experiencia.4. Elaboración de la matriz y análisis de riesgos5. Estudio de Mercado para el CE del FNG.Informe final: Número de Acta Comité Directivo en el que se presentó el Informe final de Viabilidad del Centro de Experiencia Propio, presentado a Comité Directivo a más tardar el 15 de septiembre de 2025.Ruta de los entregables: P:\Objetivos\2025\Dirección de Soluciones y Soporte Comercial\Maryi Lorena Torres Rivera</t>
  </si>
  <si>
    <t>Subdirector de Programas Especiales</t>
  </si>
  <si>
    <t>DescripciónGestionar la suscricpión de quince (15) convenios u otrosíes de programas especiales.Indicador o Formula con la que se va a Realizar la MediciónNo. Convenios y otrosíes sucritos/15*100 Formula = convenio 1 + convenio 2 + convenio 3 + …......... + convenio 15Nota aclaratoria: La medición se realizará de acuerdo con tabla proporcional donde 1 es el 6,6% y 15 el 100%.&amp;nbsp;EvidenciaMinuta de Convenio u otrosí firmados</t>
  </si>
  <si>
    <t>Descripción A 31 de diciembre, realizar 300 gestiones iniciales de relacionamiento institucional con entes territoriales, organismos internacionales, entes institucionales y/o agremiaciones. Se entenderá por 'gestión inicial' cualquier acción formal de primer contacto orientada al establecimiento de relaciones de colaboración. La gestión inicial representa el 50% del objetivo. El otro 50% del objetivo corresponde a concretar al menos 120 acercamientos efectivos para la articulación de convenios. Un 'acercamiento para articulación' se definirá como cualquier acción formal que implique el envío de escenarios de colaboración orientados a la suscripción de un convenio, siempre que exista un interés previo manifestado por la contraparte luego de una gestión inicial.&amp;nbsp; &amp;nbsp;Indicador o Formula con la que se va a Realizar la Medición No de gestiones + No de acercamientos = 100% (No de Gestiones iniciales/300 * 50%) + (No de acercamientos/120 *50%)  Realizar 300 gestiones o más equivale al 100%, mínimo se deben realizar 240 gestiones; realizar menos de 240 se obtendrá un puntaje de 0. Se medirá de acuerdo a la tabla equitativa donde obtener un puntaje de 80 la calificación será de 80% y así hasta llegar a 100%   Realizar 120 acercamientos o más equivale al 100% mínimo se deben realizar 96 acercamientos; realizar menos de 96 acercamientos se obtendrá un puntaje de 0. Se medirá de acuerdo a la tabla equitativa donde obtener un puntaje de 80 la calificación será de 80% y así hasta llegar a 100% EvidenciaCorreo electrónico, mensajes whatsapp, reuniones virtuales y/o presenciales.</t>
  </si>
  <si>
    <t>DescripciónAsegurar el cumplimiento oportuno y completo de las obligaciones derivadas de los convenios vigentes en lo referente a la elaboración y envío de los informes, así como la programación de los comités técnicos de acuerdo con los plazos y condiciones establecidos en las respectivas minutas, mediante la articulación y&amp;nbsp;coordinación con las áreas responsables de suministrar los insumos técnicos, administrativos y financieros necesarios para su elaboración, con el propósito de garantizar el cumplimiento de los compromisos adquiridos por la entidad, optimizando los procesos de recopilación, validación y consolidación de la información dentro de los tiempos estipulados. **Prosperidad Social Nota: a la fecha existen 17 convenios vigentes de los cuales 13 informes se envían mensuales y 4 informes se envían trimestrales, la base de convenios vigentes se encontrará en la carpeta de objetivos Indicador o Formula con la que se va a Realizar la Medición Totalidad de informes enviados en el mes/totalidad de informes a enviar en el mesEvidencia﻿ Correo electrónico de la subdirectora y/o profesional con el envío del informe y/o Actas de comités al mandante</t>
  </si>
  <si>
    <t>Estrategia de relacionamiento territorial a través de gremios para la divulgación del portafolio de FNG</t>
  </si>
  <si>
    <t>DescripciónA corte de 31 de diciembre diseñar e implementar planes de trabajo estratégicos con al menos el 80% de los gremios territoriales (Fededepartamentos, Fedemunicipios, Asocapitales, Asodamas y Asointermedias) con el propósito de establecer mecanismos de articulación institucional que faciliten la divulgación del portafolio de servicios y programas del FNG.&amp;nbsp; &amp;nbsp;Indicador o Formula con la que se va a Realizar la Medición No de planes de trabajo/ 5 EvidenciaCorreo electrónico de invitaciones a eventos, intercambio de información y/o plan de trabajo enviado al gremio territorial</t>
  </si>
  <si>
    <t>DescripciónA corte de 31 de diciembre realizar la revisión, validación y/o actualización de los procesos asociados a la subdirección de programas especiales con el fin de garantizar la vigencia, pertinencia y alineación de dichos procesos con los lineamientos institucionales, normativos y operativos vigentes.  Nota aclaratoria: A la fecha la subdirección de programas especiales cuenta con 8 procesos de acuerdo al correo enviado por la subdirección de planeación&amp;nbsp; &amp;nbsp;Indicador o Formula con la que se va a Realizar la Medición (No de procesos revisados validados y/o actualizados de la subdirección de programas especiales/ 8)*100 EvidenciaCorreo electrónico a la subdirección de planeación y procesos con la revisión y/o actualización documental de los procesos de la subdirección de programas especiales</t>
  </si>
  <si>
    <t>1030624761</t>
  </si>
  <si>
    <t>Merlin Angelyne Castro Gonzalez</t>
  </si>
  <si>
    <t>Profesional de Gestión Jurídica</t>
  </si>
  <si>
    <t>CUMPLIMIENTO DE LA GESTIÓN DOCUMENTAL DE LA DIRECCIÓN</t>
  </si>
  <si>
    <t>DESCRIPCIÓN DEL OBJETIVO: A 30 de noviembre de 2025, actualizar el 100% de los documentos asociados a la Subdirección de Cartera, según inventario entregado por la Dirección de Planeación y Gestión Integral, incluyendo aquellos documentos nuevos que se generen por las nuevas actividades y tareas del área.&amp;nbsp;EVIDENCIAS DEL CUMPLIMIENTO: Correo electrónico de la funcionaria líder de la Dirección de Planeación y Gestión Integral, donde confirme el porcentaje de documentos que se encuentran actualizados al 30 de noviembre de 2025.&amp;nbsp;EVALUACIÓN: El objetivo es calificable a partir del cumplimiento del 95% del inventario de documentos entregados para actualizar, donde el 94,99% da 0% y proporcional a partir del 95%.&amp;nbsp;</t>
  </si>
  <si>
    <t>A 31 de diciembre de 2025, realizar un diagnóstico general de la&amp;nbsp;gestión de cobranza de los 4 operadores de recuperación de cartera (FRG), con el fin de definir un plan de trabajo para consolidar una propuesta de un modelo de cobranza que tenga como propósito mejorar la experiencia y satisfacción de los deudores de la cartera especial en este proceso.EVIDENCIAS DE CUMPLIMIENTO:Este objetivo tendrá los siguientes hitos y entregables:a)&amp;nbsp;&amp;nbsp;&amp;nbsp;&amp;nbsp;&amp;nbsp;A 31 de Julio 2025, presentar al Comité de Recuperación de Cartera, el objetivo del proyecto y cronograma de actividades del plan de trabajo. Evidencia: Informe y cronograma. Peso: 20%b)&amp;nbsp;&amp;nbsp;&amp;nbsp;&amp;nbsp;A 31 de Agosto 2025, presentar un informe al Comité de Recuperación de Cartera sobre el primer avance del diagnóstico preliminar del modelo de cobranza actual de los FRG. Este informe debe contener como mínimo: Organigrama del equipo de trabajo de cada FRG, experiencia de los gestores, infraestructura y protocolos de cobranza actuales y estudio inicial de habilidades blandas de los gestores. Evidencia: Informe. Peso: 20%c)&amp;nbsp;&amp;nbsp;&amp;nbsp;&amp;nbsp;&amp;nbsp;A 30 de septiembre presentar un informe de avance del desarrollo del objetivo al Comité Directivo. Peso: 10%d)&amp;nbsp;&amp;nbsp;&amp;nbsp;&amp;nbsp;A 31 de octubre 2025, presentar un informe al Comité de Recuperación de Cartera que contenga una propuesta de la estandarización de los protocolos de atención en la cobranza determinados por el FNG. Evidencia: Informe. Peso: 20%e)&amp;nbsp;&amp;nbsp;&amp;nbsp;&amp;nbsp;&amp;nbsp;A 30 de noviembre presentar un informe de avance del desarrollo del objetivo al Comité Directivo. Peso: 10%f)&amp;nbsp;&amp;nbsp;&amp;nbsp;&amp;nbsp;&amp;nbsp;&amp;nbsp;&amp;nbsp;A 31 de diciembre 2025, socializar con los FRG los protocolos de cobranza estandarizados a través de capacitaciones a los gestores.&amp;nbsp;Evidencia: Actas de reunión. Peso: 20%ENTREGAGLE:&amp;nbsp;Actas de los comités de recuperación de cartera y directivo con la presentación de los informes propuestos, así como actas de reunión de la socialización de capacitaciones.EVALUACIÓN:&amp;nbsp;el porcentaje de cumplimiento del objetivo será la sumatoria del peso asignado a cada hito, que se cumpla al 100%.&amp;nbsp;</t>
  </si>
  <si>
    <t>IMPLEMENTACIÓN DE UN PLAN PILOTO DE CAPACITACIÓN INHOUSE PARA ASESORES DE SERVICIO EN RECUPERACIÓN DE CARTERA</t>
  </si>
  <si>
    <t>DESCRIPCIÓN DEL OBJETIVO: A 31 de diciembre de 2025, diseñar y ejecutar un plan piloto de capacitación inhouse dirigido a los asesores de servicio de los fondos regionales, con el objetivo de fortalecer habilidades en gestión de la experiencia del cliente, uso efectivo de los guiones y aplicación de las nuevas piezas de comunicación.EVIDENCIAS DEL CUMPLIMIENTO:a)&amp;nbsp;&amp;nbsp;&amp;nbsp;&amp;nbsp;&amp;nbsp;&amp;nbsp;Presentación del plan pedagógico del piloto de capacitación inhouse. 30 de agosto 2025. (30%). Entregable: Documento del plan pedagógico.b)&amp;nbsp;&amp;nbsp;&amp;nbsp;&amp;nbsp;&amp;nbsp;Desarrollo de contenidos: manuales, piezas de apoyo, materiales digitales.30 de septiembre 2025. (30%). Entregable: Piezas y contenidos listos para piloto.c)&amp;nbsp;&amp;nbsp;&amp;nbsp;&amp;nbsp;&amp;nbsp;&amp;nbsp;Ejecución del plan piloto de capacitación inhouse en al menos dos fondos regionales.30 de octubre 2025. (40%). Entregable: Reporte de resultados del piloto + actas de capacitación &amp;nbsp;EVALUACIÓN: El objetivo es calificable a partir del cumplimiento del 95% del inventario de documentos entregados para actualizar, donde el 94,99% da 0% y proporcional a partir del 95%.&amp;nbsp;</t>
  </si>
  <si>
    <t>DESCRIPCIÓN DEL OBJETIVO: Generar ingresos por concepto de recuperación y venta de cartera derivado del pago de garantías con recuperación de cartera por la suma de $88,642 millones, correspondiente al valor contemplado en el presupuesto de ingresos aprobado por Junta Directiva para el año 2025. (Este valor contempla ingresos derivados de la meta de recuperación de cartera asignada a los FRGs, reintegros y reactivaciones, recuperación por anexo 13 (IF), ingresos por ventas de cartera y compartición del precio de la enajenación de la cartera de los IF.)EVIDENCIAS DE CUMPLIMIENTO: Correo enviado por la Directora/Subdirectora de Cartera los primeros días del año 2026, informando los resultados definitivos de la recuperación de cartera durante la vigencia 2025.EVALUACIÓN: Se obtendrá calificación a partir del cumplimiento del 90% ($79,778 millones) de la meta: donde el 89,9% da 0% y proporcional entre el 90% y 100%.</t>
  </si>
  <si>
    <t>DESCRIPCIÓN DEL OBJETIVO: Al 31 de diciembre de 2025, la Dirección de Gestión y Recuperación de Cartera liderará la contratación de una firma especializada para lograr realizar un diagnóstico, reflexión estratégica y formulación de recomendaciones para optimizar, mejorar y modernizar la gestión de cobranza de la cartera del FNG derivada del pago de garantías, específicamente para la cartera que se encuentra a cargo de personas naturales y que registran bajos montos.EVIDENCIAS DE CUMPLIMIENTO: por cada hito cumplido se entregarán los siguientes documentos:Contratación ejecutada - Adjudicación y acta de inicio del contrato de diagnóstico (junio 2025). Entregable: Contrato Firmado. Peso: 30%Realización del diagnóstico al proceso de gestión de cobranza - Documento definitivo del diagnóstico e informe de recomendaciones para su mejoramiento y modernización, entregado por la firma especializada. Entregable: Acta de Comité de Recuperación de Cartera con fecha anterior o igual al 31/10/2025, donde quede plasmada la aprobación del informe entregado, por parte de sus miembros.&amp;nbsp;Peso: 40%A 31 de diciembre de 2025, diseñar y presentar al Comité de Recuperación de Cartera, un plan de trabajo para la implementación de mejoras y recomendaciones extraídas del documento entregado por la firma especializada.&amp;nbsp;&amp;nbsp;&amp;nbsp;&amp;nbsp;&amp;nbsp;Entregable: Acta de Comité de Recuperación de Cartera donde quede plasmado la aprobación del Plan de trabajo. Peso: 30%EVIDENCIAS DE CUMPLIMIENTO: Copia simple del contrato suscrito y su respectiva acta de inicio, documentos del diagnóstico y actas de los comités de recuperación de cartera con la presentación de los informes propuestos, donde quede plasmada la aprobación del Plan de trabajo.EVALUACIÓN: El porcentaje de cumplimiento del objetivo, será la sumatoria de los pesos que se han asignado a cada uno de los hitos cuando se cumplan al 100% con sus entregables.</t>
  </si>
  <si>
    <t>1110493130</t>
  </si>
  <si>
    <t>Michael Stiven Lopez Guzman</t>
  </si>
  <si>
    <t>Profesional Senior de Gestión Territorial</t>
  </si>
  <si>
    <t xml:space="preserve">Suscripción de Memorandos de Entendimientos y/o planes de trabajo </t>
  </si>
  <si>
    <t>Suscribir cinco (5) Memorandos de Entendimiento y/o planes de trabajo&amp;nbsp;con actores de las cadenas agroindustriales —como gremios, almacenes de equipos e insumos, entidades público-privadas, organizaciones de base y actores institucionales— que impulsen la generación de demanda (prospectos de personas interesadas en crédito) para ser presentados ante entidades del sistema financiero tradicional o originadores de crédito, antes del 30 de diciembre de 2025.  Indicador:  (Número de Memorandos de Entendimiento suscritos y/o planes de trabajo&amp;nbsp;/ 5) × 100 Suscripción de 1 Memorando y/o planes de trabajo : 20% de cumplimiento  Suscripción de 2 Memorandos y/o planes de trabajo : 40% de cumplimiento  Suscripción de 3 Memorandos y/o planes de trabajo : 60% de cumplimiento  Suscripción de 4 Memorandos y/o planes de trabajo : 80% de cumplimiento  Suscripción de 5 Memorandos y/o planes de trabajo : 100% de cumplimiento Evidencia será:&amp;nbsp;Memorandos de Entendimiento suscritos debidamente firmados&amp;nbsp;y/o planes de trabajo aprobados por la Subdirección de Gestión Territorial y Agroindustrial y remitios&amp;nbsp;al Director de Microfinanzas y Programas Especiales</t>
  </si>
  <si>
    <t xml:space="preserve">Vinculación de  originadores de crédito no tradicional </t>
  </si>
  <si>
    <t>Vincular a tres (3) actores de la cadena agroindustrial que otorguen crédito que contribuyan en la movilización de garantías, con el apoyo de los Fondos Regionales de Garantías (FRG) y los equipos territoriales, antes del 30 de diciembre de 2025. Indicador:  (Número de actores vinculados / 3) × 100   Vinculación de 1 actor: 33% de cumplimiento  Vinculación de 2 actores: 66% de cumplimiento  Vinculación de 3 actores: 100% de cumplimiento Evidencia será:  Minutas suscritas que respalden la vinculación de los actores remitidas al correo electrónico al Director de Microfinanzas y Programas Especiales</t>
  </si>
  <si>
    <t>Implementar el procedimiento de generación de demanda dirigido a organizaciones de base y asociaciones de productores, con el fin de registrar 10.000 productores al cierre del año 2025.(P1 × 50%) + (P2 × 50%) Donde: P1 = Cumplimiento en la implementación del procedimiento50% si está implementado, 0% si no.P2 = Cumplimiento en el registro de productores:10.000 registros = 50%8.000 registros =40%6.000 registros =30%Menos de 6.000 = 0%La evidecia será:* P1:Procedimiento aprobado en Isolución* P2: Pantallazo de la pagina web del aliado&amp;nbsp;con el botón incorporado para su autogestión* Informe&amp;nbsp;de gestión de registros enviado via correo electronico al Director de microfinanzas y Programas Especiales remitido por el profesional y/o subdirector de Gestión Territorial y Agroindustrial</t>
  </si>
  <si>
    <t xml:space="preserve">Definir planes de trabajo con gremios, entidades publico/privadas y organizaciones sociales </t>
  </si>
  <si>
    <t>Acordar e implementar 8 (ocho) planes de trabajo con gremios, entidades público/privadas y organizaciones sociales que permitan la referenciación de potenciales clientes a la Dirección Comercial del Fondo Nacional de Garantías, que contribuyan a la movilización de&amp;nbsp;garantías destinadas para las actividades agropecuarias y agroindustriales.Indicador:   No Planes de trabajo implementados gremios, entidades publico/privadas y organizaciones sociales / 8*100  Formula= plan 1+ plan 2+ …....+ Plan 8=100% Donde cada plan tiene un puntaje 12,5%La evidencia será:Planes de trabajo aprobados por el Director de Microfinanzas y Programas Especiales, vía correo electrónico. Y su implementación será el&amp;nbsp;registro de actividades realizadas enviadas al Director de Microfinanzas y Programas Especiales</t>
  </si>
  <si>
    <t>Realizar veinte (20) reuniones con actores del ecosistema productivo —como asociaciones, cooperativas, entes territoriales departamentales y municipales (alcaldías y gobernaciones), cámaras de comercio, juntas de acción comunal y gremios— con el propósito de impulsar el esquema asociativo, antes del 30 de diciembre de 2025.   Indicador:  (Número de reuniones efectivamente realizadas / 20) × 100  Realización de 20 reuniones: 100% de cumplimiento  Realización de 15 reuniones: 75% de cumplimiento  Realización de 10 reuniones: 50% de cumplimiento  Realización de menos de 5 reuniones: 0% de cumplimiento La evidecia será:  Informes de las reuniones  Fotografías y listas de asistencia  Soporte documental de las reuniones realizadas  Registro en los planes de cuenta del CRM Nota: Las evidencias serán remitidas al correo electrónico Director de Microfinanzas y Programas Especiales</t>
  </si>
  <si>
    <t>Realizar dos (2) procesos de capacitación a los&amp;nbsp;Fondos Regionales de Garantías (FRG) antes del 30 de diciembre de 2025, enfocados en la estrategia de gestión territorial (generación de demanda) y en temas agroindustriales. &amp;nbsp; Nota: Total de Fondos Regionales 9Indicador: (N° de FRG capacitados con 2 procesos / 9) × 100  Escala de evaluación:  9 FRG capacitados (100%) → Cumplimiento total  Mínimo 7 FRG capacitados (≥77.7%) → 80% de cumplimiento  Menos de 7 FRG capacitados (&amp;lt;77.7%) → 0% de cumplimiento  La evidencia será:  Asistencia digital (formato de registro)  Copia o pantallazo del asistente de programación en Microsoft Teams  Correo electrónico de convocatoria o confirmación de participación</t>
  </si>
  <si>
    <t>1018463081</t>
  </si>
  <si>
    <t>Miguel Angel Jaramillo Quintero</t>
  </si>
  <si>
    <t>Diseñar e implementar un sistema que permita la automatización de los simuladores de comisión para todos los productos vigentes del FNG al 31 de diciembre de 2025, con el fin de reducir en al menos un 50% el tiempo de respuesta a las solicitudes realizadas por las diferentes áreas a nivel interno.Fórmula: Tiempo promedio de respuesta actual - Tiempo promedio de respuesta posterior a la implementación / Tiempo promedio de respuesta actual × 100Entregables: Macro en Excel como prototipo funcional del simulador automatizado y su correspondiente Manual de usuario. Estos entregables estarán ubicados en la carpeta en público que se disponga para ello.</t>
  </si>
  <si>
    <t>Investigar, diseñar, prototipar, y lanzar 3 productos nuevos de garantía, al 31 de diciembre de 2025, promoviendo el desarrollo económico y la inclusión financiera.Fórmula: (Número de productos lanzados / Número de productos a diseñar) * 100Entregable: Circular firmada y publicada. Este entregable estará ubicado en la carpeta en público que se disponga para ello.</t>
  </si>
  <si>
    <t>Metodología de costeo para la creación de productos</t>
  </si>
  <si>
    <t>Diseñar la metodología de costeo de productos nuevos, al 31 de diciembre de 2025, fortaleciendo los procesos de decisión sobre la viabilidad de los productos.Indicador : El objetivo se cumple al 100 % con la ejecución de la totalidad de las actividades planteadas siempre y cuando se obtenga aprobación de la instancia acordada. Mínimo se debe cumplir con la ejecución del 80% de las actividades. Se medirá mediante tabla equitativa, en la cual alcanzar el 80% de las actividades representará un puntaje de 80 y así respectivamente. Menos del 80% de ejecución el puntaje será de 0.Las actividades y sus pesos se encontrarán detalladas en el plan de trabajo asociado al cronograma.Entregables: Cronograma de trabajo y Documento y/o instrumento con la metodología de costeo. Estos entregables estarán ubicados en la carpeta en público que se disponga para ello.</t>
  </si>
  <si>
    <t>Ecosistema Integral de Gestión para Programas Especiales</t>
  </si>
  <si>
    <t>Diseñar e implementar, al 31 de diciembre de 2025, un ecosistema digital colaborativo que centralice la información de los programas especiales, automatice su seguimiento, optimice la gestión operativa e incorpore una visualización avanzada de datos y alertas inteligentes.Indicador y fórmula:El objetivo se cumple al 100 % con la ejecución de la totalidad de las actividades planteadas. Mínimo se debe cumplir con la ejecución del 80% de las actividades. Se medirá mediante tabla equitativa, en la cual alcanzar el 80% de las actividades representará un puntaje de 80 y así respectivamente. Menos del 80% de ejecución el puntaje será de 0Formula: Total de actividades ejecutadas / Total de actividades planteadas *100.Entregable: Tablero en Tableau que contará con indicadores clave de movilización, disponibilidad de recursos y búsqueda personalizable, así como alertas para los programas especiales que estén próximos a consumir la totalidad los recursos.Este entregable estará ubicado en la carpeta en público o herramienta que se disponga para ello.</t>
  </si>
  <si>
    <t>1030522083</t>
  </si>
  <si>
    <t>Milton Camilo Carranza Muñoz</t>
  </si>
  <si>
    <t>Profesional Ventas de Cartera</t>
  </si>
  <si>
    <t>ELABORACIÓN DE ESTADÍSTICAS SOBRE LA VENTA DE CARTERA</t>
  </si>
  <si>
    <t>DESCRIPCIÓN: Elaborar y consolidar estadísticas mensuales hasta el 30 de noviembre de 2025 y actualizadas sobre la venta de cartera, con base en la información disponible y validada durante la vigencia, permitiendo el análisis financiero y la toma de decisiones estratégicas.&amp;nbsp;&amp;nbsp;ENTREGABLE: Informe de cierre mensual reportado a la subdirectora de cartera en correos electrónicos enviados a más tardar los primeros 12 días del mes siguiente al cierre.EVALUACIÓN: Cada informe tendrá un peso del 16.67% contado a partir del primer enviado al cierre de junio.</t>
  </si>
  <si>
    <t>TABLERO DE SEGUIMIENTO Y CONTROL CISA</t>
  </si>
  <si>
    <t>DESCRIPCIÓN: A 31 de diciembre de 2025, apoyar a la Dirección con la implementación de un tablero ejecutivo integral que permita el monitoreo en tiempo real del desempeño de la gestión de recuperación de cartera, incluyendo seguimiento a metas de recuperación, evaluación de la efectividad de los operadores de cobranza, y otros indicadores que se relacionen con el proceso. ENTREGABLE: Correo electrónico enviado a la subdirectora de cartera indicando la ruta donde se encuentre al menos dos tableros relacionados con las ventas de cartera a CISA y sus históricos.EVALUACIÓN: Cumple / No cumple</t>
  </si>
  <si>
    <t>GESTIÓN DOCUMENTAL DEL ÁREA</t>
  </si>
  <si>
    <t>DESCRIPCIÓN DEL OBJETIVO:&amp;nbsp;Generar ingresos por concepto de recuperación y venta de cartera derivado del pago de garantías con recuperación de cartera por la suma de $88,642 millones, correspondiente al valor contemplado en el presupuesto de ingresos aprobado por Junta Directiva para el año 2025. (Este valor contempla ingresos derivados de la meta de recuperación de cartera asignada a los FRGs, reintegros y reactivaciones, recuperación por anexo 13 (IF), ingresos por ventas de cartera y compartición del precio de la enajenación de la cartera de los IF.)ENTREGABLE: Correo enviado por la Directora/Subdirectora de Cartera los primeros días del año 2026, informando los resultados definitivos de la recuperación de cartera durante la vigencia 2025.EVIDENCIA DE CUMPLIMIENTO:&amp;nbsp;Correo electrónico remito por la Directora/Subdirectora de Cartera los primeros días del año 2026, informando los resultados definitivos de la recuperación de cartera durante la vigencia 2025.EVALUACIÓN: Se obtendrá calificación a partir del cumplimiento del 90% ($79,778 millones) de la meta: donde el 89,9% da 0% y proporcional entre el 90% y 100%.</t>
  </si>
  <si>
    <t>DESCRIPCIÓN DEL OBJETIVO: A 31 de diciembre de 2025, la Dirección implementará un tablero ejecutivo integral que permita el monitoreo en tiempo real del desempeño de la gestión de recuperación de cartera, incluyendo seguimiento a metas de recuperación, evaluación de la efectividad de los operadores de cobranza, y/o otros indicadores que se relacionen con el proceso.ENTREGABLES: Este objetivo tendrá los siguientes hitos y entregables:a)&amp;nbsp;&amp;nbsp;&amp;nbsp;&amp;nbsp;&amp;nbsp;A 31 de agosto 2025, presentar al Comité de Recuperación de Cartera el diseño conceptual y arquitectura técnica del tablero ejecutivo, incluyendo definición de indicadores, fuentes de datos y maquetas de las pantallas principales. Evidencia: Acta de Comité. Peso: 20%b)&amp;nbsp;&amp;nbsp;&amp;nbsp;&amp;nbsp;A 30 de septiembre 2025, presentar al Comité de Recuperación de Cartera la versión beta del tablero con los requerimientos solicitados a ese corte. Evidencia: Acta de Comité con la Demostración funcional del tablero. Peso: 25%c)&amp;nbsp;&amp;nbsp;&amp;nbsp;&amp;nbsp;&amp;nbsp;A 31 de octubre 2025, realizar socialización del tablero en versión beta con los equipos de los fondos de garantías (FRG), para recopilar observaciones y sugerencias de mejora al mismo. Evidencia: Actas de reunión de socialización. Peso: 20%d)&amp;nbsp;&amp;nbsp;&amp;nbsp;&amp;nbsp;A 30 de noviembre 2025. Radicar dos funcionalidades adicionales para el seguimiento de indicadores de cartera, incluyendo las mejoras al tablero inicial con la carga de las historias de usuario respectivas. Evidencia: Documento de historias de usuario y número del ticket del caso en Aranda creado.&amp;nbsp;Peso: 20%e)&amp;nbsp;&amp;nbsp;&amp;nbsp;&amp;nbsp;&amp;nbsp;A 31 de diciembre 2025, presentar el tablero ejecutivo definitivo y con acceso completo a los miembros del Comité de Recuperación de Cartera. Evidencia: Acta de Comité. Peso: 15%EVIDENCIAS DE CUMPLIMIENTO: Actas de los comités de recuperación de cartera con la presentación de los informes y demostraciones propuestas, actas de socialización, documentación técnica y acta final de entrega del sistema.EVALUACIÓN: El porcentaje de cumplimiento del objetivo será la sumatoria del peso asignado a cada hito, que se cumpla al 100%.</t>
  </si>
  <si>
    <t>52647494</t>
  </si>
  <si>
    <t>Monica Bibiana Martinez Mora</t>
  </si>
  <si>
    <t>Profesional Senior de Bienestar Empresarial</t>
  </si>
  <si>
    <t>Lograr a 31-12-2025 el cumplimiento de los planes del Decreto 612-2018, relacionados con Gestión Humana así:Plan Estratégico de Gestión Humana: peso 30%&amp;nbsp;Plan de Capacitación: peso 30%Plan de Bienestar :peso 30%Plan de Seguridad y Salud en el Trabajo: peso 10%Su evaluación será proporcional al resultado obtenido en cada plan.&amp;nbsp;Indicador o Formula con la que se va a Realizar la Medición.Su evaluación será proporcional al resultado obtenido en cada plan. (ejemplo: si se hace el 90% de las actividades la calificación será 90 puntos- Si la calificación es menor a 80% su calificación será cero).Entregables&amp;nbsp;Acta de Comité Institucional de Gestión y Desempeño donde se evidencia el cumplimiento de los planes, presentados en cada Q.&amp;nbsp;</t>
  </si>
  <si>
    <t>Aplicar durante el 2025 dos (2)&amp;nbsp;encuestas estructuradas de Ambiente Laboral con el fin de identificar la percepción de los colaboradores en aspectos clave como el liderazgo, el relacionamiento, la comunicación, las condiciones laborales entre otros que permitan a la Alta Dirección y a la Dirección de Felicidad realizar intervenciones a tiempo y tomar de decisiones.Indicador o Formula con la que se va a Realizar la Medición.La medición será la sumatoria de los pesos para cada entregable.De no cumplir con un entregable su calificación será "0" en ese entregableEntregable:Informe entregado a la Vicepresidencia Ejecutiva en el mes de marzo con los resultados y analisis de la encuesta.Peso:50%Informe entregado a la Vicepresidencia Ejecutiva los diez (10) primeros días hábiles de agosto con los resultados y análisis de la encuesta.Peso:50%</t>
  </si>
  <si>
    <t>Revisar a 31 de diciembre de 2025 la conformación de la planta de personal y la medición de las cargas de trabajo de las áreas que resulten del ejercicio de revisión realizado por la Vicepresidencia Ejecutiva a la estructura de la entidad&amp;nbsp;&amp;nbsp;Indicador o Formula con la que se va a Realizar la Medición.La medición será la sumatoria de los pesos para cada entregable.De no cumplir con un entregable su calificación será "0" en ese entregableEntregables&amp;nbsp;•Análisis de la planta de personal con el Vicepresidente Ejecutivo y definición de áreas a intervenirFecha de Ejecución: Julio 2025Evidencia: Informe con el seguimiento y lineamientos del Vic. Ejecutivo&amp;nbsp;Peso:20%•Medición de Cargas de TrabajoFecha de Ejecución: agosto hasta octubre de 2025 (Q3 -Q4)Medición: # de áreas intervenidas / # áreas a intervenir x 100%Evidencia: Informe con los resultados de las cargas de trabajo de las áreas en intervenciónPeso:60%•Presentación de Informe de los resultados y recomendacionesEvidencia: Informe&amp;nbsp;Fecha de Ejecución y entrega: Noviembre de 2025Peso:20%</t>
  </si>
  <si>
    <t>Actualización SIGEP</t>
  </si>
  <si>
    <t>Presentar durante la vigencia los informes de actualización trimestrales del SIGEP&amp;nbsp;(Hojas de vida, Vinculaciones, Declaración Juramentada que se generen por las novedades de ingresos, retiros, traslados, ascensos)* Se presentará para revisión de la subdirectora de la Dirección de Felicidad los 5 primeros días siguientes a la terminación del trimestre.&amp;nbsp;Indicador o Formula con la que se va a Realizar la Medición:100 % CumplimientoSumatoria de los porcentajes establecidos para cada entregable.De no cumplir con un entregable su calificación será "0" en ese entregableEntregables:Q2: Peso: 50%Entrega de informe en los cinco (5) primeros días del mes de julio a la Directora de la Dirección de Felicidad y a la Subdirectora de la Dirección de Felicidad mediante correo electrónico que contenga las novedades presentadas desde el mes de enero al mes de junio de 2025 en el aplicativo SIGEP II de la hoja de vida y las declaraciones de Bienes y Rentas de Ingreso, Periódicas, de Retiro y las Declaración de Bienes y Rentas y Conflicto de Interés de los Directivos de la Entidad.&amp;nbsp;Q3: Peso 25%Entrega de informe en los cinco (5)&amp;nbsp;primeros días del mes de octubre a&amp;nbsp;la Subdirectora de la Dirección de Felicidad mediante correo electrónico que contenga las novedades presentadas desde el mes de julio al mes de septiembre de 2025 en el aplicativo SIGEP II de la hoja de vida y las declaraciones de Bienes y Rentas de Ingreso, Periódicas, de Retiro y las Declaración de Bienes y Rentas y Conflicto de Interés de los Directivos de la Entidad.Q4: Peso: 25%Entrega de informe en los cinco (5) primeros días del mes de enero de 2026 a la Directora de la Dirección de Felicidad y a la Subdirectora de la Dirección de Felicidad mediante correo electrónico que contenga las novedades presentadas desde el mes de octubre al mes de diciembre de 2025 en el aplicativo SIGEP II de la hoja de vida y las declaraciones de Bienes y Rentas de Ingreso, Periódicas, de Retiro y las Declaración de Bienes y Rentas y Conflicto de Interés de los Directivos de la Entidad.</t>
  </si>
  <si>
    <t>Ejecutar las actividades del Plan Carrera y Sucesión 2025Indicador o formula con la que se va a realizar la medición:La medición será la sumatoria total de los porcentajes establecidos para cada entregable.De no cumplir con un entregable su calificación será "0" en ese entregableActividades y entregables:Q3: Peso: 70%1. Peso 5%: Presentación propuestas aplicación de pruebas psicotécnicas para aprobación del vicepresidente Ejecutivo.&amp;nbsp;Entregable. Correo electrónico con el resumen del envío de la presentación y aprobación por parte del vicepresidente&amp;nbsp;2. Peso 10%: Lanzamiento del Plan Carrera y Sucesión para los colaboradores en cargos críticos y plan de sucesión del FNG.Entregable: Citación, lista de asistencia y registro fotográfico.3. Peso 10%: Aplicación de las pruebas psicotécnicas.Entregable: Correos con el envío de la prueba por colaborador y los resultados de las pruebas4. Peso 5%: Aplicación de la Ficha Técnica - Plan de CarreraEntregable: Remisión de la ficha técnica a través del correo corporativo y fichas técnicas diligenciadas por cada colaborador y recibidas en la dirección de felicidad5. Peso 5%: Actualización Matriz Plan de Carrera y SucesiónEntregable: Archivo Excel con la matriz de plan de carrera y sucesión actualizada6. Peso 5%: Informe avances Plan de Carrera y Sucesión con corte a Q3Entregable: Correo electrónico dirigido la directora de Felicidad con el informe de los avances del plan de carrera y sucesión con corte al 30 de septiembre de 2025 Se entregará los cinco primeros días del mes de octubre7. Peso 10%: Actualización Modelo de CompetenciasEntregable: Modelo de Competencias actualizado publicado en Isolucion8. Peso 10%: Socialización y Assessment de las pruebas psicotécnicasEntregable: Citación por teams y correo electrónico con el envío de los resultados de la prueba psicotécnica9. Peso 5%: Actualización Matriz Plan de Carrera y Sucesión10. Peso 5%: Informe avances Plan de Carrera y SucesiónEntregable: Correo electrónico dirigido al vicepresidente ejecutivo con el informe de los avances del plan de carrera y sucesión con corte al 30 de septiembre. Se entregará los cinco primeros días del mes de octubre de 2025.Q4: Peso: 30%1. Peso 10%: Acompañamiento del Coach para diseño personalizado del Plan de Carrera y SucesiónEntregable: Citación por teams, listas de asistencia, Soporte de Actividades y/o Registro Fotográficos2. Peso 10%: Aplicación de encuesta a todos los colaboradores en plan de carrera y sucesión para medir la satisfacción del plan.Entregable:&amp;nbsp;Informe de resultados de la encuesta remitido por correo electrónico la directora de la Dirección de Felicidad. Se entregará durante los primeros 15&amp;nbsp;días del mes de enero de 2026.3. Peso 10% informe avances Plan de Carrera y SucesiónEntregable: Correo electrónico dirigido a&amp;nbsp;la directora de la Dirección de Felicidad con el informe de los avances del plan de carrera y sucesión con corte al 30 de diciembre. Se entregará los 15&amp;nbsp;primeros días del mes de enero de 2026.&amp;nbsp;</t>
  </si>
  <si>
    <t>HRSUITE</t>
  </si>
  <si>
    <t>Realizar un diagnóstico sobre las necesidades de la administración de la información de la Dirección y recomendar el desarrollo en el&amp;nbsp;módulo SAP HCM o de no ser posible la contratación de una HR SUITE&amp;nbsp;Indicador o Formula con la que se va a Realizar la Medición:100 % CumplimientoSumatoria de los porcentajes establecidos para cada entregable.De no cumplir con un entregable su calificación será "0" en ese entregableEntregables:1. Informe AutodiagnósticoPresentar a la Dirección de Felicidad, el informe de autodiagnóstico de las necesidades de información del área que requieren ser administradas a través de una plataforma.Fecha : 30 de Junio 2025Peso: 30%Si la necesidad se puede suplir con SAP inicia la fase de desarrollo.&amp;nbsp;Si la necesidad no se puede suplir con SAP inicio proceso de Contratación HRSUITE.*Con SAPPresentar a julio 30 de 2025 el Cronograma de trabajoPeso:20 %Informe de Seguimiento 30 de Septiembre de acuerdo con el Cronograma de actividades : # de Actividades ejecutadas/ # actividades propuestasPeso:30%Informe de Seguimiento 30 de Diciembre de acuerdo con el Cronograma de actividades : # de Actividades ejecutadas/ # actividades propuestasPeso:20%_________Si se requiere contratación Externa&amp;nbsp;Q3: Peso: 30%Participar en la etapa precontractual y contractual del proceso de contratación del HR SUITE.Entregable: Ficha Técnica del Proyecto – Sondeo de Mercado – Documento de Justificación-ContratoQ4: Peso: 40%Ejecutar las actividades de acuerdo con el cronograma de contrataciónEntregable: Informe de seguimiento y/o los entregables que se pacten en el contrato</t>
  </si>
  <si>
    <t>Plataforma Evaluación de Desempeño</t>
  </si>
  <si>
    <t>Realizar durante el 2025 la parametrización de la plataforma de Evaluación de Desempeño de acuerdo con las diferentes fases del proceso y hacer seguimiento a la concertación de objetivos y a la fase de seguimiento de por lo menos el 70% de los colaboradores.&amp;nbsp;&amp;nbsp;Indicador o Formula con la que se va a Realizar la Medición:100 % CumplimientoSumatoria de los porcentajes establecidos para cada entregable.Entregables:Mayo 2025: Peso: 20%Concertación de objetivos 2025 para 277 colaboradores.&amp;nbsp;Revisar el cargue de la concertación de objetivos y asesorar a los colaboradores en caso de que se requiera ajustes.Entrega de Informe en el mes de junio con las actividades realizadas durante la concertación de los ObjetivosJunio - Julio: Peso 60%Revisar que los objetivos de por lo menos el 70% de los colaboradores se encuentren debidamente concertados.Evidencia: entrega de informe a la Directora de Felicidad.Octubre 2025: 20%Revisión al seguimiento de objetivos y planes de mejoramiento individual.&amp;nbsp;Entrega de Informe en el mes de noviembre con las actividades realizadas durante la fase de seguimiento de la evaluación de desempeño.</t>
  </si>
  <si>
    <t>1010212185</t>
  </si>
  <si>
    <t>Monica Isabel Aguirre Pachon</t>
  </si>
  <si>
    <t>Profesional de Riesgos No Financieros - SARO</t>
  </si>
  <si>
    <t>Descripción del Objetivo: A 31 de diciembre de 2025 implementar la metodología para la gestión de Riesgos Emergentes aplicables a la entidad hasta la tercera fase "Valoración y priorización" del plan de trabajo establecidoEste objetivo se vincula al objetivo estratégico número 5 "Promover el mejoramiento continuo a través del Sistema de Gestión Integral del FNG", vinculado a la estrategia 5.2. "Búsqueda de mejores prácticas de gestión y cumplimiento normativo" a través de la apuesta estratégica 2025: Fortalecimiento de los componentes asociados a los controles de la matriz de riesgos y controles de la EntidadFormula con la que se va a realizar la medición:﻿ # de actividades ejecutadas para el periodo evaluado / # de actividades planeadas para el periodo evaluado.Entregables: Q2: Plan de trabajo aprobado por el Vicepresidente de Riesgos y acta de la reunión de la URO correspondiente al mes de Junio donde se presenta el plan de trabajo y el avance a la fecha.Peso 20%Q3: Actas mensuales (julio, agosto y septiembre) de la reunión de la URO donde se presenta el cumplimiento de las actividades planeadas para el mes correspondiente.Peso 40%Q4: Actas mensuales (octubre, noviembre y diciembre) de la reunión de la URO donde se presenta el cumplimiento de las actividades planeadas para el mes correspondiente.Peso: 40%Ubicación de las evidencias: publico\objetivos 2025</t>
  </si>
  <si>
    <t>Descripción del Objetivo:A 31 de diciembre de 2025 dar cumplimiento al plan de trabajo establecido para el diseño de la herramienta interna para la gestión de SAROEste objetivo se vincula al objetivo estratégico número 5 "Promover el mejoramiento continuo a través del Sistema de Gestión Integral del FNG", vinculado a la estrategia 5.2. "Búsqueda de mejores prácticas de gestión y cumplimiento normativo" a través de la apuesta estratégica 2025: Fortalecimiento de los componentes asociados a los controles de la matriz de riesgos y controles de la EntidadFormula con la que se va a realizar la medición:# de actividades ejecutadas para el periodo evaluado / # de actividades planeadas para el periodo evaluado.Entregables: Q2: Plan de trabajo aprobado por el Vicepresidente de Riesgos y acta de la reunión de la URO correspondiente al mes de Junio donde se presenta el plan de trabajo y el avance a la fecha.Peso 33,33%&amp;nbsp;Q3: Actas mensuales (julio, agosto y septiembre) de la reunión de la URO donde se presenta el cumplimiento de las actividades planeadas para el mes correspondientePeso 33,33%Q4: Actas mensuales (octubre, noviembre y diciembre) de la reunión de la URO donde se presenta el cumplimiento de las actividades planeadas para el mes correspondientePeso: 33,33%Ubicación de las Evidencias: publico\objetivos 2025</t>
  </si>
  <si>
    <t>Descripción del objetivo: A 31 diciembre de 2025 cumplir las acciones formuladas durante la vigencia en los planes de acción y mejoramiento relacionados con las auditorias realizadas por la Oficina de Control Interno OCI, Superintendencia Financiera de Colombia SFC, Revisoria Fiscal y Contraloría General de la República CGR en las actividades relacionadas con la gestión de SARO.&amp;nbsp;Este objetivo se vincula al objetivo estratégico número 5 "Promover el mejoramiento continuo a través del Sistema de Gestión Integral del FNG", vinculado a la estrategia 5.2. "Búsqueda de mejores prácticas de gestión y cumplimiento normativo" a través de la apuesta estratégica 2025: Fortalecimiento de los componentes asociados a los controles de la matriz de riesgos y controles de la EntidadFormula de medición: # de acciones ejecutadas para el periodo evaluado / # total de acciones incluidas en los planes a ser ejecutadas en el periodo evaluado.Entregables:Q2: Correo electrónico dirigido a los entes de control que solicitaron planes de acción indicando el cumplimiento de las actividades definidas para el periodo y acta de la reunión de la URO correspondiente al mes de junio.Peso: 60%Q3: Correo electrónico dirigido a los entes de control que solicitaron planes de acción indicando el cumplimiento de las actividades definidas para el periodo y acta de la reunión de la URO correspondiente al mes de septiembre.Peso: 20%Q4: Correo electrónico dirigido a los entes de control que solicitaron planes de acción indicando el cumplimiento de las actividades definidas para el periodo y acta de la reunión de la URO correspondiente al mes de diciembre.Peso: 20%Ubicación de las Evidencias: publico\objetivos 2025</t>
  </si>
  <si>
    <t>Diseño metodológico para la gestión de Riesgos de Integridad Pública en el FNG</t>
  </si>
  <si>
    <t>Descripción del objetivo:A 31 de diciembre de 2025, realizar la actualización de políticas, lineamientos y metodología para la gestión de Riesgos de Integridad Pública en el FNG, con base en los lineamientos del Decreto 1122 de 2024 y la actualización de la Guía para la administración del riesgo y el diseño de controles en entidades públicas del Departamento Administrativo de la Función Pública (DAFP) esperada para junio de 2025.Nota: El desarrollo de este objetivo podría estar sujeto a ajustes, ya que depende principalmente de la publicación de la guía del DAFP, la cual constituye el insumo principal para la estandarización de la metodología.Este objetivo se vincula al objetivo estratégico número 5 "Promover el mejoramiento continuo a través del Sistema de Gestión Integral del FNG", vinculado a la estrategia 5.2. "Búsqueda de mejores prácticas de gestión y cumplimiento normativo" a través de la apuesta estratégica 2025:&amp;nbsp;-Fortalecimiento de los componentes asociados a los controles de la matriz de riesgos y controles de la Entidad-Monitoreo a la implementación y actualización normativa (Normativas jurídicas)Indicador/Forma de medición:# de actividades ejecutadas para el periodo evaluado / # de actividades planeadas para el periodo evaluadoEntregables:Q2: Plan de trabajo aprobado por el Vicepresidente de Riesgos y acta de la reunión de la URO correspondiente al mes de Junio donde se presenta el plan de trabajo.Peso 20%Q3: Actas mensuales (julio, agosto y septiembre) de la reunión de la URO donde se presenta el cumplimiento de las actividades planeadas para el mes correspondiente.Peso 40%Q4: Actas mensuales (octubre, noviembre y diciembre) de la reunión de la URO donde se presenta el cumplimiento de las actividades planeadas para el mes correspondientePeso: 40%</t>
  </si>
  <si>
    <t>43829277</t>
  </si>
  <si>
    <t>Monica Magdalena Henao Puerta</t>
  </si>
  <si>
    <t>Gerente de Cuenta Dirección General Antioquia</t>
  </si>
  <si>
    <t>Créditos Garantizados</t>
  </si>
  <si>
    <t>Lograr al 31 de diciembre de 2025 un total de 800.000 en número de créditos garantizados, durante el periodo comprendido entre el 01 de enero de 2025 hasta el 31 de diciembre del 2025.Calificación EquitativaMínimo el 90%.&amp;nbsp;Realizar 800.000 visitas o más obtendrá un puntaje de 100%.&amp;nbsp;Mínimo 725.000 visitas, realizar menos de 725.000&amp;nbsp;visitas obtendrá un puntaje de 0.&amp;nbsp;Se medirá de acuerdo a la tabla equitativa: donde al sacar un puntaje del 90% el puntaje será 90% y así hasta llegar a 100%.La evidencia Correo electrónico de la analista de datos de la dirección de estrategia en la ruta P:\Objetivos</t>
  </si>
  <si>
    <t>Cumplimiento visitas a contactos de Direcciones Generales de la Subdirección</t>
  </si>
  <si>
    <t>Realizar&amp;nbsp;792 visitas a contactos de Direcciones Generales de la subdirección desde el 01 de Enero de 2025 hasta el 31 de Diciembre del 2025.&amp;nbsp;Tabla EquitativaMínimo el 80%.Realizar 792 visitas o más obtendrá un puntaje de 100. Mínimo 634 visitas, realizar menos de 634 visitas obtendrá un puntaje de 0. Se medirá de acuerdo a la tabla equitativa: donde al sacar un puntaje del 80% el puntaje será 80% y así hasta llegar a 100%.&amp;nbsp;Evidencia: Correo electrónico de la analista de datos de la dirección de estrategiaPortafolio: El portafolio asignado y distribución del presupuesto para cada subdirección comercial de la Dirección General estará aprobado previamente por el Director Comercial a través de correo electrónico. La evidencia se encuentra en la ruta P:\ObjetivosEvidencia: Correo electrónico de la analista de datos de la dirección de estrategia.</t>
  </si>
  <si>
    <t>Capacitación en novaciones y prórrogas a intermediarios Financieros con presupuesto asignado</t>
  </si>
  <si>
    <t>Realizar capacitación de novaciones y prórrogas al 50% de los intermediarios financieros asignados con presupuesto entre el 01 de enero de 2025 hasta el 31 de diciembre del 2025.El portafolio asignado y distribución del presupuesto para cada subdirección comercial de la Dirección General estará aprobado previamente por el director Comercial a través de correo electrónico. La evidencia se encuentra en la ruta P:\Objetivos.Mínimo el 50%. Realizar el 50% de las capacitaciones o más obtendrá un puntaje de 100. Mínimo capacitar al 50% de los intermediarios, realizar menos del 50% obtendrá un puntaje de 0. Se medirá de acuerdo a la tabla equitativa: donde al sacar un puntaje del 50% el puntaje será 50% y así hasta llegar a 100%.&amp;nbsp;Evidencia: Evidencia: Plan de cuenta de CRM con asunto Capacitación Novaciones y prórrogas, herramientas de normalización o similares. Correo electrónico de la analista de datos de la dirección de estrategia.Portafolio: El portafolio asignado y distribución del presupuesto para cada subdirección comercial de la Dirección General estará aprobado previamente por el Director Comercial a través de correo electrónico. La evidencia se encuentra en la ruta P:\Objetivos.</t>
  </si>
  <si>
    <t>Cumplimiento del Presupuesto de Movilización, según meta establecida.</t>
  </si>
  <si>
    <t>Cumplimiento de visitas a contactos de Direcciones Generales según portafolio asignado.</t>
  </si>
  <si>
    <t>Realizar 216 visitas a contactos de Direcciones Generales de los intermediarios financieros asignados en el portafolio, durante el periodo comprendido entre el 01 de enero de 2025 y el 31 de diciembre de 2025.Portafolio: El portafolio asignado y distribución del presupuesto para cada subdirección comercial de la Dirección General estará aprobado previamente por el director Comercial a través de correo electrónico. La evidencia se encuentra en la ruta P:\Objetivos.&amp;nbsp;&amp;nbsp;&amp;nbsp;Calificación EquitativaMínimo el 90%.&amp;nbsp;Realizar 216 visitas o más obtendrá un puntaje de 100%.&amp;nbsp;Mínimo 173 visitas, realizar menos de 173&amp;nbsp;visitas obtendrá un puntaje de 0.&amp;nbsp;Se medirá de acuerdo a la tabla equitativa: donde al sacar un puntaje del 90% el puntaje será 90% y así hasta llegar a 100%.La evidencia: Correo electrónico de la analista de datos de la dirección de estrategia  Portafolio: El portafolio asignado y distribución del presupuesto para cada subdirección comercial de la Dirección General estará aprobado previamente por el Director Comercial a través de correo electrónico. La evidencia se encuentra en la ruta P:\Objetivos.&amp;nbsp;&amp;nbsp;&amp;nbsp;</t>
  </si>
  <si>
    <t>407868</t>
  </si>
  <si>
    <t>Nancy Elizabeth Olivera Baez</t>
  </si>
  <si>
    <t>Director Marca Institucional</t>
  </si>
  <si>
    <t>Plan estratégico de comunicaciones</t>
  </si>
  <si>
    <t>1012464095</t>
  </si>
  <si>
    <t>Natalia Acosta Peña</t>
  </si>
  <si>
    <t>A 31 de octubre de 2025, diseñar y documentar una herramienta en Excel (Macro) para realizar el barrido de devolución de comisiones y realizar la capacitación de la herramienta al grupo de devolución de comisionesINDICADOR:Diseñar y documentar la herramienta 70% Cumple/No cumpleCapacitar al equipo de devolución de comisiones 30% Cumple/No cumpleENTREGABLES / EVIDENCIA:&amp;nbsp;Documentar la herramienta en el instructivo IN-AGA-094 - Controles y Validaciones Manuales en la Devolución de Comisiones y publicarlo en ISOlución y lista de asistencia de la capacitación ubicada en la Ruta: P:\Objetivos\2025\Direccion de Operaciones\</t>
  </si>
  <si>
    <t>Entre los meses de junio y diciembre de 2025, obtener un resultado máximo del 0,05% en el indicador: “Devoluciones de comisiones con novedad”.INDICADOR:(Devoluciones con novedad / Total de garantías validadas) * 100&amp;nbsp;Nota: El indicador mide el porcentaje de garantías, del total de garantías validadas en el periodo evaluado, que: i) presentan inconsistencias en el valor devuelto, ii) fueron devueltas por fuera del tiempo establecido (se excluyen las garantías cuya factura no se encuentre compensada o los IF que no reciban recursos en los cortes por sus cierres contables). La medición se realizará tomando como base los procesos automáticos de prepago y novación, así como las solicitudes realizadas por los IF a través del Anexo 12, según los cortes indicados en el Reglamento de garantías.&amp;nbsp;El cumplimiento se medirá de acuerdo con la siguiente tabla métrica y de forma proporcional:&amp;gt; 0,05 0%De 0,050 a 0,041&amp;nbsp;20%De 0,040 a 0,031&amp;nbsp;40%De 0,030 a 0,021&amp;nbsp;60%De 0,020 a 0,011 80%&amp;lt;= 0,010 100%Evidencia: Base con el total de garantías validadas y barrido mensual del proceso de devolución de comisiones ubicado en la Ruta: P:\Objetivos\2025\Direccion de Operaciones\</t>
  </si>
  <si>
    <t>Al 31 de diciembre de 2025, haber cursado y aprobado el curso de Inteligencia Artificial Generativa del BIDINDICADORCumple/ No CumpleENTREGABLE/EVIDENCIA : Certificado de aprobación ubicado en la Ruta: P:\Objetivos\2025\Direccion de Operaciones\</t>
  </si>
  <si>
    <t>Subdirector de Gestión Jurídica del Negocio</t>
  </si>
  <si>
    <t>OBJETIVO: Desarrollar durante el año 2025 una campaña de formalización institucional en el FNG que facilite el uso de las marcas institucionales que gozan de registro y protección marcaria por parte de la Superintendencia de Industria y Comercio y así permita contribuir con el objeto de posicionamiento de marca del FNG en el mercado local. &amp;nbsp;ENTREGABLES: Este objetivo tendrá los siguientes hitos y entregables: 1.&amp;nbsp;&amp;nbsp;&amp;nbsp;&amp;nbsp;&amp;nbsp;Al 30 de junio de 2025 realizar un levantamiento de Inventario de Marcas registradas y las que se encuentran en proceso de registro marcario por parte del FNG ante la SIC.&amp;nbsp;Peso 10%2.&amp;nbsp;&amp;nbsp;&amp;nbsp;&amp;nbsp;&amp;nbsp;Al 30 de julio de 2025 se deber realizar una presentación ante el Comité Directivo del FNG del Inventario realizado. Peso 20%.3.&amp;nbsp;&amp;nbsp;&amp;nbsp;&amp;nbsp;&amp;nbsp;Al 30 de agosto de 2025 se deberá realizar una capacitación Interna dirigida a la Vicepresidencia Ejecutiva y la Vicepresidencia Comercial, que tendrá como objetivo sensibilizar a los colaboradores sobre la relevancia de las marcas y lemas comerciales en el contexto actual, los riesgos asociados a su uso inadecuado o desuso, y las recomendaciones específicas para su correcta aplicación. Peso 20% 4.&amp;nbsp;&amp;nbsp;&amp;nbsp;&amp;nbsp;&amp;nbsp;Entre el 1º de septiembre al 31 de diciembre, realizar un informe mensual de monitoreo del uso de la marca en redes sociales y página web. Peso 20% 5.&amp;nbsp;&amp;nbsp;&amp;nbsp;&amp;nbsp;&amp;nbsp;Al 30 de noviembre realizar una presentación al Comité Directivo del FNG sobre el reporte de uso de las marcas registradas y emitir recomendaciones. Peso 10% 6.&amp;nbsp;&amp;nbsp;&amp;nbsp;&amp;nbsp;&amp;nbsp;Entre los meses de septiembre a diciembre, realizar una socialización mensual en pantallas del FNG y/o en la intranet que tenga por objetivo sensibilizar a las áreas sobre la importancia del uso de las marcas registradas en el FNG. Peso 20%&amp;nbsp;EVIDENCIAS DE CUMPLIMIENTO: Lo siguiente serán las evidencias de cumplimiento: 1.&amp;nbsp;&amp;nbsp;&amp;nbsp;&amp;nbsp;&amp;nbsp;Inventario presentado al Vicepresidente Jurídico por parte del Director Jurídico y/o la Subdirección Jurídica del Negocio 2.&amp;nbsp;&amp;nbsp;&amp;nbsp;&amp;nbsp;&amp;nbsp;Acta del Comité Directivo donde conste la presentación del inventario3.&amp;nbsp;&amp;nbsp;&amp;nbsp;&amp;nbsp;&amp;nbsp;Evidencia del proceso de capacitación a las áreas. 4.&amp;nbsp;&amp;nbsp;&amp;nbsp;&amp;nbsp;&amp;nbsp;Informe mensual de monitoreo presentado al Vicepresidente Jurídico por parte del Director Jurídico y/o la Subdirección Jurídica del Negocio vía correo electrónico. 5.&amp;nbsp;&amp;nbsp;&amp;nbsp;&amp;nbsp;&amp;nbsp;Acta del Comité Directivo donde se evidencie el reporte del uso de las marcas del FNG6.&amp;nbsp;&amp;nbsp;&amp;nbsp;&amp;nbsp;&amp;nbsp;Las evidencias fotográficas con fecha de las campañas de sensibilización mensual. Informe remitido por el Jurídico por parte del Director Jurídico y/o la Subdirección Jurídica del Negocio al Vicepresidente Jurídico.&amp;nbsp;EVALUACIÓN: &amp;nbsp;el porcentaje de cumplimiento del objetivo será la sumatoria del peso asignado a cada hito, que se cumpla al 100%. El entregable No. 4 (informe mensual de monitoreo), tendrá un peso del 5% por cada mes de reporte. El entregable No. 6 (sensibilización a las áreas en pantallas e intranet) tendrá un peso del 5% sobre cada mes de socialización. &amp;nbsp;Los soportes se resguardarán en la siguiente ruta: P:\Objetivos\2025\Dirección Jurídica\natalia Andrea Pérez Mancera.&amp;nbsp;</t>
  </si>
  <si>
    <t>Diseñar e implementar, en articulación con el área de Tecnología, un módulo de gestión jurídica interna dentro de la plataforma “Aranda” que permita el registro, seguimiento en tiempo real y trazabilidad de las solicitudes jurídicas presentadas por las áreas del FNG (cliente interno en materia de solicitudes de créditos y atención al área comercial) a la Dirección Jurídica, incorporando, entre otros, mecanismos de control de ANS en la atención a las respuestas, visualización de carga operativa, justificación de demoras y generación de reportes ejecutivos diferenciados por área solicitante, con acceso especial para usuarios solicitantes, responsables jurídicos y directivos de cada área. El módulo de aranda deberá estar al 6 de octubre de 2025.ENTREGABLES:-&amp;nbsp;&amp;nbsp;&amp;nbsp;&amp;nbsp;&amp;nbsp;&amp;nbsp;&amp;nbsp;Etapa 1:Al 21 de julio de 2025, presentar a la Vicepresidencia Jurídica el documento de requerimientos funcionales, flujos de proceso, formatos estandarizados de las solicitudes con un lenguaje amigable transformando la experiencia de las diferentes áreas al momento de solicitar los servicios jurídicos.&amp;nbsp;Peso: 45%-&amp;nbsp;&amp;nbsp;&amp;nbsp;&amp;nbsp;&amp;nbsp;&amp;nbsp;&amp;nbsp;Etapa 2:Al 4 de agosto de 2025 entregar al área de Tecnología el proyecto completo con la información requerida, para implementar la función/módulo de gestión jurídica interna en la plataforma Aranda. Peso: 45%-&amp;nbsp;&amp;nbsp;&amp;nbsp;&amp;nbsp;&amp;nbsp;&amp;nbsp;&amp;nbsp;Etapa 3A 6 de octubre de 2025, realizar el correspondiente lanzamiento del módulo jurídico en la plataforma Aranda para uso institucional. Peso: 10%El cumplimiento del cronograma e implementación total del módulo depende de la disponibilidad técnica y priorización de recursos por parte del área de Tecnología. EVIDENCIAS DE CUMPLIMIENTO:-&amp;nbsp;&amp;nbsp;&amp;nbsp;&amp;nbsp;&amp;nbsp;&amp;nbsp;&amp;nbsp;Actas mesas de trabajo-&amp;nbsp;&amp;nbsp;&amp;nbsp;&amp;nbsp;&amp;nbsp;&amp;nbsp;&amp;nbsp;Documento de requerimientos funcionales -&amp;nbsp;&amp;nbsp;&amp;nbsp;&amp;nbsp;&amp;nbsp;&amp;nbsp;&amp;nbsp;Flujos de proceso-&amp;nbsp;&amp;nbsp;&amp;nbsp;&amp;nbsp;&amp;nbsp;&amp;nbsp;&amp;nbsp;Formatos estandarizados de las solicitudes-&amp;nbsp;&amp;nbsp;&amp;nbsp;&amp;nbsp;&amp;nbsp;&amp;nbsp;&amp;nbsp;Cronograma y plan de desarrollo concertado por la Dirección Jurídica y el área de Tecnología-&amp;nbsp;&amp;nbsp;&amp;nbsp;&amp;nbsp;&amp;nbsp;&amp;nbsp;&amp;nbsp;Documento de historia de usuario &amp;nbsp;EVALUACIÓN:El porcentaje de cumplimiento del objetivo será la sumatoria del peso asignado a cada hito/etapa, que se cumpla al 100%. En caso de depender del área de Tecnología para etapas críticas, se aceptará como cumplido el hito si la Dirección Jurídica entrega oportunamente los insumos, hace seguimiento formal y evidencia la gestión, aun si la ejecución técnica se encuentra en curso por causas ajenas a la Dirección. El objetivo se cumplirá con la sumatoria de mínimo el 90%.Los soportes se resguardarán en la siguiente ruta: P:\Objetivos\2025\Dirección Jurídica\natalia Andrea Pérez Mancera.&amp;nbsp;</t>
  </si>
  <si>
    <t>Diseñar e implementar, a 31 de octubre de 2025, un recorrido de atención legal, que permita mapear y optimizar la experiencia de las áreas del FNG frente a la atención de sus consultas legales.  Se propiciaran espacios de consulta y/o mesas de trabajo con las diferentes dependencias del FNG, que buscará identificar puntos de fricción, oportunidades de mejora y momentos clave de valor en la interacción jurídica, con el fin de abordar proactivamente las inquietudes jurídicas de manera clara, oportuna y alineada con la misión institucional; visibilizar el rol estratégico de la Dirección Jurídica como aliada en la toma de decisiones; incorporar criterios de priorización, complejidad y urgencia que permitan ajustar los tiempos de respuesta bajo un enfoque de servicio con ANS.La ruta legal contendrá varias etapas, incluyendo una franja mensual destinada a la atención y resolución de consultas jurídicas formuladas por las distintas áreas del FNG, con el fin de abordar de manera oportuna las inquietudes relacionadas con el objeto social y funcionamiento del FNG. Así mismo, la ruta legal se apoyará en datos que sean recopilados en los espacios de consulta y/o mesas de trabajo, así como en la retroalimentación continua de las diferentes áreas (cliente interno) para fortalecer el relacionamiento, identificar patrones de consulta y anticipar necesidades.ENTREGABLES: ·&amp;nbsp;&amp;nbsp;&amp;nbsp;&amp;nbsp;&amp;nbsp;&amp;nbsp;&amp;nbsp;Etapa 1:Al 31 de julio de 2025, realizar mesas de trabajo con las diferentes áreas del FNG, las cuales se han identificado como consultantes recurrentes en la Dirección Jurídica. Peso 30%&amp;nbsp;·&amp;nbsp;&amp;nbsp;&amp;nbsp;&amp;nbsp;&amp;nbsp;&amp;nbsp;&amp;nbsp;Etapa 2:Al 30 de septiembre de 2025, presentar a la Vicepresidencia Jurídica un borrador de modelo de atención al cliente, teniendo en cuenta el insumo recolectado en las mesas de trabajo.&amp;nbsp;Peso: 30%&amp;nbsp;·&amp;nbsp;&amp;nbsp;&amp;nbsp;&amp;nbsp;&amp;nbsp;&amp;nbsp;&amp;nbsp;Etapa 3: Al 31 de octubre, presentar la documentación que soporte la versión final ruta legal, debidamente aprobada por la Vicepresidencia Jurídica, el cual será formalizado en la Plataforma ISolución, y socializado con las diferentes áreas para su correcta aplicación y ejecución. Peso: 40%&amp;nbsp;EVIDENCIAS DE CUMPLIMIENTO:1.&amp;nbsp;&amp;nbsp;&amp;nbsp;&amp;nbsp;&amp;nbsp;Evidencia soporte reuniones de mesas de trabajo, con las conclusiones de cada sesión de las mesas de trabajo.2.&amp;nbsp;&amp;nbsp;&amp;nbsp;&amp;nbsp;&amp;nbsp;Correo electrónico con la evidencia de la entrega del borrador de modelo 3.&amp;nbsp;&amp;nbsp;&amp;nbsp;&amp;nbsp;&amp;nbsp;Soporte documental de la versión final del proceso de modelo de atención al cliente / ruta legal.&amp;nbsp;EVALUACIÓN:El porcentaje de cumplimiento del objetivo será la sumatoria del peso asignado a cada hito/etapa, que se cumpla al 100%. Los soportes se resguardarán en la siguiente ruta: P:\Objetivos\2025\Dirección Jurídica\natalia Andrea Pérez Mancera. &amp;nbsp;</t>
  </si>
  <si>
    <t xml:space="preserve">EJERCICIO DE EXPLORACIÓN E INNOVACIÓN EN LOS DEPARTAMENTOS LEGALES DE ENTIDADES FINANCIERAS </t>
  </si>
  <si>
    <t>OBJETIVO:Realizar al 30 de noviembre de 2025, un ejercicio de exploración e innovación en los departamentos legales de entidades financieras, que podrán ser intermediarios financieros vinculados al FNG, mediante visitas presenciales, o reuniones virtuales, con el fin de identificar, analizar y documentar las mejores prácticas de innovación legal, que podrán incluir el uso de herramientas de tecnología aplicadas al desarrollo y ejecución de su objeto social y/o cumplimiento de obligaciones dado su rol en el sistema financiero. A partir de este análisis, se busca evaluar su viabilidad al interior del FNG y diseñar una hoja de ruta que permita identificar aquellas prácticas que puedan resultar aplicables en la VP Jurídica. ENTREGABLES:-&amp;nbsp;&amp;nbsp;&amp;nbsp;&amp;nbsp;&amp;nbsp;&amp;nbsp;&amp;nbsp;&amp;nbsp;&amp;nbsp;&amp;nbsp;&amp;nbsp;Etapa 1.Al 31 de julio de 2025, presentar a la Vicepresidencia Jurídica una base de datos en formato Excel que contenga el cronograma de entidades con las cuales se llevará a cabo el ejercicio de exploración e innovación en sus Departamentos legales durante el segundo semestre de 2025. &amp;nbsp;-&amp;nbsp;&amp;nbsp;&amp;nbsp;&amp;nbsp;&amp;nbsp;&amp;nbsp;&amp;nbsp;&amp;nbsp;&amp;nbsp;&amp;nbsp;&amp;nbsp;Etapa 2. Al 01 de septiembre de 2025, presentar a la Vicepresidencia Jurídica una base de datos en formato Excel que contenga un resumen de las visitas realizadas a la fecha, incluyendo: &amp;nbsp;·&amp;nbsp;&amp;nbsp;&amp;nbsp;&amp;nbsp;&amp;nbsp;&amp;nbsp;&amp;nbsp;Nombre de la entidad financiera·&amp;nbsp;&amp;nbsp;&amp;nbsp;&amp;nbsp;&amp;nbsp;&amp;nbsp;&amp;nbsp;Persona que la atendió·&amp;nbsp;&amp;nbsp;&amp;nbsp;&amp;nbsp;&amp;nbsp;&amp;nbsp;&amp;nbsp;Descripción de las herramientas innovadoras y/o tecnológicas observadas.·&amp;nbsp;&amp;nbsp;&amp;nbsp;&amp;nbsp;&amp;nbsp;&amp;nbsp;&amp;nbsp;Establecer los beneficios que representaría su adopción para la gestión jurídica. ·&amp;nbsp;&amp;nbsp;&amp;nbsp;&amp;nbsp;&amp;nbsp;&amp;nbsp;&amp;nbsp;Identificar los principales retos técnicos, jurídicos, financieros y operativos.·&amp;nbsp;&amp;nbsp;&amp;nbsp;&amp;nbsp;&amp;nbsp;&amp;nbsp;&amp;nbsp;Posibilidad de aplicación en la Vicepresidencial Jurídica &amp;nbsp;-&amp;nbsp;&amp;nbsp;&amp;nbsp;&amp;nbsp;&amp;nbsp;&amp;nbsp;&amp;nbsp;&amp;nbsp;&amp;nbsp;&amp;nbsp;&amp;nbsp;Etapa 3.Al 30 de noviembre de 2025, presentar a la Vicepresidencia Jurídica un informe final en formato Word que, con base en las visitas realizadas a dicho corte, donde se identifique y analice las herramientas tecnológicas observadas, evaluando su aplicabilidad en el entorno jurídico del FNG. En todo caso, el informe final deberá contener, además de los criterios establecidos en la etapa 2:&amp;nbsp;·&amp;nbsp;&amp;nbsp;&amp;nbsp;&amp;nbsp;&amp;nbsp;&amp;nbsp;&amp;nbsp;La priorización de aquellas herramientas con mayor potencial de implementación.·&amp;nbsp;&amp;nbsp;&amp;nbsp;&amp;nbsp;&amp;nbsp;&amp;nbsp;&amp;nbsp;Incluir recomendaciones estratégicas para su adopción futura. EVIDENCIAS DE CUMPLIMIENTO:·&amp;nbsp;&amp;nbsp;&amp;nbsp;&amp;nbsp;&amp;nbsp;&amp;nbsp;&amp;nbsp;Base de datos en formato Excel.·&amp;nbsp;&amp;nbsp;&amp;nbsp;&amp;nbsp;&amp;nbsp;&amp;nbsp;&amp;nbsp;Informe en formato Word. ·&amp;nbsp;&amp;nbsp;&amp;nbsp;&amp;nbsp;&amp;nbsp;&amp;nbsp;&amp;nbsp;El soporte de la presentación de cada etapa será la remisión de un correo electrónico dirigido al VP jurídico.EVALUACIÓN:El porcentaje de cumplimiento del objetivo será el cumplimiento de las 3 etapas, lo cual dará una calificación del 100% En caso de depender de factores o actores externos ajenos a la Dirección Jurídica, tales como disponibilidad de las entidades financieros, acceso a información confidencial, o restricciones operativas, dichos aspectos deberán ser documentados en el informe final. Se entenderá cumplido la etapa/hito si la Dirección Jurídica lo justifica debidamente en los informes. Los soportes se resguardarán en la siguiente ruta: P:\Objetivos\2025\Dirección Jurídica\natalia Andrea Pérez Mancera.&amp;nbsp;</t>
  </si>
  <si>
    <t>Visualización grafica del procedimiento de Garantía Global</t>
  </si>
  <si>
    <t>Durante al año 2025 diseñar y desarrollar de forma gráfica el procedimiento del producto de Garantía Global de conformidad con lo establecido en el Reglamento de Garantía Global y sus anexos. Esta herramienta deberá facilitar la comprensión del producto de garantía por parte de las diferentes áreas del FNG y contribuir a la optimización de los tiempos de respuesta a las consultas emitidas a la Subdirección de Gestión Jurídica del Negocio.ENTREGABLES:A 10 de octubre de 2025 remitir para aprobación a la Dirección Jurídica mediante correo electrónico la estructura del procedimiento. Peso 50%A 15 de diciembre de 2025 remitir a la Dirección Jurídica mediante correo electrónico la versión final del procedimiento del producto de Garantía Global representado de forma gráfica. Peso 50%EVIDENCIAS DEL CUMPLIMIENTO:Remisión de la estructura del producto a la Dirección jurídica.Remisión de la versión final del procedimiento del producto de Garantía Global representado de forma gráfica a la Dirección jurídica.Procedimiento del producto de Garantía Global representado de forma gráfica.EVALUACIÓN:El porcentaje de cumplimiento del objetivo será la sumatoria del peso asignado a cada hito/etapa, que se cumpla al 100%.Los soportes se resguardarán en la siguiente ruta: P:\Objetivos\2025\Dirección Jurídica\natalia Andrea Pérez Mancera.</t>
  </si>
  <si>
    <t>WIKI JURÍDICA 15%</t>
  </si>
  <si>
    <t>Contratar un desarrollador externo para que diseñe e implemente durante el segundo semestre de 2025, en coordinación con la Dirección Jurídica, un motor de búsqueda inteligente basado en inteligencia artificial (ChatGPT, Copilot, etc.), que se integre para usos prácticos con el repositorio interno de documentación legal (conceptos jurídicos internos o emitidos por asesores externos, respuesta a consultas, contratos, MOU’s, NDA’s, Boletines jurídicos y expedientes de procesos judiciales entre otros) con el fin de mantener organizada la memoria documental del FNG, automatizar procesos, mejorar la eficiencia, trazabilidad y precisión en las consultas sobre la información generada por la Dirección Jurídica. El prototipo de Wiki Jurídica deberá estar diseñado al 30 de noviembre de 2025. ENTREGABLES:-&amp;nbsp;&amp;nbsp;&amp;nbsp;&amp;nbsp;&amp;nbsp;&amp;nbsp;&amp;nbsp;&amp;nbsp;&amp;nbsp;&amp;nbsp;&amp;nbsp;Etapa 1:A 18 de julio de 2025, presentar a la Vicepresidencia Jurídica el estudio de mercado realizado con las ofertas obtenidas por parte de los potenciales contratistas. Peso 20% -&amp;nbsp;&amp;nbsp;&amp;nbsp;&amp;nbsp;&amp;nbsp;&amp;nbsp;&amp;nbsp;&amp;nbsp;&amp;nbsp;&amp;nbsp;&amp;nbsp;Etapa 2:A 16 de agosto de 2025, haber finalizado el proceso de contratación del desarrollador externo, previamente elegido con la Vicepresidencia Jurídica. Peso 30%-&amp;nbsp;&amp;nbsp;&amp;nbsp;&amp;nbsp;&amp;nbsp;&amp;nbsp;&amp;nbsp;&amp;nbsp;&amp;nbsp;&amp;nbsp;&amp;nbsp;Etapa 3:Al 30 de agosto de 2025, presentar a la Vicepresidencia Jurídica el repositorio jurídico actualizado desde el 1° de enero de 2024 a 30 de junio de 2025, ubicado en la herramienta público. Peso: 30%-&amp;nbsp;&amp;nbsp;&amp;nbsp;&amp;nbsp;&amp;nbsp;&amp;nbsp;&amp;nbsp;&amp;nbsp;&amp;nbsp;&amp;nbsp;&amp;nbsp;Etapa 4Al 30 de noviembre de 2025, entregar el prototipo de motor de búsqueda, el cual servirá para mejorar eficiencia, trazabilidad y memoria documental de la Dirección jurídica del FNG. Peso 20%-&amp;nbsp;&amp;nbsp;&amp;nbsp;&amp;nbsp;&amp;nbsp;&amp;nbsp;&amp;nbsp;&amp;nbsp;&amp;nbsp;&amp;nbsp;&amp;nbsp;EVIDENCIAS DE CUMPLIMIENTO:1.&amp;nbsp;&amp;nbsp;&amp;nbsp;&amp;nbsp;&amp;nbsp;Sondeo de mercado (ofertas)2.&amp;nbsp;&amp;nbsp;&amp;nbsp;&amp;nbsp;&amp;nbsp;Repositorio actualizado3.&amp;nbsp;&amp;nbsp;&amp;nbsp;&amp;nbsp;&amp;nbsp;Contrato4.&amp;nbsp;&amp;nbsp;&amp;nbsp;&amp;nbsp;&amp;nbsp;Prototipo motor de búsqueda &amp;nbsp;EVALUACIÓN:El porcentaje de cumplimiento del objetivo será la sumatoria del peso asignado a cada hito/etapa, que se cumpla al 100%. Los soportes se resguardarán en la siguiente ruta: P:\Objetivos\2025\Dirección Jurídica\natalia Andrea Pérez Mancera.&amp;nbsp;</t>
  </si>
  <si>
    <t>Director de Gestión y Recuperación de Cartera</t>
  </si>
  <si>
    <t>1020846054</t>
  </si>
  <si>
    <t>Nathalie Nicolle Bareño Naranjo</t>
  </si>
  <si>
    <t>5. Implementación de Modelos No Objetados</t>
  </si>
  <si>
    <t>Atender oportunamente las recomendaciones por parte de la SFC en el proceso de No Objeción metodología de estimación de Pérdidas y Reservas VIS e Institucional, a más tardar el 31 de diciembre de&amp;nbsp;2025. Este objetivo se alinea con el objetivo estratégico "3. Fortalecer la gestión y administración integral del riesgo para generar un adecuado ambiente de control" del PAI con la estrategia 3.1 Consolidar la gestión integral de riesgos, bajo la apuesta Modelos No Objetados. Entregable 1: Atender oportunamente las recomendaciones por parte de la SFC en el proceso de No Objeción metodología de estimación de Pérdidas y Reservas VIS e Institucional, a más tardar el 31 de diciembre de&amp;nbsp;2025. Este objetivo se alinea con el objetivo estratégico "3. Fortalecer la gestión y administración integral del riesgo para generar un adecuado ambiente de control" del PAI con la estrategia 3.1 Consolidar la gestión integral de riesgos, bajo la apuesta Modelos No Objetados.&amp;nbsp;Evidencia: Comunicaciones de respuesta a requerimientos de la SFC en el proceso de solicitud de concepto de no objeción&amp;nbsp;&amp;nbsp;Porcentaje: 100%&amp;nbsp;&amp;nbsp;&amp;nbsp;&amp;nbsp;&amp;nbsp;&amp;nbsp;&amp;nbsp;&amp;nbsp;&amp;nbsp;&amp;nbsp;&amp;nbsp;&amp;nbsp;&amp;nbsp;&amp;nbsp;&amp;nbsp;&amp;nbsp;&amp;nbsp;&amp;nbsp;&amp;nbsp;Indicador de medición: Suma de porcentaje de cumplimiento de los entregables</t>
  </si>
  <si>
    <t>7. Ajuste metodología actual de muestro</t>
  </si>
  <si>
    <t>Rediseñar, antes del 30 de octubre de 2025, la metodología actual de muestreo periódico. La metodología debe ser presentada al Comité SIAR y socializada con las áreas involucradas.&amp;nbsp;Entregable 1: Revisar conjuntamente con el equipo de vinculación, aseguramiento y calidad la propuesta de rediseño de la metodología a más tardar el 31 de julio de 2025 y como evidencia se registrará un acta de la sesión.&amp;nbsp;Evidencia: acta de la sesión.&amp;nbsp;Porcentaje: 50% | Entregable 2: Presentar la versión final de la metodología del modelo de muestreo periódico a más tardar el 30 de octubre al comité SIAR.&amp;nbsp;Evidencia: Presentación de la propuesta al Vicepresidente de Riesgos - Comité SIAR&amp;nbsp;Porcentaje: 50%&amp;nbsp;&amp;nbsp;&amp;nbsp;&amp;nbsp;&amp;nbsp;&amp;nbsp;&amp;nbsp;&amp;nbsp;&amp;nbsp;&amp;nbsp;&amp;nbsp;&amp;nbsp;&amp;nbsp;&amp;nbsp;&amp;nbsp;&amp;nbsp;&amp;nbsp;&amp;nbsp;&amp;nbsp;&amp;nbsp;&amp;nbsp;Indicador de medición: Suma de porcentaje de cumplimiento de los entregables</t>
  </si>
  <si>
    <t>Realizar una ruta de aprendizaje de Microsoft Learn para aprender a utilizar los servicios en la nube de Azure enfocados en Ciencia de Datos, Machine Learning o IA. Esta ruta de aprendizaje debe realizarse antes de 30 de septiembre y se debe presentar el certificado generado por la página.</t>
  </si>
  <si>
    <t>1. Prospectivo VMD Empresarial Vigilados</t>
  </si>
  <si>
    <t>Implementar la integración del modelo prospectivo al VMD Empresarial Vigilados, esta integración debe contemplar las etapas de Desarrollo de la propuesta, Actualización documental, Desarrollo de Aplicativos. La integración deberá realizarse antes del 30 de Diciembre de 2025. Este objetivo se alinea con el objetivo estratégico "3. Fortalecer la gestión y administración integral del riesgo para generar un adecuado ambiente de control" del PAI con la estrategia 3.1 Consolidar la gestión integral de riesgos, bajo la apuesta Aplicación de modelos prospectivos transversales a los sistemas de riesgos. Entregable 1: Implementar un análisis descriptivo y estadístico sobre los indicadores Financieros utilizados para la estimación del VMD empresarial vigilados, a más tardar 30 de Junio de 2025. El análisis debe ser socializado con el Director de Modelos Técnicos y/o Vicepresidente de Riesgos.&amp;nbsp;&amp;nbsp;Evidencia: Presentación en PPT con el análisis realizado.&amp;nbsp;Porcentaje: 27% | Entregable 2: Desarrollar una propuesta metodológica para la inclusión de un componente prospectivo en la metodología actual de VMD Empresarial Vigilados. La propuesta deberá ser socializada a más tarde el 31 de Agosto de 2025, la propuesta deberá ser discutida en el Comité SIAR.&amp;nbsp;Evidencia: Presentación de la propuesta al Comité SIAR&amp;nbsp;Porcentaje: 27% | Entregable 3: Actualizar la documentación relacionada a la estimación del VMD empresarial Vigilados para integrar el componente prospectivo en la metodología de estimación del VMD Empresarial Vigilados. La documentación debe ser actualizada antes del 30 de Septiembre de 2025. Los documentos deberán estar publicados en Isolución.&amp;nbsp;Evidencia: Documentación con el ajuste realizado&amp;nbsp;Porcentaje: 27% | Entregable 4: Diseñar códigos de ejecución para la implementación del componente prospectivo en la estimación del VMD empresarial Vigilados. Los códigos deberán ser actualizados antes del 30 de septiembre de 2025.&amp;nbsp;&amp;nbsp;Evidencia: Instructivo donde se especifique la ejecución del componente prospectivo&amp;nbsp;Porcentaje: 20%&amp;nbsp;&amp;nbsp;&amp;nbsp;&amp;nbsp;&amp;nbsp;&amp;nbsp;&amp;nbsp;&amp;nbsp;&amp;nbsp;&amp;nbsp;&amp;nbsp;&amp;nbsp;&amp;nbsp;&amp;nbsp;&amp;nbsp;&amp;nbsp;&amp;nbsp;&amp;nbsp;&amp;nbsp;Indicador de medición: Suma de porcentaje de cumplimiento de los entregables</t>
  </si>
  <si>
    <t>2. Ejecución del cálculo de reservas en la Nube</t>
  </si>
  <si>
    <t>Participar en el Proyecto Modelo de Gobierno de Datos, con la transferencia de conocimiento y el acompañamiento en la aplicación de pruebas para la migración del segundo caso de uso sobre el proceso del cálculo de reservas en la nube Azure. Dicha acompañamiento&amp;nbsp;se debe ajustar al cronograma del contratista DataKnow y debera realizarse antes del 30 de noviembre. Esté objetivo se alinea con el "IT015: Modelo de Gobierno de Datos" del PETI.&amp;nbsp;&amp;nbsp;&amp;nbsp;&amp;nbsp;&amp;nbsp;&amp;nbsp;&amp;nbsp;&amp;nbsp;&amp;nbsp;&amp;nbsp;&amp;nbsp;&amp;nbsp;&amp;nbsp;&amp;nbsp;&amp;nbsp;&amp;nbsp;&amp;nbsp;&amp;nbsp;&amp;nbsp;&amp;nbsp;&amp;nbsp;&amp;nbsp;&amp;nbsp;&amp;nbsp;&amp;nbsp;&amp;nbsp;&amp;nbsp;&amp;nbsp;&amp;nbsp;&amp;nbsp;&amp;nbsp;&amp;nbsp;&amp;nbsp;&amp;nbsp;&amp;nbsp;&amp;nbsp;&amp;nbsp;&amp;nbsp;Entregable 1: Realizar el entendimiento con el proveedor del proceso de reservas y la ejecución de los códigos. Las reuniones realizadas debe quedar como evidencia y se realizara grabación de las seciones y se dejara como entregable. Este entedimiento debe realizarse a más tardar el 31 de Agosto de 2025.&amp;nbsp;Evidencia: Grabación de la seciones.&amp;nbsp;Porcentaje: 53% | Entregable 2: Verificar la funcionalidad de la migración realizada por el proveedor en la nube con un set de pruebas acordado entre el proveedor y el FNG. El set de pruebas y la verificación deberá ser presentada antes del 30 de Noviembre de 2025.&amp;nbsp;Evidencia: Set de pruebas&amp;nbsp;&amp;nbsp;Porcentaje: 47%&amp;nbsp;&amp;nbsp;&amp;nbsp;&amp;nbsp;&amp;nbsp;&amp;nbsp;&amp;nbsp;&amp;nbsp;&amp;nbsp;&amp;nbsp;&amp;nbsp;&amp;nbsp;&amp;nbsp;&amp;nbsp;&amp;nbsp;&amp;nbsp;&amp;nbsp;&amp;nbsp;&amp;nbsp;Indicador de medición: Suma de porcentaje de cumplimiento de los entregables</t>
  </si>
  <si>
    <t>3. Calibración al modelo de reservas</t>
  </si>
  <si>
    <t>4. Tarifación Deudor</t>
  </si>
  <si>
    <t>Actualizar y presentar ante el comité SIAR, a mas tardar el 30 de Junio de 2025, los cálculos de la metodología para la estimación de tarifas a nivel deudor para el producto Multipropósito que permita cuantificar el valor de la tarifa cobrada y que incorpore el score crediticio de las centrales de información. Este objetivo se alinea con el objetivo estratégico "1. Promover la generación de créditos garantizados y reducir las barreras de acceso a la inclusión financiera, impactando favorablemente el tejido social y productivo del país" del PAI con la estrategia 1.1 Fortalecimiento del portafolio de productos y servicios del FNG, bajo la apuesta Mejorar el esquema de tarifación.&amp;nbsp;Entregable 1: Actualizar y presentar ante el comité SIAR, a más tardar el 30 de Junio de 2025, los cálculos de la metodología para la estimación de tarifas a nivel deudor para el producto Multipropósito que permita cuantificar el valor de la tarifa cobrada y que incorpore el score crediticio de las centrales de información. Este objetivo se alinea con el objetivo estratégico "1. Promover la generación de créditos garantizados y reducir las barreras de acceso a la inclusión financiera, impactando favorablemente el tejido social y productivo del país" del PAI con la estrategia 1.1 Fortalecimiento del portafolio de productos y servicios del FNG, bajo la apuesta Mejorar el esquema de tarifación.&amp;nbsp;Evidencia: Presentación de la propuesta al Vicepresidente de Riesgos - Comité SIAR&amp;nbsp;Porcentaje: 100%&amp;nbsp;&amp;nbsp;&amp;nbsp;&amp;nbsp;&amp;nbsp;&amp;nbsp;&amp;nbsp;&amp;nbsp;&amp;nbsp;&amp;nbsp;&amp;nbsp;&amp;nbsp;&amp;nbsp;&amp;nbsp;&amp;nbsp;&amp;nbsp;&amp;nbsp;&amp;nbsp;&amp;nbsp;Indicador de medición: Suma de porcentaje de cumplimiento de los entregables</t>
  </si>
  <si>
    <t>1026266971</t>
  </si>
  <si>
    <t>Nathaly Granada Bohorquez</t>
  </si>
  <si>
    <t>Transmisión del XBRL a la SFC</t>
  </si>
  <si>
    <t>Realizar la transmisión del XBRL de manera trimestral a la SFC un día hábil antes del vencimiento del plazo formal para transmitir, iniciando con la transmisión del trimestre de marzo de 2025 hasta la transmisión a realizarse del trimestre de septiembre de 2025.Indicador:Cantidad de informes reportados con un día de antelación al vencimiento legal / Total de reportes en el año.Entregables:Se evaluará por cada trimestre con el cumplimiento del Calendario Financiero 2025.Evidencias:P:\Objetivos\2025\Dirección de Contabilidad y Presupuesto\Nathaly Granada Bohórquez</t>
  </si>
  <si>
    <t>Realizar el cierre y la transmisión del PUC financiero mensual a la SFC un día hábil antes del vencimiento del plazo formal para transmitir, iniciando con la transmisión a realizarse en el mes de enero de 2025 hasta la transmisión a realizarse en el mes de diciembre de 2025.Indicador:(Cantidad de informes reportados con un día de antelación al vencimiento legal / Total de reportes en el año)&amp;nbsp;Entregables:Se evaluará por cada mes con el cumplimiento del Calendario Financiero 2025.Evidencias:P:\Objetivos\2025\Dirección de Contabilidad y Presupuesto\Nathaly Granada Bohórquez</t>
  </si>
  <si>
    <t>Revisión informes financieros contra SAP</t>
  </si>
  <si>
    <t>Realizar la revisión de los informes financieros contra SAP dentro de los 30 días siguientes a la fecha de transmisión de los Estados Financieros a la SFC. La revisión de los informes financieros contra SAP de enero a noviembre de 2025 deberá quedar elaborados dentro de los 30 días siguientes a la fecha de transmisión de los Estados Financieros a la SFC. Indicador:Cantidad de informes financieros contra SAP dentro del plazo establecido / Total de informes financieros contra SAP realizados en el año.Entregables:Envío de correo al subdirector o director de contabilidad en las fechas establecidas indicando la finalización de la tarea e indicando la ruta en donde se dispuso el informe.Evidencias:P:\Objetivos\2025\Dirección de Contabilidad y Presupuesto\Nathaly Granada Bohórquez</t>
  </si>
  <si>
    <t>Cargue en SGD de comprobantes contables</t>
  </si>
  <si>
    <t>Cargar en SGD los comprobantes contables del FNG derivados de los registros contables realizados por Dirección de contabilidad y Presupuesto correspondientes al año 2025. Los documentos de enero a noviembre deberán quedar cargados dentro de los 5 días hábiles siguientes a la fecha de transmisión de los Estados Financieros a la SFC. Indicador:Cantidad de documentos contables cargados en SGD dentro del plazo establecido / Total de documentos cargados en el año.Entregables:Envío de correo al subdirector o director de contabilidad en las fechas establecidas con evidencia del cargue en SGD e informe de revisión de completitud de documentos del mes.Evidencias:P:\Objetivos\2025\Dirección de Contabilidad y Presupuesto\Nathaly Granada Bohórquez&amp;nbsp;</t>
  </si>
  <si>
    <t xml:space="preserve">Eliminación Cuentas Sucursal Virtual de Bancolombia </t>
  </si>
  <si>
    <t>Eliminación por parte del Dirección de contabilidad y Presupuesto, de la Sucursal Virtual de Bancolombia, las cuentas que a los cortes de los meses de junio y noviembre del año 2025 no se les haya efectuado pagos los 6 meses anteriores. Dicha actividad se realizará máximo dentro del mes siguiente a cada corte. Indicador:• Informe de enero a junio 2025.&amp;nbsp;&amp;nbsp;&amp;nbsp;&amp;nbsp;&amp;nbsp;&amp;nbsp;&amp;nbsp;&amp;nbsp;&amp;nbsp;&amp;nbsp;&amp;nbsp;&amp;nbsp;&amp;nbsp;&amp;nbsp;&amp;nbsp;&amp;nbsp;&amp;nbsp;&amp;nbsp;&amp;nbsp;50%• Informe de julio a noviembre 2025.&amp;nbsp;&amp;nbsp;&amp;nbsp;&amp;nbsp;&amp;nbsp;&amp;nbsp;&amp;nbsp;&amp;nbsp;&amp;nbsp;&amp;nbsp;&amp;nbsp;&amp;nbsp;50% Entregables:Informe de enero a junio de 2025 realizado al 31 de julio de 2025 e informe de julio a noviembre de 2025 realizado al 31 de diciembre de 2025. Entregables para cada corte: * Informe en Excel de las cuentas a eliminar* PDF con el soporte de la eliminación por parte del usuario del Dirección de contabilidad y Presupuesto.*Correo al Departamento de Tesorería y Cartera solicitando la aprobación de la eliminación de las cuentas. Evidencias:P:\Objetivos\2025\Dirección de Contabilidad y Presupuesto\Nathaly Granada Bohórquez</t>
  </si>
  <si>
    <t>Realizar las planillas de las cuentas contables del mes de mayo a noviembre de 2025, deben quedar elaboradas el día 10 del mes siguiente al corte o el día hábil siguiente si este es fin de semana o festivo.Indicador:Cantidad de planillas realizadas dentro del plazo establecido / Total de planillas en el año.Entregables:Enviar correo al director o subdirector del departamento de contabilidad evidenciando el cumplimiento de la generación de las respectivas planillas.Evidencias:P:\Objetivos\2025\Dirección de Contabilidad y Presupuesto\Nathaly Granada Bohórquez</t>
  </si>
  <si>
    <t>Planes de Acción</t>
  </si>
  <si>
    <t>A 31 diciembre de 2025 lograr como mínimo el cumplimiento del 90% de las acciones formuladas durante la vigencia en los planes de acción y mejoramiento relacionados con las auditorías realizadas por la OCI, SFC, Revisoría Fiscal y CGR en las actividades relacionadas con la Dirección de Contabilidad y Presupuesto.Indicador:Cantidad de actividades de planes de mejoramiento cumplidas (# acciones ejecutadas) / # total de acciones incluidas en los planes a ser ejecutados al 31/12/2025.Entregables:Correo electrónico enviado en el cual se informe a la Oficina de control Interno - OCI el cumplimiento de las acciones, la modificación de fechas o entregables acordados, a este correo deben adjuntarse los soportes de evidencias que correspondan en cada caso.Evidencias:P:\Objetivos\2025\Dirección de Contabilidad y Presupuesto\Nathaly Granada Bohórquez</t>
  </si>
  <si>
    <t>4116931</t>
  </si>
  <si>
    <t>Nelson Enrique Medina Carreño</t>
  </si>
  <si>
    <t>Profesional Mesa de Servicio</t>
  </si>
  <si>
    <t>Autenticación por huella dactilar del lector de la cafetería</t>
  </si>
  <si>
    <t>Durante el 2025, configurar la&amp;nbsp;autenticación por huella dactilar en el lector de acceso a la cafetería institucional, con el propósito de alcanzar una cobertura del 70 % de los colaboradores al cierre del cuarto trimestre de 2025. Esta medida permitirá garantizar un acceso más eficiente y seguro a las instalaciones del comedor, asegurando el cierre automático de la puerta durante horarios de baja afluencia y previniendo el ingreso de personal no autorizado.Entregables:Se creara un informe trimestral con las evidencias donde se demuestra el cumplimiento de las mismas en la herramienta de control de acceso.</t>
  </si>
  <si>
    <t>Fortalecer durante el 2025 la capacidad de respuesta y atención en Ciberseguridad del FNG, mediante la implementación de las siguientes soluciones:1.Protección de Marca: Implementación de herramientas para la detección y mitigación de suplantaciones de identidad, fraudes digitales y usos indebidos de la imagen institucional en canales externos.&amp;nbsp;&amp;nbsp;2. Advance Report (GoAnywhere): Integración de una solución avanzada para la gestión segura de transferencias de archivos, con trazabilidad, control de accesos y generación de reportes automatizados.3. Control de Acceso a la Red (NAC): Despliegue de una solución de Network Access Control que permita identificar, autenticar y autorizar dispositivos conectados a la red del FNG, garantizando un entorno más seguro y controlado.Entregables:1. Documento contractual (Contrato Protección de Marca) Q22. Informe de implementación (Protección de Marca) Q33. Documento contractual (GoAnyWhere) Q34. Informe de implementación módulo Advance Report (GoAnyWhere) Q25. Documento contractual (Contrato NAC) Q36. Informe de implementación (NAC) Q4</t>
  </si>
  <si>
    <t>Base de conocimiento mesa de servicio</t>
  </si>
  <si>
    <t>Durante el 2025, implementar una plantilla de preguntas frecuentes en la mesa de servicio para optimizar la forma en que se redactan las&amp;nbsp;respuestas a través de ITSM Aranda, con el fin de estandarizar las comunicaciones y que estas siempre sean claras, precisas y fáciles de entender. Esta guía servirá como referencia práctica para todo el equipo, contribuyendo a una experiencia de usuario más eficiente y satisfactoria.Entregables:Q3Documento con las preguntas frecuentes.Q4Documento publicado en la intranet y Aranda.</t>
  </si>
  <si>
    <t xml:space="preserve">solución tecnológica que permita mantener actualizada las hojas de vida de los equipos de cómputo </t>
  </si>
  <si>
    <t>Durante el 2025, implementar&amp;nbsp;una solución tecnológica que permita mantener actualizadas las hojas de vida de los equipos de cómputo del FNG. Esta herramienta debe facilitar el registro y control de todos los mantenimientos correctivos y/o preventivos realizados, tanto a nivel de hardware como de software. El objetivo es contar con un sistema centralizado que brinde trazabilidad, facilite la toma de decisiones y contribuya a la prolongación de la vida útil de los activos tecnológicos de la entidad.Entregables:  Levantamiento de requerimiento (Q2), Acompañamiento validación y actualización de la historia de usuario (Q3), Desarrollo y pruebas integrales(Q4)</t>
  </si>
  <si>
    <t>Durante el 2025, atender a tiempo como mínimo el 95% de los casos de soporte tecnológico reportados en ARANDA a partir del 1 de enero de 2025 y hasta el 31 de diciembre de 2025. En donde 95 es igual al 90% y 96 o más es igual 100% de la meta, calculado proporcionalmente (menos de 95 equivale a cero puntos). Evidencia: Informe desde la herramienta definida para las mediciones “Aranda”.Entregables:Informe trimestral con las evidencias donde se demuestra el cumplimiento de las mismas.</t>
  </si>
  <si>
    <t>Continuar durante el 2025 con el proceso de modernización de la infraestructura tecnológica y de equipos de comunicaciones para soportar procesos de negocio como son la gestión de inversiones en la mesa de dinero, y la gestión administrativa mediante la dotación de nuevos recursos tecnológicos en ambientes de trabajo en el FNG. Incluye las pruebas de concepto, adquisiciones e instalaciones de:- Pruebas de concepto y/o implementación de Torretas en la mesa de dinero. (según valoración del área Financiera) Q3-Q4&amp;nbsp;- Instalación de equipos de videoconferencia en las salas de las Vicepresidencias. Q2-Q3- Dotación de equipos especializados para diseño e impresión y monitores para puestos de trabajo. Q2-Q4Entregables:Levantamiento de requerimiento (Q2), acompañamiento validación y actualización de la historia de usuario (Q3), Desarrollo y pruebas integrales(Q4)</t>
  </si>
  <si>
    <t>79815174</t>
  </si>
  <si>
    <t>Nelson Jimenez Torres</t>
  </si>
  <si>
    <t>Profesional de Riesgos No Financieros - PCN</t>
  </si>
  <si>
    <t>Descripción objetivo:A 31 de diciembre de 2025, llevar a cabo las actividades definidas para mejorar la calificación de madurez del Plan de Continuidad de Negocio (PCN) por lo menos en 6% respecto a la medición del año 2024 que fue de 3.4Este objetivo se vincula al objetivo estratégico número 5 "Promover el mejoramiento continuo a través del Sistema de Gestión Integral del FNG", vinculado a la estrategia 5.2. "Búsqueda de mejores prácticas de gestión y cumplimiento normativo" a través de la apuesta estratégica 2025: Fortalecimiento de los componentes asociados a los controles de la matriz de riesgos y controles de la EntidadFÓRMULA: # de actividades ejecutadas para el periodo evaluado / # de actividades planeadas para el periodo evaluado.ENTREGABLES:Q2: Plan de trabajo aprobado por el Vicepresidente de Riesgos y acta de la reunión de la URO correspondiente al mes de Junio donde se presenta el plan de trabajo.Peso: 20%Q3: Actas mensuales (julio, agosto y septiembre) de la reunión de la URO donde se presenta el cumplimiento de las actividades planeadas para el mes correspondiente.Peso: 40%Q4 Actas mensuales (octubre, noviembre y diciembre) de la reunión de la URO donde se presenta el cumplimiento de las actividades planeadas para el mes correspondiente.Peso: 40%</t>
  </si>
  <si>
    <t>Descripción objetivo:A 31 de diciembre de 2025, llevar a cabo la planificación, diseño y ejecución de las pruebas establecidas al PCN según plan de trabajo del año.&amp;nbsp;Este objetivo se vincula al objetivo estratégico número 5 "Promover el mejoramiento continuo a través del Sistema de Gestión Integral del FNG", vinculado a la estrategia 5.2. "Búsqueda de mejores prácticas de gestión y cumplimiento normativo" a través de la apuesta estratégica 2025: Fortalecimiento de los componentes asociados a los controles de la matriz de riesgos y controles de la EntidadFÓRMULA:Número de pruebas de continuidad ejecutadas para el periodo evaluado / Número de pruebas planeadas para el periodo evaluado.ENTREGABLES:Q2: Cronograma de pruebas aprobado por el Vicepresidente de Riesgos y acta de la reunión de la URO correspondiente al mes de Junio donde se presenta el cronograma.Peso: 20%Q3: Informe de resultados de las pruebas desarrolladas en el periodo de acuerdo con el plan de trabajo presentado a la URO y acta de la reunión de la URO en los meses donde se presente desarrollo de pruebas de continuidad.Peso: 40%Q4:&amp;nbsp;Informe de resultados de las pruebas desarrolladas en el periodo de acuerdo con el plan de trabajo presentado a la URO y acta de la reunión de la URO en los meses donde se presente desarrollo de pruebas de continuidad.Peso: 40%</t>
  </si>
  <si>
    <t>Descripción objetivo:A 31 diciembre de 2025 cumplir las acciones formuladas durante la vigencia en los planes de acción y mejoramiento relacionados con las auditorias realizadas por la Oficina de Control Interno OCI, Superintendencia Financiera de Colombia SFC, Revisoria Fiscal y Contraloría General de la República CGR en las actividades relacionadas con la gestión del PCNEste objetivo se vincula al objetivo estratégico número 5 "Promover el mejoramiento continuo a través del Sistema de Gestión Integral del FNG", vinculado a la estrategia 5.2. "Búsqueda de mejores prácticas de gestión y cumplimiento normativo" a través de la apuesta estratégica 2025: Fortalecimiento de los componentes asociados a los controles de la matriz de riesgos y controles de la EntidadFÓRMULA:# de acciones ejecutadas para el periodo evaluado / # total de acciones incluidas en los planes a ser ejecutadas en el periodo evaluado.ENTREGABLES: Q3: Correo electrónico dirigido a los entes de control que solicitaron planes de acción indicando el cumplimiento de las actividades definidas para el periodo y acta de la reunión de la Unidad de Riesgo Operacional URO correspondiente al mes de septiembre.Peso: 50%Q4:Correo electrónico dirigido a los entes de control que solicitaron planes de acción indicando el cumplimiento de las actividades definidas para el periodo y acta de la reunión de la URO correspondiente al mes de diciembre.Peso: 50%</t>
  </si>
  <si>
    <t>52269165</t>
  </si>
  <si>
    <t>Nidia Janneth Castillo Varela</t>
  </si>
  <si>
    <t>Director de Tesorería</t>
  </si>
  <si>
    <t>Indicador de Eficiencia Operativa - 	IEO</t>
  </si>
  <si>
    <t>Instructivo tipos de pagos</t>
  </si>
  <si>
    <t xml:space="preserve">Automatización control de Arqueo Mensual </t>
  </si>
  <si>
    <t>Cierre diario financiero</t>
  </si>
  <si>
    <t>Subdirector Regional Antioquia y Choco</t>
  </si>
  <si>
    <t>Vinculaciones y/o reactivaciones de intermediarios financieros en la Regional Antioquia y Chocó</t>
  </si>
  <si>
    <t>Lograr la vinculación y/o reactivación durante el año&amp;nbsp;2025, de nueve (9) intermediarios financieros en la Regional Antioquia y Chocó.Se medirá de acuerdo a la formula: # de vinculaciones año 2025 divido 9 y el resultado obtenido será la calificación final del objetivo según la formula, ejemplo: 5 vinculaciones/9 = 55.5%.&amp;nbsp;&amp;nbsp;&amp;nbsp;&amp;nbsp;&amp;nbsp;&amp;nbsp;&amp;nbsp;&amp;nbsp;&amp;nbsp;&amp;nbsp;&amp;nbsp;&amp;nbsp;&amp;nbsp;&amp;nbsp;&amp;nbsp;&amp;nbsp;&amp;nbsp;&amp;nbsp;&amp;nbsp;&amp;nbsp;&amp;nbsp;&amp;nbsp;&amp;nbsp;&amp;nbsp;&amp;nbsp;&amp;nbsp;&amp;nbsp;&amp;nbsp;&amp;nbsp;&amp;nbsp;&amp;nbsp;Evidencia: Correo de Confirmación de suscripción de contrato generado por la Dirección de Vinculación, Aseguramiento y Calidad</t>
  </si>
  <si>
    <t>Visitas a sucursales de Intermediarios Financieros de la Regional Antioquia y Chocó</t>
  </si>
  <si>
    <t>Realizar 1.395&amp;nbsp;visitas a sucursales activas gestionables de los Intermediarios Financieros del FNG en la Regional Antioquia y Chocó durante el año 2025. Realizar&amp;nbsp;1.395&amp;nbsp;visitas o más obtendrá un puntaje de 100%, realizar menos de 1.256&amp;nbsp;visitas obtendrá un puntaje de 0%.Formula: Se medirá de acuerdo a la tabla equitativa: donde al sacar un puntaje del 90% el puntaje será 90%, y así hasta llegar al 100%.&amp;nbsp;&amp;nbsp;&amp;nbsp;&amp;nbsp;&amp;nbsp;&amp;nbsp;&amp;nbsp;&amp;nbsp;&amp;nbsp;Evidencia: Informe Modelo de Actuación Comercial MAC Fuerza Propia generado por la dirección de estrategia comercial.</t>
  </si>
  <si>
    <t>Visitas a gerentes regionales y/o zonales de los Intermediarios Financieros de la Regional Antioquia y Chocó</t>
  </si>
  <si>
    <t>Realizar 45 visitas a gerentes regionales y/o zonales activos gestionables de Intermediarios Financieros del FNG&amp;nbsp;de la regional Antioquia y Chocó, durante el año 2025. Realizar 45 visitas o más obtendrá un puntaje de 100%, realizar menos de 41 visitas obtendrá un puntaje de 0%. Se medirá de acuerdo a la tabla equitativa: donde al sacar un puntaje del 90% el puntaje será 90%, y así hasta llegar al 100%.&amp;nbsp;&amp;nbsp;&amp;nbsp;&amp;nbsp;&amp;nbsp;&amp;nbsp;&amp;nbsp;&amp;nbsp;&amp;nbsp;&amp;nbsp;&amp;nbsp;&amp;nbsp;&amp;nbsp;&amp;nbsp;&amp;nbsp;&amp;nbsp;&amp;nbsp;&amp;nbsp;&amp;nbsp;&amp;nbsp;&amp;nbsp;&amp;nbsp;&amp;nbsp;&amp;nbsp;&amp;nbsp;&amp;nbsp;&amp;nbsp;&amp;nbsp;                   &amp;nbsp;Evidencia: Informe Modelo de Actuación Comercial MAC Fuerza Propia generado por la dirección de estrategia comercial</t>
  </si>
  <si>
    <t xml:space="preserve">Capacitaciones a gerentes regionales y/o zonales de los Intermediarios Financieros de la Regional Antioquia y Chocó </t>
  </si>
  <si>
    <t>Realizar 45 capacitaciones a regionales y/o zonales activos y gestionables de Intermediarios Financieros del FNG de la regional Antioquia y Chocó durante el año 2025.&amp;nbsp;Formula: Capacitaciones realizadas.Realizar 45 capacitaciones&amp;nbsp;o más obtendrá un puntaje de 100%, realizar menos de 41 capacitaciones obtendrá un puntaje de 0%. Se medirá de acuerdo a la tabla equitativa: donde al sacar un puntaje del 90% el puntaje será 90%, y así hasta llegar al 100%.&amp;nbsp;&amp;nbsp;&amp;nbsp;&amp;nbsp;&amp;nbsp;&amp;nbsp;&amp;nbsp;&amp;nbsp;&amp;nbsp;&amp;nbsp;&amp;nbsp;&amp;nbsp;&amp;nbsp;&amp;nbsp;&amp;nbsp;&amp;nbsp;&amp;nbsp;&amp;nbsp;&amp;nbsp;&amp;nbsp;&amp;nbsp;     Evidencia: Informe Modelo de Actuación Comercial MAC Fuerza Propia generado por la dirección de estrategia comercial.</t>
  </si>
  <si>
    <t>Movilización de créditos con garantía del FNG en la Regional Antioquia y Chocó</t>
  </si>
  <si>
    <t>Lograr al 31 de diciembre del año 2025 una movilización de créditos con garantías del FNG igual o superior al 100% de la Meta asignada por la Vicepresidencia Comercial a la Regional Antioquia y Chocó.&amp;nbsp;&amp;nbsp; Calificación proporcional entre la Meta asignada por la Vicepresidencia Comercial y&amp;nbsp;$3.431.681.198.665 (donde menor a $3.431.681.198.665 es 0% y la Meta signada o superior es el 100%)&amp;nbsp;La fórmula de medición del Rango: = (Resultado Indicador – Cumplimiento Mínimo) / (Meta – Cumplimiento Mínimo) x 100.&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Evidencia: Informe de cierre de Movilización del año 2025 generado por la dirección de Estrategia Comercial.</t>
  </si>
  <si>
    <t>Subdirector de Planeación Estratégica y Gestión de Procesos</t>
  </si>
  <si>
    <t>Descripción del objetivo: Lograr a 31-12-2025 la puesta en producción y apropiación por parte de las áreas correspondientes de los módulos ISOTOOLs, asegurando el cumplimiento y entrega del 100% de los módulos planificados, de la siguiente manera:Indicador: Su evaluación será proporcional a la suma de los porcentajes relacionados a cada entregable completado a satisfacción• Módulo de Gestión Documental: peso 20% - Entrega en Q3• Módulo de Indicadores: peso 20% - Entrega en Q3Entregable: Informe de avance de las actividades relacionadas para entrega en Q3, formalizado mediante correo electrónico al Director de Planeación y Gestión Integral.• Módulo de Auditoría: peso 20% - Entrega en Q4• Módulo de Mejora Continua: peso 20% - Entrega en Q4• Módulo de Proyectos: peso 20% - Entrega en Q4Entregable: Informe de avance de las actividades relacionadas para entrega en Q4, formalizado mediante correo electrónico al Director de Planeación y Gestión Integral.El objetivo esta alineado a la apuesta estratégica del PAI: Puesta en producción del Software del SGIUbicación: P:\Objetivos\2025\Dirección de Planeación y Gestión Integral\Omar Fernando Pérez Medina</t>
  </si>
  <si>
    <t>Descripción del Objetivo:Lograr a más tardar el 30-12-2025 el diseño de la metodología para la actualización del diagnóstico de la planeación estratégica del FNG, integrando herramientas para el análisis interno y externo, cumpliendo el 100 % de las actividades detalladas a continuación:Indicador: Su evaluación será proporcional a la suma de los porcentajes relacionados a cada entregable completado a satisfacciónActividades: 1. Diseñar el instructivo con las herramientas de diagnóstico estratégico: Peso 30 % – Entrega Q3-20252. Coordinar talleres de análisis interno y externo con procesos o colaboradores clave usando las herramientas del instructivo: Peso 20 % – Entrega Q3-2025Entregables:Informe de avance de las actividades relacionadas para entrega en Q3, formalizado mediante correo electrónico al Director de Planeación y Gestión Integral.3. Revisar los resultados y elaborar informe de análisis de resultados de las herramientas de diagnóstico: Peso 30 % – Entrega Q4-20254. Publicar instructivo y el diagnóstico de la planeación estratégica: Peso 20 % – Entrega Q4-2025Entregables:Informe de avance de las actividades relacionadas para entrega en Q4, formalizado mediante correo electrónico al Director de Planeación y Gestión Integral.&amp;nbsp;El objetivo esta alineado a la apuesta estratégica del PAI: Fortalecimiento de los componentes asociados a los controles de la matriz de riesgos y controles de la entidadUbicación de las Evidencias: P:\Objetivos\2025\Dirección de Planeación y Gestión Integral\Omar Fernando Pérez Medina</t>
  </si>
  <si>
    <t>Liderar la estructuración y despliegue de la matriz integral del MIPG en Isotools para todos los procesos del FNG</t>
  </si>
  <si>
    <t>Descripción del objetivo:Lograr a más tardar el 31-12-2025 la estructuración, validación, socialización y publicación de una matriz integral que articule las dimensiones del Modelo Integrado de Planeación y Gestión - MIPG con los criterios de las políticas de gestión, las preguntas de evaluación del FURAG y los responsables por dirección, de modo que cada líder de proceso pueda acceder a sus responsabilidades y consultarlas en Isotools, asegurando el cumplimiento del 100 % de las actividades necesarias que se describen a continuación:Indicador: Su evaluación será proporcional a la suma de los porcentajes relacionados a cada entregable completado a satisfacción.Actividades:1. Estructurar la matriz de MIPG y asegurar su revisión: Peso 25 % – Entrega Q4-20252. Validar contenido del avance de la matriz: Peso 25 % – Entrega Q4-20253. Difundir la matriz a los procesos del FNG: Peso 25 % – Entrega Q4-20254. Publicar la matriz en la caracterización de cada proceso en Isotools: Peso 25 % – Entrega Q4-2025Entregable: Informe de avance de las actividades&amp;nbsp;relacionadas para la entrega en Q4, formalizado mediante correo electrónico al Director de Planeación y Gestión Integral.&amp;nbsp;El objetivo esta alineado a la apuesta estratégica del PAI: Fortalecimiento de las políticas del MIPGUbicación: P:\Objetivos\2025\Dirección de Planeación y Gestión Integral\Omar Fernando Pérez Medina</t>
  </si>
  <si>
    <t>Fortalecer el modelo actual de gestión de indicadores y seguimiento a la gestión del FNG</t>
  </si>
  <si>
    <t>Descripción del Objetivo:Lograr a más tardar el 31-12-2025 la actualización del instructivo de formulación de indicadores y seguimiento a la gestión, incluyendo la definición y aplicación de parámetros de diseño de indicadores, la realización de mesas de trabajo con los responsables y el seguimiento/actualización de los indicadores en Isotools, garantizando el cumplimiento del 100 % de las actividades que se describen a continuación:Indicador: Su evaluación será proporcional a la suma de los porcentajes relacionados a cada entregable completado a satisfacciónActividades:1. Definir los parámetros de diseño de indicadores para su fortalecimiento: Peso 40 % – Entrega Q3-20252. Actualizar el instructivo formulación de indicadores y seguimiento a la gestión: Peso 20 % – Entrega Q3-2025Entregables: Informe de avance de las actividades relacionadas para entrega en Q3, formalizado mediante correo electrónico al Director de Planeación y Gestión Integral.3. Coordinar mesas de trabajo para revisión, análisis y modificación de todos los indicadores por proceso (aplicando el diseño): Peso 40 % – Entrega Q4-2025Entregables: Informe de avance de las actividades relacionadas para entrega en Q4, formalizado mediante correo electrónico al Director de Planeación y Gestión Integral.&amp;nbsp;El objetivo esta alineado a la apuesta estratégica del PAI: Fortalecimiento de batería de indicadores del SGIUbicación de las Evidencias:P:\Objetivos\2025\Dirección de Planeación y Gestión Integral\Omar Fernando Pérez Medina</t>
  </si>
  <si>
    <t>Liderar la actualización de la metodología de optimización de procesos y procedimientos del SGI</t>
  </si>
  <si>
    <t>Descripción del Objetivo:Lograr a más tardar el 31-12-2025 la definición, validación y aplicación piloto de una metodología para el rediseño de procedimientos del Sistema de Gestión Integrado (SGI) del FNG, incluyendo la creación de una sección en el manual de elaboración de documentos, la divulgación de sus componentes y la publicación de los primeros procedimientos rediseñados, asegurando el cumplimiento del 100 % de las actividades necesarias que se describen a continuación.Indicador: Su evaluación será proporcional a la suma de los porcentajes relacionados a cada entregable completado a satisfacciónActividades:1. Definir los lineamientos de la propuesta de metodología de rediseño de procedimientos: Peso 20% – Entrega Q3-2025Entregable: Informe de avance de las actividades relacionadas para entrega en Q3, formalizado mediante correo electrónico al Director de Planeación y Gestión Integral.2. Revisar y aprobar el documento que aplique y formato de elaboración de procedimientos conforme a la nueva metodología: Peso 20 % – Entrega Q4-20253. Difundir video o infografía en los canales internos de comunicación de la Entidad: Peso 20 % – Entrega Q4-20254. Aplicar la metodología piloto en mínimo un procedimiento de cada proceso asegurando su publicación en Isotools: Peso 40 % – Entrega Q4-2025Entregable: Informe de avance de las actividades relacionadas para entrega en Q4, formalizado mediante correo electrónico al Director de Planeación y Gestión Integral.&amp;nbsp;El objetivo esta alineado a la apuesta estratégica del PAI: Mantenimiento del SGI enfocado al rediseño de procedimientos y automatización de procesosUbicación: P:\Objetivos\2025\Dirección de Planeación y Gestión Integral\Omar Fernando Pérez Medina</t>
  </si>
  <si>
    <t>1032462577</t>
  </si>
  <si>
    <t>Oscar Alejandro Lara Herrera</t>
  </si>
  <si>
    <t>Líder Funcional Enlace de Operaciones y Riesgos</t>
  </si>
  <si>
    <t>Aseguramiento de calidad funcional de los proyectos de la hoja de ruta PETI y evolutivos IT005_Piloto de Motor de gestión productos y servicios de garantías</t>
  </si>
  <si>
    <t>Durante el 2025 realizar la mentoría y aseguramiento de calidad&amp;nbsp;funcional, de&amp;nbsp;los proyectos de la hoja de ruta&amp;nbsp;PETI y de evolutivos  IT005_Piloto de Motor de gestión productos y servicios de garantías Q2: 50% Caracterización proceso parametría SAP y pruebas funcionales del proceso de creación de productos de garantías, Mapeo de puntos de dolor y/u oportunidades de mejora proceso de creación de productos de garantías IT005 Q3: 50% Plan de gestión proyecto piloto alcance funcional IT005Se calificará proporcional al resultado para cada Q.</t>
  </si>
  <si>
    <t>Aseguramiento de calidad funcional de los proyectos de la hoja de ruta PETI y evolutivos- IT013_Actualización técnica del sistema SAP ERP</t>
  </si>
  <si>
    <t>Durante el 2025 realizar la mentoría y aseguramiento de calidad&amp;nbsp;funcional, de&amp;nbsp;los proyectos de la hoja de ruta&amp;nbsp;PETI y de evolutivos  IT013_Actualización técnica del sistema SAP ERP Q1: 50% Informe IT013 de pruebas SAP ERP EHP8 QAS (línea base y evolutivos)   Q2: 50%&amp;nbsp;Documento de recomendaciones funcionales IT013 consultoría funcional  Se calificará proporcional al resultado para cada Q.</t>
  </si>
  <si>
    <t>Aseguramiento de calidad funcional de los proyectos de la hoja de ruta PETI y evolutivos IT030_Rediseño y optimización de procesos R&amp;R</t>
  </si>
  <si>
    <t>Durante el 2025 realizar la mentoría y aseguramiento de calidad&amp;nbsp;funcional, de&amp;nbsp;los proyectos de la hoja de ruta&amp;nbsp;PETI y de evolutivos  IT030_Rediseño y optimización de procesos R&amp;amp;R Q4: 100% Plan de pruebas funcionales proyecto IT030, Inventario, escenarios y casos de prueba aprobado proyecto IT030, Informe de ejecución de pruebas proyecto IT030 Se calificará proporcional al resultado para cada Q.</t>
  </si>
  <si>
    <t>Aseguramiento de calidad funcional de los proyectos de la hoja de ruta PETI y evolutivos - IT027_Actualización - Rediseño Marco de Referencia Arquitectura Empresarial</t>
  </si>
  <si>
    <t>Durante el 2025 realizar la mentoría y aseguramiento de calidad&amp;nbsp;funcional, de&amp;nbsp;los proyectos de la hoja de ruta&amp;nbsp;PETI y de evolutivos  IT027_Actualización - Rediseño Marco de Referencia Arquitectura Empresarial Q3: 100% Dasboard arquitectura en Abacus IT027 Se calificará proporcional al resultado para cada Q.</t>
  </si>
  <si>
    <t>Aseguramiento de calidad funcional de los proyectos de la hoja de ruta PETI y evolutivos- IT026_Ejecución SAP Clean Core / Remedial aplicativos funcionales</t>
  </si>
  <si>
    <t>Durante el 2025 realizar la mentoría y aseguramiento de calidad&amp;nbsp;funcional, de&amp;nbsp;los proyectos de la hoja de ruta&amp;nbsp;PETI y de evolutivos  IT026_Ejecución SAP Clean Core / Remedial aplicativos funcionales Q4: 100% Plan de pruebas funcionales proyecto IT026, Inventario, escenarios y casos de prueba proyecto IT026, Informe de ejecución de pruebas proyecto IT026 Se calificará proporcional al resultado para cada Q.</t>
  </si>
  <si>
    <t>Durante el 2025 proponer esquema (estrategia, gobierno y modelo) base de innovación que apalanque los procesos de innovación del FNG IT034_Innovalab.  Q3: 50%&amp;nbsp;propuesta IT034 de modelo, gobierno, estrategia de innovación Q4: 50 % Informe de avance IT034 del programa Innovalab    Se calificará proporcional al resultado para cada Q.</t>
  </si>
  <si>
    <t>Aseguramiento de calidad funcional de los proyectos de la hoja de ruta PETI y evolutivos RF-15682-1-12376_Evolutivo Listas restrictivas</t>
  </si>
  <si>
    <t>Durante el 2025 realizar la mentoría y aseguramiento de calidad&amp;nbsp;funcional, de&amp;nbsp;los proyectos de la hoja de ruta&amp;nbsp;PETI y de evolutivos  RF-15682-1-12376_Evolutivo Listas restrictivas Q4: 100% Plan de pruebas funcionales proyecto,&amp;nbsp;Inventario, escenarios y casos de prueba aprobado proyecto, Informe de ejecución de pruebas proyecto&amp;nbsp; Se calificará proporcional al resultado para cada Q.</t>
  </si>
  <si>
    <t>Durante el 2025 realizar la actualización de la versión del Manual de gestión de proyectos de IT  Dirección PTDI Q3: 50% Templates de artefactos PGP, mapa stakeholders y PMR, Cargue y codificación templates de artefactos de PGP, mapa stakeholders y PMR Q4: 50% Manual de Gestión de proyectos de TI actualizado, con artefactos PGP, mapa stakeholders y PMR Se calificará proporcional al resultado para cada Q.</t>
  </si>
  <si>
    <t>1023908288</t>
  </si>
  <si>
    <t>Oscar Dario Farfan Pineda</t>
  </si>
  <si>
    <t>Administrador de Base de Datos</t>
  </si>
  <si>
    <t>Piloto actualización Motor base de datos  SQL SERVER 2022 para Artemisaz y Clu-sql</t>
  </si>
  <si>
    <t>Durante 2025 para Q4, Realizar la actualización al motor de base de datos de SQL Server Standard 2022, como prueba piloto para los servidores de artemisaz y clu-sql, con miras a la modernización de la plataforma de Bases de datos de la entidad.Entregable Documento con las evidencias de pruebas piloto del motor de base de datos.</t>
  </si>
  <si>
    <t>PoC Firewall de base de datos</t>
  </si>
  <si>
    <t>Durante 2025 para Q3, realizar una prueba de concepto (PoC) de un Firewall de bases de datos con el fin de analizar la posibilidad de adquisición de la herramienta para la seguridad de los motores de bases de datos y su monitoreo, esto fortalecerá los esquemas de seguridad a los datos y nos dará un diagnostico de la situación actual.Entregable Documento con las evidencias de los resultados de la PoC.</t>
  </si>
  <si>
    <t>Creacion de Flujo Anexos 5, 7 y 7A para intermediarios financieros</t>
  </si>
  <si>
    <t>Durante 2025 para Q3, Crear el flujo de los archivos de Anexo 5, 7 y 7A, para cada intermediario financiero, realizando la extracción de data solicitada para la creación de estos 03 archivos por cada uno de los intermediarios financieros que hoy en día cuentan con circularización, así mismo crear los Job de ejecución diarios a fin de alimentar las herramientas con la que interactúa.Entregable Documento con las actividades realizadas, configuraciones y resultados finales.</t>
  </si>
  <si>
    <t>Migración y Actualización motor base de datos  de Electra</t>
  </si>
  <si>
    <t>Durante 2025 para Q4, realizar la migración y actualización del motor de base de datos de SQL server 2012 a 2019 del servidor Electra, junto con todas las bases de datos existentes y que son susceptibles a la migración, con el fin de actualizar los motores de base de datos que no tienen soporte en la actualidad mejorando los niveles de la obsolescencia tecnológica.Entregable Documento con las evidencias de migración y actualización.</t>
  </si>
  <si>
    <t>1031139440</t>
  </si>
  <si>
    <t>Oscar Eduardo Guana Raba</t>
  </si>
  <si>
    <t>Técnico Audiovisual</t>
  </si>
  <si>
    <t>Crónicas para redes</t>
  </si>
  <si>
    <t>Descripción:Realizar mínimo 6 crónicas en el 2025 para redes socialesNota: la publicación de las crónicas dependerá de la parrilla y los tiempos de la Subdirección de Estrategia Digital Indicador:Actividades ejecutadasQ4: (100%) grabación y edición de 6 crónicas Entregables:Q4: repositorio en OneDrive enviado al jefe directo con las 6 crónicas aprobadas</t>
  </si>
  <si>
    <t>Descripción:Rediseñar la interfaz de la Intranet a 31 de julio de 2025 Indicador:% de avance de las actividadesQ2 (50%) Presentar, en reunión de avances del área, el prototipo de rediseño de la Intranet al vicepresidente ejecutivo para su aprobación Q3 (50%) Realizar la divulgación de la nueva interfaz de la Intranet en los canales internosEntregables :Q2: Correo del vicepresidente ejecutivo dando su aprobación al rediseño de la Intranet.Q3: Informe que incluya: - Evidencias del rediseño de la Intranet - Evidencias de divulgación del rediseño de la Intranet en canales internos</t>
  </si>
  <si>
    <t>Manual de marca audiovisual</t>
  </si>
  <si>
    <t>Descripción:A cierre de septiembre, crear un manual de marca para video, teniendo en cuenta la colorimetría, las tipografías, el uso del espacio y las formas de grabación, con el fin de que todos los videos mantengan una identidad visual coherenteIndicador:Manual finalizadoSeptiembre: (100%) el manual finalizado y aprobado equivaldrá al 100% de la calificación Entregables:Septiembre: manual finalizado y aprobado por el subdirector de mercadeo y comunicaciones y la directora de Marca Institucional.</t>
  </si>
  <si>
    <t>Videos para estrategia de eventos</t>
  </si>
  <si>
    <t>Descripción:Para la vigencia 2025, definir la estrategia de participación en eventos y asegurar su implementación. La estrategia debe incluir: - Realización de 40 videos para los diferentes eventos Indicador :Actividades ejecutadasQ2 (50%): presentación de la estrategiaQ4 (50%): informe final con los videos publicados en el marco de la estrategiaEntregables:Q2: presentación con la identidad visual para los diferentes eventosQ4: repositorio en OneDrive con los 40 videos realizados para los diferentes eventos enviado al correo de jefe inmediato</t>
  </si>
  <si>
    <t>Descripción:Para el 2025, lograr una califación de 9,45 en la encuesta de satisfacción de cliente interno, manteniendo el resultado obtenido en 2024Indicador :Q4 (100%) Obtener una medición de 9,45 en la encuesta de satisfacción del cliente interno equivale al 100% de la calificación, 9,40 equivaldrá al 90%, 9,30 al 80% y 9,20 al 0%Entregables:Q4: resultado de la encuesta</t>
  </si>
  <si>
    <t>Fotos corporativas</t>
  </si>
  <si>
    <t>Descripción:A 31 de diciembre de 2025, actualizar las fotografías corporativas de todos los colaboradoresNota: se pueden generar desviaciones por colaboradores que se nieguen a tomarse una foto nuevaIndicador:% de avance de actividadesQ4: la actualización del 100% de las fotos de los colaboradores, corresponderá al 100% del cumplimiento:La actualización del 95% corresponderá al 99% del cumplimientoLa actualización del 90% corresponderá al 98% del cumplimientoLa actualización del 85% corresponderá al 50% del cumplimientoLa actualización del 80% corresponderá al 0% del cumplimientoEntregables:repositorio en OneDrive enviado al jefe directo con las fotos actualizadas</t>
  </si>
  <si>
    <t>Descripción:Para el Q2, definir, implementar y ejecutar el plan de comunicaciones estratégicas que contribuyan a reforzar el posicionamiento del FNG, el cual debe incluir:- Plan de relacionamiento con medios- Plan de pauta en mediosIndicador:Q2 (50%): plan de comunicaciones estratégicas que incluya plan de relacionamiento con medios y  plan de pauta en mediosQ4 (50%): informe de la implementación del planEntregable:Q2: presentar al VP ejecutivo, en reunión de avances del área, el plan de comunicaciones estratégicasQ4: enviar un informe al VP ejecutivo con las evidencias de la implementación del plan</t>
  </si>
  <si>
    <t>80013310</t>
  </si>
  <si>
    <t>Oscar Fabian Reyes Tovar</t>
  </si>
  <si>
    <t>Profesional de Aseguramiento y Calidad</t>
  </si>
  <si>
    <t>Redefinir, antes del 31 de diciembre de 2025, el proceso de aseguramiento de calidad del FNG, partiendo de un diagnóstico estructurado del proceso actual (AS-IS) y finalizando con el diseño de la versión futura (TO-BE), orientada a su automatización.&amp;nbsp;Medición: El objetivo se cumple al 100% con la ejecución de todas las actividades, el resultado final corresponderá a la suma de los porcentajes de cumplimiento de cada actividad ejecutada y debidamente soportada, las cuales corresponden a las siguientes:Entregable 1 (35%) – Al 31 de julio de 2025, presentar a la Vicepresidencia Comercial el diagnóstico del proceso actual (AS-IS) para su validación, el cual incluya:Flujograma actual del proceso, tiempo de ciclo, identificación de actividades con y sin valor agregado, causas-raíz de la problemática y sondeo con los intermediarios financieros sobre la viabilidad de consultar las garantías objeto de aseguramiento en el portal transaccional.Entregable acta de la sesión con conclusiones, recomendaciones o sugerencias.Entregable 2 (35%) – Al 30 de septiembre de 2025, con el resultado del diagnóstico desarrollar el prototipo del rediseño del proceso de aseguramiento de calidad (TO-BE) y presentar a la Vicepresidencia Comercial para su validación, el cual incluya:Flujograma del proceso rediseñado, identificación de posibles integraciones requeridas, batería de indicadores, riesgos asociados, propuesta de cronograma y fases de implementación sugeridas del proyecto de automatización para 2026 (sí aplica).Presentación del Business&amp;nbsp;Case (sí aplica). Identificación y solicitud de necesidades de presupuesto y contratación (sí aplica).Entregable acta de la sesión con conclusiones, recomendaciones o sugerencias.Entregable 3 (30%) – Al 30 de noviembre de 2025, presentar en una mesa de trabajo con la Dirección de Planeación, el alcance de Historia de Usuario – HU que contenga el prototipo de rediseño del proceso de aseguramiento de calidad, denominado “Asegura+” (si se considera viable en el resultado del entregable 2), para que se realice la evaluación y se determine la viabilidad de automatizar el proceso de aseguramiento en 2026. Entregable: acta de la sesión con conclusiones, recomendaciones o sugerencias junto con correo electrónico remitido al área solicitando su concepto de viabilidad.Los entregables se encontrarán en la siguiente ruta: P:\Objetivos\2025\Dirección de Vinculación, Aseguramiento y Calidad\Oscar Fabian Reyes Tovar&amp;nbsp;Frecuencia del monitoreo: Enero a diciembre de 2025</t>
  </si>
  <si>
    <t>Rediseñar, antes del 31 de diciembre de 2025, la metodología del modelo de certificación de calidad del FNG, iniciando con la identificación de brechas y oportunidades de mejora en la metodología actual y finalizando con la implementación de una nueva metodología aprobada, documentada y socializada con las áreas involucradas.&amp;nbsp;Medición: El objetivo se cumple al 100% con la ejecución de todas las actividades, el resultado final corresponderá a la suma de los porcentajes de cumplimiento de cada actividad ejecutada y debidamente soportada, las cuales corresponden a las siguientes:&amp;nbsp;Entregable 1 (25%): Al 30 de junio de 2025, presentar el prototipo desarrollado (PPT) que consolide los resultados de las mesas de trabajo realizadas con las áreas involucradas. La evidencia será la presentación en PPT y la sesión grabada en teams.&amp;nbsp;Entregable 2 (25%): Al 31 de julio de 2025, presentar por la parte de la Dirección de Vinculación, Aseguramiento y Calidad la versión final de rediseño del modelo de certificación a Comité Evaluador para su correspondiente aprobación, evidencia acta de la sesión.&amp;nbsp;Entregable 3 (30%): Al 30 de agosto de 2025, presentar por la Dirección de Vinculación, Aseguramiento y Calidad o Vicepresidencia Comercial la versión final de rediseño del modelo de certificación a la instancia que corresponda (Comité de Garantías o Comité de Integrado de Riesgos (Comité SIAR de Garantías o Junta Directiva) para su correspondiente decisión, evidencia acta de la sesión.&amp;nbsp;Entregable 4 (Peso 20%): Al 19 de diciembre de 2025, actualizar en ISOLUCION la documentación los siguientes documentos relacionados con el procesoMA-AGA-010 Manual de políticas proceso de certificación de calidadIN-AGA-113 Instructivo evaluación calificación certificación intermediariosFR-AGA-069 Evaluación y calificación del intermediario objeto de certificación&amp;nbsp;Evidencia del cumplimiento:Los entregables se encontrarán en la siguiente ruta: P:\Objetivos\2025\Dirección de Vinculación, Aseguramiento y Calidad\Oscar Fabian Reyes Tovar&amp;nbsp;Frecuencia del monitoreo: enero a diciembre de 2025</t>
  </si>
  <si>
    <t xml:space="preserve">Ejecutar el entregable 1 del objetivo de área correspondiente al Rediseño de la metodología de certificación de calidad, consolidando los avances en un documento formal. </t>
  </si>
  <si>
    <t>Al 30 de junio de 2025, presentar un prototipo en formato PPT, construido a partir de los resultados de las mesas de trabajo realizadas con las áreas involucradas, y enviado por el profesional de Aseguramiento y Calidad mediante correo electrónico dirigido a la Dirección y Subdirección de Vinculación, Aseguramiento y Calidad, con el fin de soportar la toma de decisión sobre el nuevo modelo.La PPT deberá contener:1.&amp;nbsp;&amp;nbsp;&amp;nbsp;&amp;nbsp;&amp;nbsp;Cronología de las mesas realizadas y acuerdos alcanzados.2.&amp;nbsp;&amp;nbsp;&amp;nbsp;&amp;nbsp;&amp;nbsp;Criterios de elegibilidad.3.&amp;nbsp;&amp;nbsp;&amp;nbsp;&amp;nbsp;&amp;nbsp;Componentes del nuevo modelo y sus pesos.4.&amp;nbsp;&amp;nbsp;&amp;nbsp;&amp;nbsp;&amp;nbsp;Categorías y calificaciones.5.&amp;nbsp;&amp;nbsp;&amp;nbsp;&amp;nbsp;&amp;nbsp;Simulación de posibles escenarios.Evidencia del cumplimiento: Los entregables se encontrarán en la siguiente ruta: P:\Objetivos\2025\Dirección de Vinculación, Aseguramiento y Calidad\Oscar Fabian Reyes Tovar</t>
  </si>
  <si>
    <t>Al 31 de diciembre de 2025, mejorar la calidad de los entregables a clientes internos y externos. Mediante la medición del producto no conforme el cual se define como un error, imprecisión u omisión en una comunicación entregada (correo, presentación, informes, actas y contratos), en el cual se ha identificado el incumplimiento de un requisito de calidad por parte de la Subdirección, Dirección del equipo, un comité interno o un cliente externo. Este objetivo mide fondo, no forma.&amp;nbsp;Medición: El objetivo mensual se considera cumplido al 100% si no se identifica ningún producto no conforme. La calificación final corresponderá al promedio de las calificaciones mensuales obtenidas.&amp;nbsp;No. eventos mes&amp;nbsp;&amp;nbsp;&amp;nbsp;&amp;nbsp;&amp;nbsp;&amp;nbsp;&amp;nbsp;&amp;nbsp;&amp;nbsp;&amp;nbsp;&amp;nbsp;&amp;nbsp;Calificación0&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100%1&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95%2&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90%3 o más&amp;nbsp;&amp;nbsp;&amp;nbsp;&amp;nbsp;&amp;nbsp;&amp;nbsp;&amp;nbsp;&amp;nbsp;&amp;nbsp;&amp;nbsp;&amp;nbsp;&amp;nbsp;&amp;nbsp;&amp;nbsp;&amp;nbsp;&amp;nbsp;&amp;nbsp;&amp;nbsp;&amp;nbsp;&amp;nbsp;&amp;nbsp;&amp;nbsp;&amp;nbsp;&amp;nbsp;&amp;nbsp;&amp;nbsp;&amp;nbsp;&amp;nbsp;&amp;nbsp;&amp;nbsp;&amp;nbsp;&amp;nbsp;&amp;nbsp;&amp;nbsp;&amp;nbsp;&amp;nbsp;&amp;nbsp;&amp;nbsp;&amp;nbsp;0%&amp;nbsp;Frecuencia del monitoreo: Julio 1 a diciembre 31 de 2025&amp;nbsp;Evidencia del cumplimiento:Los entregables se encontrarán en la siguiente ruta: P:\Objetivos\2025\Dirección de Vinculación, Aseguramiento y Calidad\Oscar Fabian Reyes Tovar</t>
  </si>
  <si>
    <t>Rediseñar, antes del 31 de diciembre de 2025, la metodología actual de muestreo periódico del proceso de aseguramiento de calidad.&amp;nbsp;Medición: El objetivo se cumple al 100% con la ejecución de todas las actividades, el resultado final corresponderá a la suma de los porcentajes de cumplimiento de cada actividad ejecutada y debidamente soportada, las cuales corresponden a las siguientes:﻿Entregable 1 (Peso 20%): Al 30 de mayo de 2025, entrega de insumo que contiene el diagnóstico y propuesta de modelo híbrido con la solicitud formal de revisión de la propuesta y rediseño del modelo actual. Esta solicitud se realiza por correo electrónico a la Dirección de modelos técnicos desde el correo de la Subdirección de Vinculación, Aseguramiento y Calidad.&amp;nbsp;Entregable 2 (Peso 30%): Al 30 de agosto de 2025, en una sesión con los equipos de la Vicepresidencia de Riesgos y Vicepresidencia Comercial, incluidos la Dirección de Modelos Técnicos y Dirección de Vinculación, Aseguramiento y Calidad, revisar la propuesta de rediseño de la metodología y como evidencia se registrará un acta de la sesión.&amp;nbsp;Entregable 3 (Peso 30%): Al 30 de octubre de 2025, presentar para aprobación la versión final de la metodología del modelo de muestreo periódico a la instancia que corresponda (Comité de Garantías o Comité de Integrado de Riesgos (Comité SIAR de Garantías o Junta Directiva) como evidencia se tendrá la presentación ante el Comité y el acta correspondiente.&amp;nbsp;Entregable 4 (Peso 20%): Al 19 de diciembre de 2025, entregar el insumo a la Dirección de Modelos Técnicos para la actualización documental de la metodología en el proceso de aseguramiento de calidad que se encuentra en el manual MA-GRI-005 Manual Unificado del Sistema de Administración del Riesgo de Garantías, numeral 11. Derechos de inspección.&amp;nbsp;Evidencia del cumplimiento:Los entregables se encontrarán en la siguiente ruta: P:\Objetivos\2025\Dirección de Vinculación, Aseguramiento y Calidad\Oscar Fabian Reyes Tovar&amp;nbsp;Frecuencia del monitoreo: mayo a diciembre 31 de 2025</t>
  </si>
  <si>
    <t>Al 31 de diciembre de 2025, ejecutar el cierre del proceso de Aseguramiento de Calidad correspondiente a las 179 garantías asignadas para revisión, conforme al cronograma de trabajo definido para el segundo semestre de 2025. El nivel de cumplimiento se evaluará con base en el porcentaje de cierre efectivo de dichas garantías, de acuerdo con la siguiente escala proporcional:&amp;nbsp;=&amp;gt; 95% de cierre: cumplimiento del 100%= 80 y &amp;lt; 95%: será proporcional al cumplimiento alcanzado&amp;lt; 80: el cumplimiento será 0%&amp;nbsp;Medición&amp;nbsp;Número total garantías cerradas*/Número total de garantías a cerrar* en el período. *Garantías en estado: conforme, no conforme u otro&amp;nbsp;Evidencia&amp;nbsp;La gestión de las garantías será registrada en los Formularios de revisión de garantías y la evidencia serán los informes de gestión emitidos por la Subdirección del área y que se encuentran en la siguiente ruta: P:\Vice_Comercial\Dir_Aseguramiento_Calidad\DI_Informes\Informes_Gestion\2025&amp;nbsp;Evidencia del cumplimiento:Los entregables se encontrarán en la siguiente ruta: P:\Objetivos\2025\Dirección de Vinculación, Aseguramiento y Calidad\Oscar Fabian Reyes Tovar</t>
  </si>
  <si>
    <t>Subdirector de Estrategia Comercial</t>
  </si>
  <si>
    <t>Implementar durante el año 2025 un tablero en línea, con actualización diaria (corte al día anterior) y opción de descarga, que sirva como herramienta de consulta y apoyo estratégico para las visitas comerciales a las sucursales de los intermediarios financieros (IF).El tablero integrará información clave como presupuesto asignado por oficina, nivel de ejecución, indicadores de siniestralidad, cartera en mora, portafolio de productos vigentes, circulares aplicables, nuevos programas y productos especiales, así como novedades relevantes del entorno comercial, con el fin de facilitar una gestión más informada, proactiva y alineada con los objetivos institucionales.Entregable: Correo de entrega del diseño y/o tablero funcionando, con la aprobación de la dirección de estrategia comercial. Fecha máxima de entrega 15 de octubre de 2025.PORCENTAJE DE CUMPLIMIENTO:Primer entregable: Correo de aprobación del diseño del tablero por parte la dirección comercial. Peso = 40%Segundo entregable: Correo de aprobación del tablero probado y funcionando por parte de la dirección comercial. Peso = 60%</t>
  </si>
  <si>
    <t>Diseñar e implementar durante el año 2025 una estrategia integral orientada a fortalecer el relacionamiento con el sector solidario, con el propósito de incrementar la movilización de la cartera cooperativa. Esta estrategia estará fundamentada en la caracterización de la vocación crediticia de las cooperativas, en un plan de abordaje estructurado, en una atención personalizada alineada con sus necesidades específicas, en el desarrollo de atributos diferenciadores para el sector, y en un sistema de seguimiento y control que permita monitorear su evolución comercial.* Entregable 1: Correo de aprobación de la Vicepresidenta Comercial. Fecha máxima de entrega 15 de julio de 2025.* Entregable 2: Correo de aprobación de la Vicepresidenta Comercial. Fecha máxima de entrega 15 de octubre de 2025.* Entregable 3: Correo de aprobación de la Vicepresidenta Comercial. Fecha máxima de entrega 23 de enero de 2026.PORCENTAJE DE CUMPLIMIENTO:* Primer entregable: Presentación con el diagnóstico inicial del uso de las garantías del sector solidario, el planteamiento de la estrategia&amp;nbsp;y el plan de trabajo a realizar. Peso: 20%* Segundo entregable: Informe de avance de la estrategia al cierre del Q3. Peso: 40%* Tercer entregable: Informe final y resultados de la estrategia al cierre del Q4. Peso: 40%</t>
  </si>
  <si>
    <t>Diseñar e implementar durante el año 2025 una estrategia integral orientada a incrementar la movilización del producto "Garantía Global". Esta estrategia se basará en la ejecución de jornadas grupales de socialización del producto en alianza con Colombia Fintech y los gremios cooperativos, en el abordaje individual y personalizado de entidades interesadas, y en la atención integral (comercial y operativa) de los clientes vinculados que actualmente operan de manera exclusiva con esta garantía, con el fin de fortalecer su experiencia y fomentar su continuidad y expansión.* Entregable 1: Correo de aprobación de la Vicepresidenta Comercial. Fecha máxima de entrega 15 de julio de 2025.* Entregable 2: Correo de aprobación de la Vicepresidenta Comercial. Fecha máxima de entrega 15 de octubre de 2025.* Entregable 3: Correo de aprobación de la Vicepresidenta Comercial. Fecha máxima de entrega 23 de enero de 2026.PORCENTAJE DE CUMPLIMIENTO:* Primer entregable: Presentación con el diagnóstico inicial del uso del producto de "garantía global", el planteamiento de la estrategia&amp;nbsp;y el plan de trabajo a realizar. Peso: 20%* Segundo entregable: Informe de avance de la estrategia al cierre del Q3. Peso: 40%* Tercer entregable: Informe final y resultados de la estrategia al cierre del Q4. Peso: 40%</t>
  </si>
  <si>
    <t>Implementar un informe de seguimiento y control mensual que proporcione información de los Intermediarios Financieros que no presentan movilización, o que disminuyeron la utilización de garantías, con el fin de identificar factores subsanables mediante&amp;nbsp;gestión comercial e identificar las entidades que definitivamente no están interesadas y&amp;nbsp;proceder a depurarlos de la base de clientes.&amp;nbsp;* Entregable 1: Correo de entrega a la dirección de estrategia comercial. Fecha máxima de entrega 15 de julio de 2025.* Entregable 2: Correo de entrega a la dirección de estrategia comercial. Fecha máxima de entrega 15 de octubre de 2025.* Entregable 3: Correo de entrega a la dirección de estrategia comercial. Fecha máxima de entrega 23 de enero de 2026.PORCENTAJE DE CUMPLIMIENTO:* Primer entregable: Informe de seguimiento junio 2025. Peso: 20%* Segundo entregable: Informe de seguimiento julio-agosto-septiembre 2025. Peso: 40%* Tercer entregable: Informe de seguimiento octubre-noviembre-diciembre 2025. Peso: 40%</t>
  </si>
  <si>
    <t>1020779731</t>
  </si>
  <si>
    <t>Paloma Azucena Molano Rojas</t>
  </si>
  <si>
    <t>Profesional de Riesgos de Garantías</t>
  </si>
  <si>
    <t xml:space="preserve">Diseño de herramienta interna para la gestión de Sistema de Administración de Riesgo Operacional SARO según plan de trabajo </t>
  </si>
  <si>
    <t>En el marco del PAI 2025, y con el propósito de abordar el Objetivo Estratégico 5: Promover el mejoramiento continuo a través del Sistema de Gestión Integral del FNG, y a su vez, contribuir a la estrategia 5.2: Búsqueda de mejores prácticas de gestión y cumplimiento normativo en cuanto a la apuesta estratégica " Fortalecimiento de los componentes asociados a los controles de la matriz de riesgos y controles de la entidad", la Dirección de Riesgo de Garantías establece el siguiente objetivo:&amp;nbsp;Diseñar e implementar una solución integral que incluya (i) una base de datos en SQL Server para consolidar y actualizar información sobre riesgos operativos del FNG proveniente de matrices en Excel y fuentes externas, con seguimiento mediante registros de cambios filtrables por código, fecha o área, y (ii) un tablero interactivo en Tableau conectado a esta base, que permita visualizar la información con filtros por área, fecha, riesgos y controles, y genere visuales tipo semáforo por niveles de criticidad.&amp;nbsp;Entrega Q2: Plan de trabajo. Diagnóstico y análisis de histórico de matrices de la 1 al 49. Script en Python para carga automática desde matrices consolidadas a una estructura de tabla en Excel. Peso: 40%&amp;nbsp;Entrega Q3: Tabla en SQL Server con datos cargados. Reporte con ejemplos de consultas por código, área o fecha. Peso:50%&amp;nbsp;Entrega Q4: Diseño del mockup del tablero con filtros definidos. Primera versión del tablero en Tableau con semáforo por criticidad y filtros operativos. Peso: 10%&amp;nbsp;</t>
  </si>
  <si>
    <t xml:space="preserve">Actualización del Modelo Empresarial SFC con Componentes Prospectivo </t>
  </si>
  <si>
    <t>En el marco del PAI 2025, y con el propósito de abordar el Objetivo Estratégico 3: Fortalecer la gestión y administración integral del riesgo para generar un adecuado ambiente de control, y a su vez, contribuir a la estrategia 3.1: Consolidar la gestión integral de Riesgos en cuanto a la apuesta estratégica " Aplicación de modelos prospectivos transversales a los sistemas de riesgos", la Dirección de Riesgo de Garantías establece el siguiente objetivo:&amp;nbsp;Diseñar y presentar al Comité SIAR, antes del 31 de diciembre de 2025, un modelo actualizado del Valor Máximo Discrecional (VMD) empresarial para intermediarios vigilados por la Superintendencia Financiera de Colombia, que incluya un componente prospectivo basado en variables macroeconómicas y tendencias sectoriales, con el fin de fortalecer la evaluación del Indicador Financiero (IF). Este objetivo impacta el&amp;nbsp;&amp;nbsp;Indicador: Modelo Actualizado&amp;nbsp;Entrega Q2: Entrega de la base al área de Modelos Técnicos los insumos para la construcción de los indicadores que se evalúan actualmente en el modelo. Peso: 15%&amp;nbsp;Socialización a través de reunión Teams con el equipo de Modelos Técnicos para el entendimiento del modelo VMD Vigilado Actual (Grabación Reunión). Peso: 15%&amp;nbsp;Entrega Q3: Script de Python con ajustes metodológicos. Peso: 30%. Ajuste del modelo Actual con el componente prospectivo en archivo Excel. Peso: 15% Presentación de la propuesta al comité SIAR. Peso: 25%.&amp;nbsp;</t>
  </si>
  <si>
    <t xml:space="preserve"> Informes de riesgo con información exógena</t>
  </si>
  <si>
    <t>En el marco del PAI 2025, y con el propósito de abordar el Objetivo Estratégico 1: Promover la generación de créditos garantizados y reducir las barreras de acceso a la inclusión financiera, impactando favorablemente el tejido social y productivo del país, y a su vez, contribuir a la estrategia 1.3: Ampliación de la base de intermediarios financieros en cuanto a la apuesta estratégica "Consolidación y diversificación del portafolio de clientes canal", la Dirección de Riesgo de Garantías establece el siguiente objetivo:&amp;nbsp;Presentar ante el comité de garantías en los diferentes trimestres informes de riesgo con información exógena y endógena que permitan comparar dinámicamente los riesgos del sector financiero e internos y hacer un comparable con nuestra captura de riesgo, de esa manera se brindarán herramientas nuevas de análisis para la toma de decisiones tanto comerciales como estratégicas.&amp;nbsp;Entregable Q2: Tablero con información exógena de la Superintendencia Solidaria, haciendo uso de ella en las presentaciones de los cupos que se presentan para aprobación en las reuniones de la Vicepresidencia de Riesgos. Peso: 20%&amp;nbsp;Entregable Q3: Tabla de datos con información del FNG, SuperSolidaria y SFC, al mismo corte de reporte de la información, cargado en la partición DRIESGO, - ARTEMISAZ, Peso: 20%. Tablero con información comparativa del FNG vs. Información exógena presentado en el informe de Siniestralidad Peso:10%. Tablero con la movilización y características de los productos de cada intermediario para Garantía Global, cargado en la nuevo de Tableau Peso:10%.&amp;nbsp;&amp;nbsp;Entregable Q4: Presentación al comité de garantías de la información exógena vs interna comparada Peso: 30%. Tablero de seguimiento de flujos de entrada y salida de clientes al segmento de preferente (revisar el seguimiento de riesgo de los salientes) Peso: 10%.&amp;nbsp;</t>
  </si>
  <si>
    <t>En el marco del PAI 2025, y con el propósito de abordar el Objetivo Estratégico 5: Promover el mejoramiento continuo a través del Sistema de Gestión Integral del FNG, y a su vez, contribuir a la estrategia 5.2: Búsqueda de mejores prácticas de gestión y cumplimiento normativo en cuanto a la apuesta estratégica " Fortalecimiento de los componentes asociados a los controles de la matriz de riesgos y controles de la entidad", la Dirección de Riesgo de Garantías establece el siguiente objetivo:&amp;nbsp;Presentar ante el vicepresidente de Riesgos o el Comité de Garantías del FNG las evaluaciones de los intermediarios financieros para la asignación o renovación de cupos de Valor Máximo Discrecional y Garantía Global, garantizando la calidad de la información. Para ello, se medirá un indicador de devoluciones originadas por deficiencias en la información, el cual tendrá un umbral de cumplimiento del 10% sobre el total de evaluaciones presentadas&amp;nbsp;Entregable Q2: Definición y aceptación por la Vicepresidencia de Riesgos del indicador de devolución para la dirección de riesgos de garantías por medio de correo electrónico. Peso: 40%&amp;nbsp;Entregable Q3: primer Informe de evaluación del tercer trimestre del 2025 sobre el indicador de calidad. En este informe se determina si el equipo cumplió con el indicador teniendo el umbral definido en Q2 y se evaluará en el mes de octubre. Evidencia: Correo de decisiones de la Vicepresidencia de riesgos o Acta del Comité Garantías. Peso: 30%&amp;nbsp;Entregable Q4: segundo Informe de evaluación del tercer trimestre del 2025 sobre el indicador de calidad. En este informe se determina si el equipo cumplió con el indicador teniendo el umbral definido en Q2 y se evaluará en el mes de enero 2026. Evidencia: Correo de decisiones de la Vicepresidencia de riesgos o Acta del Comité Garantías. Peso: 30%&amp;nbsp;</t>
  </si>
  <si>
    <t xml:space="preserve">Fortalecimiento de capacidades al equipo de la dirección comercial </t>
  </si>
  <si>
    <t>En el marco del PAI 2025, y con el propósito de abordar el “Objetivo Estratégico 1: Promover la generación de créditos garantizados y reducir las barreras de acceso a la inclusión financiera, impactando favorablemente el tejido social y productivo del país” y&amp;nbsp; el “Objetivo Estratégico 6: Contar con un equipo humano competente, motivado y alineado con los valores corporativos, que impulse el crecimiento del negocio” que a su vez, contribuyen en las estrategias “1.3: Ampliación de la base de intermediarios financieros” y “6.2: Cualificación del talento humano” impactando las apuestas&amp;nbsp; estratégicas "Consolidación y diversificación del portafolio de clientes canal” y " Desarrollo de habilidades técnicas, blandas y digitales del talento humano para la transformación digital del FNG", la Dirección de Riesgo de Garantías establece el siguiente objetivo:&amp;nbsp;Fortalecer el conocimiento del equipo de la dirección comercial del FNG en temas de análisis financiero, riesgos e información exógena mediante talleres interactivos segmentados por tema y audiencia que faciliten los flujos de los procesos entre el área comercial, el Intermediarios Financieros, y el área de riesgos de garantías.&amp;nbsp;&amp;nbsp;Entregable Q2: Cronograma de capacitaciones. Presentación con el material de formación para las sesiones de fortalecimiento. Listados de asistencia. Evaluación de conocimiento. Peso: 34%&amp;nbsp;Entregable Q3: Cronograma de capacitaciones. Presentación con el material de formación para las sesiones de fortalecimiento. Listados de asistencia. Evaluación de conocimiento. Peso: 33%&amp;nbsp;Entregable Q4: Cronograma de capacitaciones. Presentación con el material de formación para las sesiones de fortalecimiento. Listados de asistencia. Evaluación de conocimiento. Peso: 33%&amp;nbsp;&amp;nbsp;</t>
  </si>
  <si>
    <t xml:space="preserve">Modelo Fintech </t>
  </si>
  <si>
    <t>En el marco del PAI 2025, y con el propósito de abordar el Objetivo Estratégico 1: Promover la generación de créditos garantizados y reducir las barreras de acceso a la inclusión financiera, impactando favorablemente el tejido social y productivo del país, y a su vez, contribuir a la estrategia 1.1: Fortalecimiento del portafolio de productos y servicios del FNG en cuanto a la apuesta estratégica "Desarrollo y/o rediseño de productos adaptados a las dinámicas y necesidades de mercado", la Dirección de Riesgo de Garantías establece el siguiente objetivo:&amp;nbsp;Proponer al Comité SIAR en el Q4 un nuevo modelo para la asignación del Valor Máximo Discrecional Empresarial a las entidades originadoras clasificadas como Fintech, que incorpore revisiones cualitativas y cuantitativas, teniendo en cuenta las características diferenciadoras de estas entidades en comparación con otras.&amp;nbsp;Indicador: Porcentaje de avance de la entrega del Modelo.&amp;nbsp;Entregable Q3: Base de datos para el análisis del modelo depurada. Peso: 60%&amp;nbsp;Entregable Q4: Presentación propuesta Modelo Fintech para Comité SIAR Peso: 20%. Reunión evidencia presentación Comité SIAR Peso: 20%.&amp;nbsp;</t>
  </si>
  <si>
    <t>En el marco del PAI 2025, y con el propósito de abordar el Objetivo Estratégico 1: Promover la generación de créditos garantizados y reducir las barreras de acceso a la inclusión financiera, impactando favorablemente el tejido social y productivo del país, y a su vez, contribuir a la estrategia 1.3: Ampliación de la base de intermediarios financieros en cuanto a la apuesta estratégica "Consolidación y diversificación del portafolio de clientes canal", la Dirección de Riesgo de Garantías establece el siguiente objetivo:&amp;nbsp;Presentar ante el vicepresidente de Riesgos o el Comité de Garantías del FNG las evaluaciones de los intermediarios financieros para la asignación o renovación de cupos de Valor Máximo Discrecional y Garantía Global, midiendo este indicador en los meses en los que el volumen de evaluaciones supere la capacidad operativa de la Dirección de Riesgo de Garantías, mediante análisis financieros y de riesgos individuales por entidad, aplicando las metodologías aprobadas en el SARG&amp;nbsp;Entregable Q2: Determinación de la capacidad actual de evaluación de cupo. Peso: 40%&amp;nbsp;Entregable Q3: primer Informe de evaluación del tercer trimestre del 2025 sobre la capacidad de respuesta del equipo de riesgos de garantías en la evaluación de cupos de los intermediarios financieros asignados. En este informe se determina si el equipo cumplió con el indicador teniendo el umbral definido en Q2 y se evaluará en el mes de octubre. Evidencia: Correo de decisiones de la Vicepresidencia de riesgos o Acta del Comité Garantías. Peso: 30%&amp;nbsp;Entregable Q4: segundo Informe de evaluación del cuarto trimestre del 2025 sobre la capacidad de respuesta del equipo de riesgos de garantías en la evaluación de cupos de los intermediarios financieros asignados. En este informe se determina si el equipo cumplió con el indicador teniendo el umbral definido en Q2 y se evaluará en el mes de enero 2026. Evidencia: Correo de decisiones de la Vicepresidencia de riesgos o Acta del Comité Garantías. Peso: 30%&amp;nbsp;</t>
  </si>
  <si>
    <t>En el marco del PAI 2025, y con el propósito de abordar el Objetivo Estratégico 1: Promover la generación de créditos garantizados y reducir las barreras de acceso a la inclusión financiera, impactando favorablemente el tejido social y productivo del país, y a su vez, contribuir a la estrategia 1.1: Fortalecimiento del portafolio de productos y servicios del FNG en cuanto a la apuesta estratégica " Creación de modelo de apoyo y análisis del riesgo de productos nuevos", la Dirección de Riesgo de Garantías establece el siguiente objetivo:&amp;nbsp;Desarrollar el perfilamiento y la tarifa de nuevos productos solicitados a lo largo del año, utilizando metodologías de riesgo alternativas a las tradicionales, que capturen de manera más precisa el riesgo, y permitan realizar comparaciones con las metodologías convencionales. Esto con el fin de ajustar las comisiones y optimizar la suficiencia tarifaria.&amp;nbsp;Entregable Q2:&amp;nbsp; Script de R para el cálculo de la probabilidad de incumplimiento del producto de empresas del sector energético. Correo con la tarifa de productos no tradicionales. Peso: 40%&amp;nbsp;Entregable Q3: Correo con la tarifa de productos no tradicionales solicitados. Comparación de los resultados de los modelos generados en una presentación para la Vicepresidencia de Riesgos en una reunión. Peso: 20%&amp;nbsp;Entregable Q4: Seguimiento de los productos nuevos generados a través de las cosechas para evaluar la pérdida esperada a través de una presentación realizada al comité de Garantías. Peso: 20%&amp;nbsp;</t>
  </si>
  <si>
    <t>En el marco del PAI 2025, y con el propósito de abordar el Objetivo Estratégico 1: Promover la generación de créditos garantizados y reducir las barreras de acceso a la inclusión financiera, impactando favorablemente el tejido social y productivo del país, y a su vez, contribuir a la estrategia 1.1: Fortalecimiento del portafolio de productos y servicios del FNG en cuanto a la apuesta estratégica " Mejorar el esquema de tarifación", la Dirección de Riesgo de Garantías establece el siguiente objetivo:&amp;nbsp;Diseñar y presentar al comité SIAR del tercer trimestre una propuesta para implementar productos con control parcial de originación, basados en la evaluación de la Probabilidad de Incumplimiento mediante Score, con el fin de reducir la brecha entre los productos multipropósito y preferente.&amp;nbsp;Entrega Q2: Entrega de la base a los Buros para la revisión del Backtest. Entrega del backtest de los Buros al área de modelos Técnicos. Peso: 20%&amp;nbsp;Evaluación de la tarifa del producto alterno y presentación de la propuesta al comité SIAR, bajo la metodología operativa de Preferente. Peso: 80%&amp;nbsp;</t>
  </si>
  <si>
    <t>Subdirector de Gestión Administrativa</t>
  </si>
  <si>
    <t>Ejecutar para 2025 la contratación del Plan Anual de Adquisiciones aprobado para los contratos asignados a la Subdirección de Gestión Administrativa. Su evaluación será proporcional al número de procesos aprobados y contratados para la vigencia, de acuerdo con el PAA aprobado por el Comité Institucional de Gestión y Desempeño. La evaluación iniciará a partir del Q2.&amp;nbsp;Indicador: No. de procesos aprobados en el Plan / No. procesos ejecutados *100Entregable: Informe trimestral a Q2, Q3 y Q4 de los procesos contratados presentado al(a) director(a) del departamento de Felicidad.Ubicación de las evidencias: Z:\Objetivos\2025\Dirección de Felicidad</t>
  </si>
  <si>
    <t>Contratación del Programa de Seguros (Intermediación, Grupo 1 al 5 y grupo 6 y 7)</t>
  </si>
  <si>
    <t>Lograr durante el segundo semestre de 2025 la contratación del programa de seguros de acuerdo con las siguientes características:1. Contratación del intermediario de seguros:Para el 15 de agosto, seleccionar el contratista que acompañara en la asesoría y ejecución del Programa de Seguros del FNG. Peso 20%2. Contratación de los Grupos 1 al 5 del programa de segurosQ3: El 30 de julio de 2025 se remitirán los documentos para la publicación del proceso del proceso Grupos 1 al 5 a la Dirección de Contratación.Q4: al 15 de noviembre se realizará la evaluación de las propuestas para la Selección del contratista.&amp;nbsp;Nota: En caso de que alguno de los grupos se declare desierto se realizará nuevamente el proceso de elaboración y publicación de los documentos según el caso. Se solicitará la prorroga&amp;nbsp;de las pólizas vigentes y se modificará el entregable. Peso 40%3. Contratación de los Grupos 6 y 7 del programa de segurosQ3: El 20 de julio de 2025 se remitirán los documentos para la publicación del proceso para el grupo 6 y 7 a la Dirección de Contratación.Q4: al 30 de septiembre se realizará la evaluación de las propuestas para la Selección del contratista.Nota: Si hay prórroga, se reevaluará el peso del objetivo. En caso de declararse desierto se realizara nuevamente el proceso de elaboración y publicación de los documentos y se solicitará la prorroga&amp;nbsp;de las pólizas vigentes. Peso 40%Indicador: 3 procesos contractuales de seguros realizados / 3 procesos contractuales de seguros planeados.Entregables:Documentos técnicos remitidosEvaluación de los proponentesContratos celebradosUbicación de las evidencias: Z:\Objetivos\2025\Dirección de Felicidad</t>
  </si>
  <si>
    <t>Plan Institucional de Archivo</t>
  </si>
  <si>
    <t>Lograr a 31-12-2025 el cumplimiento del 100% Plan Institucional de Archivo de acuerdo con el Decreto 612-2018, relacionado con la Dirección de Felicidad, el cual será monitoreado por el Comité Institucional de Gestión y Desempeño.Su evaluación será proporcional al resultado obtenido en el plan.Evidencia: Acta de Comité Institucional de Gestión y Desempeño donde se evidencia el cumplimiento de los planes, presentados en cada Q.&amp;nbsp;Ubicación de las evidencias: Z:\Objetivos\2025\Dirección de Felicidad</t>
  </si>
  <si>
    <t>Proyecto de inventarios activos fijos</t>
  </si>
  <si>
    <t>Conformar el equipo del proyecto de inventarios del FNG y apoyar su ejecución en 2025 de acuerdo con el cronograma aprobado y según las instrucciones recibidas de la Dirección de Proyectos del FNG.Su medición será proporcional al porcentaje de avance de cada entregable (ejemplo: si se cumple al 80% el cronograma la calificación sera 80 puntos) y la medición final sera la suma del cumplimiento de todos los entregables.los entregables serán:Q2 - Q3 : Entregar la información de los bienes muebles e inmuebles del FNG para la construcción del modulo de inventarios en el aplicativo indicado por la Entidad. Peso: 30%Q4: Ejecución de actividades de acuerdo con el cronograma establecido por la dirección de proyectos transformación digital e innovación para el proyecto de inventarios. Peso 20%Ubicación de evidencias: Publico/Objetivos/felicidad</t>
  </si>
  <si>
    <t>Lograr a 31-12-2025 el cumplimiento del 100% de los&amp;nbsp;planes del Decreto 612-2018, relacionados con la Dirección de Felicidad, los cuales son monitoreados por el Comité Institucional de Gestión y Desempeño.Plan Estrategico de Gestión Humana: peso 10%&amp;nbsp;Plan de Capacitación: peso 20%Plan de Bienestar :peso 20%Plan de Seguridad y Salud en el Trabajo: peso 20%Plan de Gestión Ambiental 30%Su evaluación será proporcional al resultado obtenido en cada plan. (ejemplo: si se hace el 90% de las actividades la calificación sera 90 puntos- Si la calificación es menor a 80% su calificación sera cero).Entregables: Acta de Comité Institucional de Gestión y Desempeño donde se evidencia el cumplimiento de los planes, presentados en cada Q.&amp;nbsp;Ruta de la evidencia: Z:\Objetivos\2025\Dirección de Felicidad</t>
  </si>
  <si>
    <t xml:space="preserve">Evaluación del Sistema de Gestión Documental </t>
  </si>
  <si>
    <t>Elaborar en el 2025 la evaluación del Sistema de Gestión Documental de la Entidad teniendo en cuenta los lineamientos establecidos por el Modelo Integrado de Planeación y Gestión - MIPG:Q3: El 30 de septiembre de 2025 se entregará diligenciado el autodiagnóstico del Modelo Integrado de Planeación y Gestión - MIPG establecido para gestión documental. Peso 30%Q4: De acuerdo con el resultado del autodiagnóstico, el 30 de noviembre de 2025 se presentará los siguientes documentos:&amp;nbsp;1. el plan de trabajo&amp;nbsp;del Sistema de Gestión Documental para la vigencia 2026. Peso 35%2. Esquema del modelo de Gestión Documental para el FNG. Peso 35%indicador: No. de entregables entregados / No. de entregables planeados *100Entregables:autodiagnóstico diligenciadoPlan de trabajo para 2026Esquema del modelo de Gestión DocumentalUbicación de las evidencias: Z:\Objetivos\2025\Dirección de Felicidad</t>
  </si>
  <si>
    <t>Subdirector de Servicios Tecnológicos</t>
  </si>
  <si>
    <t>Configuración e Implementación del Sistema Diálogo a través de VPN</t>
  </si>
  <si>
    <t>Para el tercer y cuarto trimestre Configurar e implementar a través de VPN el sistema Diálogo en los equipos portátiles de los funcionarios de la Mesa de Dinero y Tesorería, garantizando asi&amp;nbsp;un acceso seguro con el fin de&amp;nbsp;Mejorar la comunicación y eficiencia operativa.Entregables: Q2 documento de viabilidad Q3 Configuracon equipos mesa de dinero y Tesoreria</t>
  </si>
  <si>
    <t>Fomentar la Cultura de Usabilidad del Servicio en la Mesa de Servicio</t>
  </si>
  <si>
    <t>Durante el año 2025 Implementar campañas que fomenten una cultura de usabilidad del servicio que se presta en la mesa de servicios&amp;nbsp;a través de la herramienta Aranda, con el fin&amp;nbsp;de optimizar los procesos internos y&amp;nbsp;de esta manera mejorar la experiencia de servicio.Entregables:Q2) Inicio de campaña, recolección de información para entrega a Marca institucional,(Q3) 1&amp;nbsp;video de Uso de la herramienta (Q4)&amp;nbsp;2 capsulas de apoyo</t>
  </si>
  <si>
    <t>Continuar durante el 2025 con el proceso de modernización de la infraestructura tecnológica y de equipos de comunicaciones para soportar procesos de negocio como son la gestión de inversiones en la mesa de dinero, y la gestión administrativa mediante la dotación de nuevos recursos tecnológicos en ambientes de trabajo en el FNG. Incluye las pruebas de concepto, adquisiciones e instalaciones de:- Pruebas de concepto y/o implementación de Torretas en la mesa de dinero. (según valoración del área Financiera) Q3-Q4&amp;nbsp;- Instalación de equipos de videoconferencia en las salas de las Vicepresidencias. Q2-Q3- Dotación de equipos especializados para diseño e impresión y monitores para puestos de trabajo. Q2-Q4Entregables Q2- Contrato los equipos de video- Contrato de equipo de diseño- Contrato compra de monitoresQ3- Informe de Instalación los equipos de video- Acta de recibo de equipo de diseño- Contrato de compra de impresoraQ4- Informe de POC de acuerdo con lo evaluado por la Vicepresidencia Financiera o Compra e Instalación torretas a cargo de la Vicepresidencia de TD e Innovación Q4&amp;nbsp;- Informe de POC o Instalación torretas- Acta de entrega de impresora- Acta de recibo de monitores</t>
  </si>
  <si>
    <t>Modernización e implementación de torretas para la mesa de dinero</t>
  </si>
  <si>
    <t>Para el cuarto trimestre del 2025, realizar la modernización e implementación de una solución tecnológica para obtimizar los recursos de comunicaciones al servicio de la mesa de dinero, asegurando que los traders puedan operar de manera eficiente y segura. (Implementación Torretas)Entregables 1. Informe de POC de acuerdo con lo evaluado por la Vicepresidencia Financiera o Compra e Instalación torretas a cargo de la Vicepresidencia de TD e Innovación Q42. Informe de POC o Instalación torretas Q4</t>
  </si>
  <si>
    <t>Durante el 2025, llevar a cabo la&amp;nbsp;actualización de sistemas de video conferencia y comunicaciones para soportar procesos de negocio (salas, equipos), actualizando las salas de reuniones de la sede principal (Bulevar Tequendama)Entregables:. Contrato los equipos de video Q2Informe o acta de Instalación los equipos de video Q3</t>
  </si>
  <si>
    <t>Fortalecer durante el 2025 la capacidad de respuesta y atención en Ciberseguridad del FNG, mediante la implementación de las siguientes soluciones:1.Protección de Marca: Implementación de herramientas para la detección y mitigación de suplantaciones de identidad, fraudes digitales y usos indebidos de la imagen institucional en canales externos.&amp;nbsp;&amp;nbsp;2. Advance Report (GoAnywhere): Integración de una solución avanzada para la gestión segura de transferencias de archivos, con trazabilidad, control de accesos y generación de reportes automatizados.3. Control de Acceso a la Red (NAC): Despliegue de una solución de Network Access Control que permita identificar, autenticar y autorizar dispositivos conectados a la red del FNG, garantizando un entorno más seguro y controlado.Entregables 1. Documento contractual (Contrato Protección de Marca) Q22. Informe de implementación (Protección de Marca) Q33. Documento contractual (GoAnyWhere) Q34. Informe de implementación módulo Advance Report (GoAnyWhere) Q25. Documento contractual (Contrato NAC) Q36. Informe de implementación (NAC) Q4</t>
  </si>
  <si>
    <t>80851145</t>
  </si>
  <si>
    <t>Paul Haddad Casallas</t>
  </si>
  <si>
    <t>Subdirector de Planeación Financiera</t>
  </si>
  <si>
    <t>Entregar informes mensuales y trimestrales con calidad y oportunidad a la Vicepresidencia Financiera.Indicador o Formula con la que se va a Realizar la Medición.Cantidad de Informes a Comité Financiero entregados con oportunidad al DIrector&amp;nbsp;/ Total de Informes. (Hasta el día 15 de cada mes o al día siguiente hábil)Cantidad de Informes a Grupo Bicentenario entregados de manera Oportuna al Director/ Total de Informes a GB&amp;lt;80% = 0%&amp;gt;= 80% = 100%Entregable:Correo de evidencia con el envio de la información al Director Financiero y/o a Bicentenario</t>
  </si>
  <si>
    <t>Diseñar y documentar la estructura normativa y operativa del área, actualizando la matriz de riesgos con controles específicos, adaptada a la creación de la Dirección Financiera.Indicador o Formula con la que se va a Realizar la Medición.Procedimientos cargados en la herramienta Isolución a 30 de Junio / Procedimientos planificados. 90%N° de riesgos con control en la Matriz de Riesgos/N° de riesgos incluidos en la matriz. 10%&amp;lt;=80% =0&amp;lt;80 y &amp;lt;=90 = 90%&amp;gt;=90% = 100%Entregables&amp;nbsp;:Instructivo actualización y seguimiento del flujo de caja proyectado cargado en Isolución - 11 de abril de 2025Instructivo seguimiento de Movilización, tarifas e ingresos por comisiones cargado en Isolución - 6 de mayo de 2025Instructivo Calculo y Medición de Indicadores de Gestión Financiera cargado en Isolución - 14 de Mayo de 2025Procedimiento Modelo Presupuesto Financiero cargado en Isolución - 6 de junio de 2025Procedimiento Determinación de tarifas de operación cargado en Isolución&amp;nbsp;- 25 de junio de 2025Procedimiento Diagnóstico financiero nuevos productos cargado en Isolución - 30 de junio de 2025Correo del área de Riesgos indicando la actualización de la Matriz con 100% de riesgos con controles - 30 de Agosto de 2025​</t>
  </si>
  <si>
    <t>Optimizar y mejorar los modelos financieros clave, incluyendo flujo de caja, informe interno de comisiones y movilización de garantías, Diseño e implementación de Tarifación OperativaIndicador o Formula con la que se va a Realizar la Medición.Modelos y/o Metodologias entregadas de manera oportuna / Meta.Entregable:1) Correo electrónico enviado al Director Financiero con la Nota Técnica Tarifa Operativa 40% - Hasta el 25 de junio de 20252) Correo electrónico enviado al Director Financiero con&amp;nbsp;el Flujo de Caja Mejorado 30% - Hasta 25 de julio de 20253) Correo electrónico enviado al Director Financiero con el Informe de Seguimiento de Movilización e Ingresos 30% - Hasta el 25 de octubre de 2025</t>
  </si>
  <si>
    <t>Evaluaciones Financieras Procesos de Contratación</t>
  </si>
  <si>
    <t>A 31 diciembre de 2025 lograr el envio de manera oportuna (mínimo 90%) de los informes de evaluación del cumplimiento de los requerimientos financieros establecidos en los procesos de contratación que sean solicitados por el area de ContrataciónIndicador o Formula con la que se va a Realizar la Medición.Cantidad de informes de evaluación&amp;nbsp;(# informes enviados) / # total de informes de evaluación solicitados al 31/12/2025Entregable:Correos con el envio de los informes de evaluación enviados al area de contratación</t>
  </si>
  <si>
    <t>Diseñar e implementar un tablero de control&amp;nbsp;que proporcione información de los indicadores clave, dirigido al Vicepresidente Financiero y la Alta Dirección. Incluyendo métricas estratégicas de Movilización de Garantías, Gestión de Cartera, Control de Gastos y Análisis de Utilidad, permitiendo un monitoreo recurrente y facilitando la toma de decisiones.Indicador o Formula con la que se va a Realizar la Medición.Presentación Borrador Inicial que incluye variables de Movilización, Cartera, Gastos y Utilidad 50% - 25 de noviembre de 2025Informe Entregable 50% 20 de diciembre de 2025Entregables:Correo electrónico enviado al Director Financiero con la presentación del borrador Inicial que incluye variables de Movilización, Cartera, Gastos y Utilidad 50% - Hasta el 25 de noviembre de 2025Correo electrónico enviado al Director Financiero con el Informe final 50% - Hasta el 20 de diciembre de 2025</t>
  </si>
  <si>
    <t>Diagnosticar y actualizar el modelo para proyección del presupuesto del año siguiente.Indicador o Formula con la que se va a Realizar la Medición.Diagnostico (Estado Actual y Mejoras propuestas) 25% 10 de julio 2025Presentación de Propuesta de Mejoras 25%&amp;nbsp;4 de agosto 2025Versión Inicial con Mejoras 25% 18 de agosto de 2025Versión Final del Modelo 25% 8 de septiembre de 2025 (Balance, Estados de resultados y Flujo de caja, Solvencia)Entregable:* Correo enviado al Director Financiero con el Diagnostico que contenga el Estado Actual y las Mejoras propuestas 25%Hasta el 10 de julio 2025* Correo enviado al director financiero con la Presentación de Propuesta de Mejoras 25%&amp;nbsp;Hasta el 4 de agosto 2025* Correo enviado al director financiero con la Versión Inicial con Mejoras 25%&amp;nbsp;Hasta el 18 de agosto de 2025* Correo enviado al director financiero con la Versión Final del Modelo (Balance, Estados de resultados y Flujo de caja, Solvencia) 25%&amp;nbsp;8 de septiembre de 2025&amp;nbsp;</t>
  </si>
  <si>
    <t>1070921366</t>
  </si>
  <si>
    <t>Redison Rios Carreño</t>
  </si>
  <si>
    <t>Profesional Líneas Especiales de Garantías</t>
  </si>
  <si>
    <t xml:space="preserve">Cursos: Inteligencia Artificial Generativa - BID </t>
  </si>
  <si>
    <t>Generación Automática de Informes</t>
  </si>
  <si>
    <t>A 31/12/2025 Crear&amp;nbsp;una herramienta con IA para Generación Automática de Informes (Estadísticas), conectada a la base SQL, Qué permita: Ahorrar tiempo en reportes de&amp;nbsp;la validacion de las garantias o seguimiento en una fecha determinada.Indicador: Cumple 100% / No cumple 0%&amp;nbsp;&amp;nbsp;Evidencia: Validación y funcionamiento de la herramienta</t>
  </si>
  <si>
    <t>Nivel Avanzado de la Universidad de la Garantía</t>
  </si>
  <si>
    <t>Enlace con IA para políticas de casos Excepcionales</t>
  </si>
  <si>
    <t>A 31/12/2025 Crear&amp;nbsp;un enlace con IA para el mejoramiento de la politica para casos excepcionales, de esta manera facilitar el acceso a la informacion de forma automatizada.Indicador: Cumple 100%/ No cumple 0%Evidencia: Validación y funcionamiento de la herramienta</t>
  </si>
  <si>
    <t>1016071976</t>
  </si>
  <si>
    <t>Ronald Mauricio Sanchez Salamanca</t>
  </si>
  <si>
    <t>En 4Q del 2025, Asistir y aprobar el Nivel Avanzado de la Universidad de la Garantía con un porcentaje mínimo del 85% en la evaluación final (tanto la teórica como la práctica)INDICADOR:Evaluación práctica (50%)Evaluación teórica (50%)EVIDENCIALa evidencia de cumplimiento será el listado de asistencia y la evaluación&amp;nbsp;</t>
  </si>
  <si>
    <t>Plantilla de respuesta CRM</t>
  </si>
  <si>
    <t>Al 31/12/2025 crear y cargar en planner la plantilla de respuesta de casos CRM, en donde se indique la respuesta al requerimiento, por qué se da esa respuesta cuando es negativa y posibles soluciones y/subsanaciones a implementar.&amp;nbsp;&amp;nbsp;&amp;nbsp;Indicador: Cumple 100% / No cumple 0%&amp;nbsp;&amp;nbsp;Evidencia: plantilla y cargue a Planner</t>
  </si>
  <si>
    <t>Transacción registro garantía global (Job de Fondo)</t>
  </si>
  <si>
    <t>A 30/11/2025 Elaborar y radicar HU para el desarrollo de una transacción que realice registro masivo, registro extemporáneo y&amp;nbsp;registro novación de garantía global (GRG001 - GRG002).&amp;nbsp;Para ello se debe diseñar una TX&amp;nbsp;que contenga:&amp;nbsp;1) el campo Nombre del archivo (para procesar registro masivo de fondo); 2) el flag de Validar Extemporáneas&amp;nbsp;(para que permita registrar operaciones desembolsadas en meses anteriores al inmediatamente anterior); y 3) el flag de registro novación (para que permita realizar reestructuraciones)Indicador: 100% es igual a 100 puntos con una calificación proporcional entre 90% y 100%, donde 89,99% es 0 puntos.&amp;nbsp;Evidencia: Ticket de caso radicado en Aranda, gestión de historia de usuario, transacción y evidencia de pruebas en QAS EHP8.</t>
  </si>
  <si>
    <t>Universidad de la Garantía nivel básico</t>
  </si>
  <si>
    <t>En el 2Q de 2025&amp;nbsp;- Dictar y evaluar el módulo básico de la Universidad de la Garantía (Tradicional y Garantía Global)INDICADOR:Cumple / No cumpleENTREGABLES / EVIDENCIA: informes de asistencia, encuentas de satisfacción, herremientas y evaluaciones, ubicadas en la Ruta:P:\Objetivos\2025\Direccion de Operaciones\</t>
  </si>
  <si>
    <t>40410096</t>
  </si>
  <si>
    <t>Rosa Liliana Romero Ramos</t>
  </si>
  <si>
    <t>Gerente de Cuenta Meta - Amazonia</t>
  </si>
  <si>
    <t>Visitar 308 (TRESCIENTAS OCHO) sucursales activas gestionables de Intermediarios Financieros del FNG, durante el año 2025 en la zona de atención comercial (los departamentos del Meta, Guaviare, Guaina, Vichada, Vaupés y Amazonas más las 28 oficinas de Mibanco ubicadas en Bogotá y Cundinamarca, así como las sucursales de intermediarios financieros en el municipio de Cáqueza-Cundinamarca, base inicial aprobada por el subdirector comercial Bogotá y Cundinamarca y sujeta a modificaciones). % Cumplimiento.Realizar 308 visitas o más obtendrá un puntaje de 100%, realizar menos de 278 visitas (equivalente al 90%) obtendrá un puntaje de 0%. Se medirá de acuerdo a la tabla equitativa: donde al sacar un puntaje del 90% el puntaje será 90%, y así hasta llegar al 100%</t>
  </si>
  <si>
    <t>Participar en diez (10) eventos o más durante el año 2025 en la zona de atención comercial "Departamentos de Meta, Guainía, Guaviare, Vaupés, Vichada, Amazonas y el municipio de Cáqueza -Cundinamarca", dando a conocer las generalidades y portafolio del FNG como un aliado estratégico de los colombianos, haciendo presencia en espacios y/o eventos coordinados con las diferentes entidades aliadas en la región.Se medirá de acuerdo a la fórmula: #eventos año 2025/10 y el resultado obtenido será la calificación final del objetivo según la fórmula; ejemplo 5/10=50%</t>
  </si>
  <si>
    <t>Lograr al 31 de diciembre del año 2025 una movilización de créditos con garantías del FNG igual o superior al 100% de la meta asignada por la vicepresidencia comercial, en la zona de atención comercial (los departamentos del Meta, Guaviare, Guainía, Vichada, Vaupés y Amazonas, así como las 28 oficinas del intermediario Mibanco ubicadas en Bogotá y Cundinamarca también las oficinas de intermediarios financieros del municipio de Cáqueza-Cundinamarca , base inicial aprobada por el subdirector comercial Bogotá Centro y sujeta a modificaciones)% Cumplimiento.Calificación proporcional entre la meta asignada por la vicepresidencia comercial en la zona de atención comercial y&amp;nbsp;$637.695.386.329 (donde menor a $637.695.386.329 es 0% y la meta signada&amp;nbsp;por la vicepresidencia comercial o superior es el 100%)&amp;nbsp;La fórmula de medición del Rango: = (Resultado Indicador – Cumplimiento Mínimo) / (Meta – Cumplimiento Mínimo) x 100.</t>
  </si>
  <si>
    <t>28936915</t>
  </si>
  <si>
    <t>Ruth Vivian Guzman Briñez</t>
  </si>
  <si>
    <t>A Febrero 07 de 2025, realizar las sesión de empalme y transferencia de conocimiento con el profesional X sobre la conciliación de la declaración del IVA sugerida por la DIAN frente a las declaraciones presentadas.Indicador o Formula con la que se va a Realizar la Medición:Sesión de empalme realizada/total de temas que debieron transferirse mediante sesión de empalme.Sesión para transferir el tema indicado en la descripción del objetivo = 100%Ninguna sesión = 0%Entregables:Grabación sesión por teams en la cual se explique el PT y todos los aspectos considerados.</t>
  </si>
  <si>
    <t>Al 31 de diciembre de 2025 realizar las etapas requeridas del área Tributaria, para la implementación del módulo de activos fijos.Indicador o Formula con la que se va a Realizar la Medición:Definición de reglas de negocio (Bussines Blue Print) 15 de Agosto 30%Definición de datos fiscales maestros 18 de diciembre 30%Informe de ejecución de pruebas 18 de diciembre 40%Entregables:*Correo electrónico remitido a la Directora Tributaria con el Informe definición de reglas de negocio (Bussines Blue Print)&amp;nbsp;*Correo electrónico remitido a la Directora Tributaria con el informe de definición de datos fiscales maestros&amp;nbsp;* Correo electrónico remitido a la Directora Tributaria con el Informe de ejecución de pruebas.</t>
  </si>
  <si>
    <t>Anexo de análisis fiscal de Activos fijos 2025</t>
  </si>
  <si>
    <t>Realizar un papel de trabajo de análisis y control fiscal de los activos fijos del FNG.Dicho Pt debe partir del anexo detallado 1 a 1 de activos fijos elaborado para la declaración de renta del año 2024.El pt debe permitir el control de los siguientes campos por cada activo, así como la conciliación con cifras contables:*Fecha de adquisición*Fecha mejoras y adiciones*Fecha inicio gasto por depreciación fiscal*Costo histórico*Costo de mejoras y adiciones&amp;nbsp;*Valores residuales*Gasto por depreciación fiscal*Depreciación fiscal acumulada*Valor de las bajas en el costo y depreciación acumulada*Saldo del activo fijo*Vida útil*Base fiscal para efectos del cálculo del impuesto de renta diferidoSe elaborará un Papel de trabajo por Terrenos-Edificios-Vehículos –Equipo informático-Equipos de redes y comunicación – Equipo de oficina y se realizaran 4 actualizaciones a partir de junio de 2025.Indicador o Formula con la que se va a Realizar la Medición:% de cumplimiento oportuno de los entregables.*Cuatro (4) actualizaciones al PT = 100%*Tres (3) actualizaciones al PT = 60%*Dos (2) actualizaciones al PT = 30%*Un (1) actualizaciones al PT = 0%*Cero (0) actualizaciones al PT = 0%Entregables:&amp;nbsp;Correo electrónico enviado a la Directora Tributaria, con el PT adjunto y en que se informe que el PT se encuentra listo según fecha de corte, con indicación de su ubicación en carpeta de público y en las siguientes fechas:Primera actualización: julio 31 de 2025 (con cifras a junio)Segunda actualización: septiembre 30 de 2025 (con cifras a agosto)&amp;nbsp;&amp;nbsp;Tercera actualización: noviembre 28 de 2025 (con cifras a octubre)Cuarta actualización: diciembre 18 de 2025 (con cifras a noviembre)</t>
  </si>
  <si>
    <t>Al 31 de julio de 2025 haber cerrado el papel de trabajo con el análisis y control del movimiento de los 55 rezagos presupuestales de la vigencia 2024 que le fueron asignados.El control y trazabilidad deben proporcionar una fácil lectura del tratamiento de estas partidas en materia de:&amp;nbsp;- Deducción en impuesto de renta 2024- Pasivo real en el impuesto de renta 2024, pasivo estimado base del impuesto diferido renta 2024&amp;nbsp;- Movimiento/ingresos no gravados por recuperaciones en impuesto de renta para la provisión de renta mensual 2025- IVA descontable – IVA mayor valor del costo o gasto- Retenciones de impuestos y sus devoluciones o reintegros&amp;nbsp;- Certificados de retenciones y sus ajustes o correcciones&amp;nbsp;- Alguna situación a considerar para la exógena del año 2025% de cumplimiento oportuno de los entregables.Indicador o Formula con la que se va a Realizar la Medición:Papel de trabajo que contenga el análisis de la totalidad de los rezagos presupuestales asignados con el llenado de todos los campos y comentarios de análisis = 100%Papel de trabajo que contenga un análisis menor del 100% y hasta el 90% de la totalidad de los rezagos presupuestales asignados con el llenado de todos los campos y comentarios de análisis = 70%Papel de trabajo que contenga un análisis menor del 90% y hasta el 80% de la totalidad de los rezagos presupuestales asignados con el llenado de todos los campos y comentarios de análisis = 60%Papel de trabajo que contenga un análisis menor del 80% de la totalidad de los rezagos presupuestales asignados con el llenado de todos los campos y comentarios de análisis = 0%Entregables:&amp;nbsp;Correo electrónico enviado a la Directora Tributaria, con el PT adjunto y en que se informe que el PT se encuentra listo con el llenado de todos los campos y comentarios de análisis, así como su ubicación en carpeta de público.&amp;nbsp;</t>
  </si>
  <si>
    <t>Realizar un papel de trabajo con el inventario de cada factura, cuenta de cobro, documento equivalente a factura en donde se pueda apreciar el control, seguimiento y trazabilidad de dichos documentos por los flujos de Mercurio asignados.&amp;nbsp;En el papel de trabajo se debe apreciar:1.Relación 1 a 1 de cada factura o documento de cobro allegado al correo de facturación electrónica (Ventanilla) y radicado en Mercurio.2.Relación de las facturas o documento de cobro radicado en mercurio y no allegado al correo de facturación electrónica (Ventanilla)3.Informe de INVOWAY (Operador Tecnológico) con el reporte los eventos DIAN de acuse, recibido, aceptación y rechazo con el detalle de comentarios donde sea necesario.4.Relación de las facturas y NC aceptadas en la DIAN y no contabilizadas en el mes correspondiente (registradas en un periodo posterior).5.Relación de documentos equivalentes electrónicos emitidos para los no obligados a facturar cuando aplique.Esto por las facturas/cuentas de cobro/documentos equivalentes recibidos en asignación desde enero 01 y hasta el 18 de diciembre de 2025.Se generarán las siguientes actualizaciones en las siguientes fechas:1) inventario de enero 01 a mayo 31: junio 272) inventario de junio a septiembre: octubre 243) inventario de octubre a diciembre 18: diciembre 19Indicador o Formula con la que se va a Realizar la Medición:% de cumplimiento oportuno de los entregables*Tres (3)actualizaciones al PT = 100%*Dos (2) actualizaciones al PT = 50%*Una (1) actualización al PT = 33%*Cero (0) actualizaciones al PT = 0%Entregables:&amp;nbsp;Correo electrónico enviado a la Directora Tributaria, con el PT adjunto y en que se informe que el PT se encuentra listo según fecha de corte con el llenado de todos los campos y comentarios de análisis, así como su ubicación en carpeta de público.</t>
  </si>
  <si>
    <t>Analisis mensual cuentas del Ingreso 4198 y 4195</t>
  </si>
  <si>
    <t>A partir del mes de junio elaborar un archivo en Excel con el detalle del tipo de operaciones registradas en cada subcuenta de las cuentas CUIF 4198 y 4195.Se generarán 8 bases, la primera contendrá la información de enero a abril&amp;nbsp;y la última con la información del mes de noviembre.El archivo de análisis debe ser actualizado al siguiente día hábil al cual la Dirección de Contabilidad informe sobre el cierre contable mensual. La base de enero a abril debe entregarse el 27 de junio.&amp;nbsp;Indicador o Formula con la que se va a Realizar la Medición:% de cumplimiento oportuno de los entregables.Ocho entregas de la base&amp;nbsp;&amp;nbsp;&amp;nbsp;&amp;nbsp;&amp;nbsp;&amp;nbsp;&amp;nbsp;&amp;nbsp;&amp;nbsp;&amp;nbsp;= 100%&amp;nbsp;Siete entregas de la base&amp;nbsp;&amp;nbsp;&amp;nbsp;&amp;nbsp;&amp;nbsp;&amp;nbsp;&amp;nbsp;&amp;nbsp;&amp;nbsp;&amp;nbsp;= 70%&amp;nbsp;Seis entregas de la base&amp;nbsp;&amp;nbsp;&amp;nbsp;&amp;nbsp;&amp;nbsp;&amp;nbsp;&amp;nbsp;&amp;nbsp;&amp;nbsp;&amp;nbsp;&amp;nbsp;= 55%Cinco entregas de la base&amp;nbsp;&amp;nbsp;&amp;nbsp;&amp;nbsp;&amp;nbsp;&amp;nbsp;&amp;nbsp;&amp;nbsp;&amp;nbsp;= 30%Cuatro o menos entregas oportunas&amp;nbsp;&amp;nbsp;=&amp;nbsp;&amp;nbsp;&amp;nbsp;0%Entregables:Correo electrónico enviado a la Directora Tributaria, con el PT adjunto y en que se informe que el PT se encuentra listo según fecha de corte, con indicación de su ubicación en carpeta de publico.</t>
  </si>
  <si>
    <t>Tercerización de los pagos por medicina prepagada de la cuenta contable 28190102 para reporte exógena formato 5247</t>
  </si>
  <si>
    <t>Elaborar una base tercerizada que conforme los pagos o abonos en cuenta por medicina prepagada en nombre de los funcionarios de la cuenta contable 28190102 para discriminar por trabajador:Fecha - Numero de Factura - NIT de la aseguradora - Nombre de la aseguradora - CC del trabajador - Nombre del trabajador - Valor que corresponde a cada funcionario (base) - IVA - Total.Se efectuarán dos entregas la primera en el 26 de agosto de 2025, que comprenderá el análisis de los meses de enero a julio y la ultima el 15 de diciembre, que comprende el análisis de los meses de agosto a noviembre.Indicador o Formula con la que se va a Realizar la Medición:% de cumplimiento oportuno de los entregables.Dos bases actualizadas = 100%Una base actualizada = 30%Ninguna base actualizada = 0%Entregables: Correo electrónico enviado a la Directora Tributaria, con el PT adjunto y en que se informe que el PT se encuentra listo con el llenado de todos los campos y comentarios de análisis, así como su ubicación en carpeta de público.&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t>
  </si>
  <si>
    <t>1066175397</t>
  </si>
  <si>
    <t>Sandra Marcela Arroyo Dejanon</t>
  </si>
  <si>
    <t>Profesional de Gestión de Cumplimiento</t>
  </si>
  <si>
    <t>Vinculación de Clientes</t>
  </si>
  <si>
    <t>Gestionar los casos CRM de la vinculación y actualización de Intermediarios Financieros, proveedores, miembros de Junta y deudores que cumplan con los requisitos establecidos PD-GCU-017 Debida diligencia conocimiento del cliente, dentro del tiempo determinado por ANS , los cuales inician con la radicación en el aplicativo CRM. Entregable: Papel de trabajo con la gestión de IF al 31de diciembre de 2025 Peso: 100%  Nota: Para cada actividad se entiende un sobrecumplimiento cuando exista eficiencia operativa, en este caso se entenderá cuando la entrega de las actividades sea previa a la fecha límite establecida. La medición se debe realizar sobre el peso individual de cada actividad; en el cual, si el resultado de la actividad se entrega con (15) días de anticipación, se adicionará el 5% del porcentaje establecido inicialmente. Si el resultado de la actividad se entrega con (30) días de anticipación, se adicionará el 10% del porcentaje establecido inicialmente.</t>
  </si>
  <si>
    <t>Desarrollar durante el año 2025 la actualización de la evaluación del perfil de riesgoLA/FT/PADM de acuerdo con la metodología relacionada en el Manual de Prevención y Control LAFTFPADM:1. Gestionar las actividades asignadas en el cronograma de actualización para la determinación del perfil de riesgo LA/FT/FPADM. Para el Q2, Q3 y Q4 se debe remitir durante los primeros cinco días posterior al finalizar el trimestre a más tardar, un correo electronico al Director de Cumplimiento en el cual relacione las actividades asignadas correspondiente a ese trimestre y el resultado de su implementación. (El peso por trimestre es Q2: 30%, Q3: 30% y Q4:40%)&amp;nbsp;Peso: 40%2. Gestionar la evaluación de efectividad de los controles asignados para la determinación del riesgo residual. Para el Q2, Q3 y Q4 se debe remitir durante los primeros cinco días posterior al finalizar el trimestre a más tardar, un correo electronico al Director de Cumplimiento en el cual relacione el resultado de la evaluación de controles&amp;nbsp;asignados a ese trimestre y el resultado de su implementación. (El peso por trimestre es Q2: 30%, Q3: 30% y Q4:40%) Peso: 30%3. Desarrollar las actividades de capacitación relacionadas a su cargo en el plan anual 2025. Entregables: evidencias de asistencia de cada capacitación y copia ayuda didactica (ejemplo presentación o video), estos soportes se deben remitir a mas tardar el 10 de diciembre de 2025. Peso: 30%Nota: Para cada actividad se entiende un sobrecumplimiento cuando exista eficiencia operativa, en este caso se entenderá cuando la entrega de las actividades sea previa a la fecha límite establecida. La medición se debe realizar sobre el peso individual de cada actividad; en el cual, si el resultado de la actividad se entrega con (15) días de anticipación, se adicionará el 5% del porcentaje establecido inicialmente. Si el resultado de la actividad se entrega con (30) días de anticipación, se adicionará el 10% del porcentaje establecido inicialmente.</t>
  </si>
  <si>
    <t>Monitoreo LA/FT/FPADM</t>
  </si>
  <si>
    <t>Monitorear las operaciones objeto de inusualidad de la entidad:  1. Implementar las estrategias de monitoreo asignadas a partir de la matriz de riesgos LA/FT/FPADM. Entregable: Papel de trabajo que documente el resultado obtenido sobre las estrategias de monitoreo al 15 de diciembre de 2025.&amp;nbsp;Peso: 40% 2. Mantener actualizada la base de intermediarios financieros y proveedores. Entregable: Archivo con la información de Intermediarios Financieros y Proveedores con corte al 10 de diciembre de 2025. Peso: 60%   Nota: Para cada actividad se entiende un sobrecumplimiento cuando exista eficiencia operativa, en este caso se entenderá cuando la entrega de las actividades sea previa a la fecha límite establecida. La medición se debe realizar sobre el peso individual de cada actividad; en el cual, si el resultado de la actividad se entrega con (15) días de anticipación, se adicionará el 5% del porcentaje establecido inicialmente. Si el resultado de la actividad se entrega con (30) días de anticipación, se adicionará el 10% del porcentaje establecido inicialmente.</t>
  </si>
  <si>
    <t>GUIA ABC de Prevención y Control LA/FT/FPADM</t>
  </si>
  <si>
    <t>Implementación de un Manual de ruta para la aprehensión de Buenas Prácticas en Prevención y Control de Lavado de Activos para las Pymes e Intermediarios Financieros No Vigilados  1.Gestionar las actividades asignadas en el cronograma de diseño de la guía LA/FT/FPADM. Para el Q2, Q3 y Q4 se debe remitir durante los primeros cinco días posterior al finalizar el trimestre a más tardar, un correo electrónico al Director de Cumplimiento en el cual relacione las actividades asignadas correspondiente a ese trimestre y el resultado de su implementación. (El peso por trimestre es Q2: 30%, Q3: 30% y Q4:40%&amp;nbsp;Peso: 60%  2. Socializar con los áreas focalizadas de interés la guía la propuesta, consolidar las observaciones y ajustar el documento de acuerdo con la evaluación realizada. El entregable será el documento ajustado, el cual se debe remitir antes del 31 de diciembre de 2025. 40%  Nota: Para cada actividad se entiende un sobrecumplimiento cuando exista eficiencia operativa, en este caso se entenderá cuando la entrega de las actividades sea previa a la fecha límite establecida. La medición se debe realizar sobre el peso individual de cada actividad; en el cual, si el resultado de la actividad se entrega con (15) días de anticipación, se adicionará el 5% del porcentaje establecido inicialmente. Si el resultado de la actividad se entrega con (30) días de anticipación, se adicionará el 10% del porcentaje establecido inicialmente.</t>
  </si>
  <si>
    <t>1012354290</t>
  </si>
  <si>
    <t>Sandra Milena Galindo Garzon</t>
  </si>
  <si>
    <t>Profesional de Gestión del Conocimiento</t>
  </si>
  <si>
    <t>Evaluación Asesoría y Trámite de Incentivos</t>
  </si>
  <si>
    <t>Aplicar durante el 2025 una encuesta de satisfacción del servicio de asesoría y acompañamiento a los trámites de Solicitud de Incentivos de la entidad.La medición será la sumatoria de los entregables.Para el caso de las encuestas la medición será, así:* Si el índice de satisfacción es superior a 95 puntos tendrá 100 puntos*Si el índice es entre 92 y 94, 9 tendrá 90 puntos&amp;nbsp;*Si el índice es entre 90 y 91, 9 tendrá 80 puntos&amp;nbsp;*Si la calificación es igual a menor a 80 puntos su calificación "0"1. Diseño de la Encuesta&amp;nbsp;30 de Julio de 2025Peso: 40 %&amp;nbsp;2. Aplicación de la encuesta de Satisfacción del 2do Semestre 2025 a30 de Diciembre de 2025&amp;nbsp;Los resultados serán remitidos a la Dirección y Subdirección de felicidad la 1ra semana de enero de 2026Peso:60 %Z:\Objetivos\2025\Dirección de Felicidad</t>
  </si>
  <si>
    <t>Acompañamiento en la gestión del cambio organizacional proyecto de actualización del sistema SAP ERP</t>
  </si>
  <si>
    <t>Durante el 2025 completar la ejecución de los planes de gestión de cambio de la actualización del sistema SAP ERP. Analizar los resultados obtenidos a través de encuestas, entrevistas y la participación en talleres con los diferentes grupos focales del proyecto de actualización del sistema SAP ERP, con el propósito de identificar posibles riesgos y establecer acciones que permitan mitigarlos durante la ejecución del proyecto.Preparar documentación para enriquecer la solicitud de cotización de servicios de consultoría de gestión del cambio organizacional.Se calificará proporcional al resultado para cada Q.Q1: 50 % Informe de gestión de comunicaciones, sensibilización al cambio y gestión del conocimiento del proyecto IT013 Actualización sistema SAP ERP.Q2: 50% Lecciones aprendidas del proyecto IT013 Actualización sistema SAP ERP, Glosario de términos de gestión del cambio organizacional, Matrices de vehículos de cambio y artefactos de gestión del cambio.Repositorio Dirección de Proyectos (One Drive) https://fngsa.sharepoint.com/sites/DepartamentoproyectosTDeinnovacin/Documentos%20compartidos/Forms/AllItems.aspx?id=%2Fsites%2FDepartamentoproyectosTDeinnovacin%2FDocumentos%20compartidos%2FGeneral%2FIT013%5FActualizaci%C3%B3n%20sistema%20SAP%20ERP%2F90%20Gesti%C3%B3n%20del%20cambio%20organizacional%2FG%2EConocimiento%2FLecciones%20aprendidas%20IT013%20Actualizacion%20ERP&amp;amp;viewid=dffaff50%2D632c%2D4ce2%2Db8be%2D0b639b16c429&amp;amp;e=5%3A12fdfd071fe9434c9499419b5768e6fd&amp;amp;sharingv2=true&amp;amp;fromShare=true&amp;amp;at=9&amp;amp;CID=71670275%2D0095%2D4722%2Dab0d%2D9f83242018c9&amp;amp;FolderCTID=0x012000FC719C0A8944C6488AE489263A2584E2Correos enviados al Director de Proyectos de Transformación Digital</t>
  </si>
  <si>
    <t>Actualización Manual Gestión del Conocimiento y la Innovación</t>
  </si>
  <si>
    <t>Actualizar durante el segundo semestre de 2025 el Manual de Gestión del Conocimiento y la Innovación para incluir un capítulo sobre Gestión del Cambio.Su evaluación será:&amp;nbsp;Manual actualizado y publicado en la herramienta destinada para tal fin.Manual actualizado a 30 de septiembre de 2025Z:\Objetivos\2025\Dirección de Felicidad</t>
  </si>
  <si>
    <t>Gestión del Cambio</t>
  </si>
  <si>
    <t>Diseñar e implementar durante el 2025 estrategias de Gestión del Cambio que promuevan la sensibilización, el entendimiento y el compromiso de los colaboradores del FNG frente a los procesos de transformación institucional, garantizando una transición efectiva y alineada con los objetivos estratégicos de la entidad.Su evaluación será:&amp;nbsp;Presentación de 2 informes de las estrategias diseñadas e implementadas al 31 de diciembre de 2025&amp;nbsp;Informe Q3 - 50%.Informe Q4 - 50%.Informes sobre las estrategias diseñadas para la sensibilización de Gestión del Cambio en Q3 y Q4.Z:\Objetivos\2025\Dirección de Felicidad</t>
  </si>
  <si>
    <t>23574669</t>
  </si>
  <si>
    <t>Sandra Milena Nuñez Baron</t>
  </si>
  <si>
    <t>Planillas Mensuales</t>
  </si>
  <si>
    <t>Realizar las planillas de las cuentas contables de mayo a noviembre de 2025 deben quedar elaboradas el día 10 del mes siguiente al corte o el día hábil siguiente si este es fin de semana o festivo.Indicador:(Cantidad de planillas realizadas dentro del plazo establecido / Total de planillas en el año)Entregable:Correo al subdirector o director de contabilidad, evidenciando el cumplimiento de la actualización de la generacion de las planillas contables.	Evidencia:﻿P:\Objetivos\2025\Dirección de Contabilidad y Presupuesto\Sandra Milena Nuñez Barón</t>
  </si>
  <si>
    <t>Realizar el registro contable de las cuentas por pagar correspondientes a los bienes y servicios adquiridos por el FNG, dentro de un plazo máximo de dos (2) días hábiles siguientes a su radicación en el departamento de contabilidad, a través del sistema de gestión documental. Para las facturas radicadas después del día 25 de cada mes, el registro contable deberá efectuarse en un plazo máximo de cuatro (4) días hábiles, sin exceder los cuatro (4) primeros días hábiles del mes siguiente.Durante las vacaciones del otro funcionario que realiza cuentas por pagar, el plazo máximo será de 3 días hábiles.El cumplimiento de este objetivo se medirá del 1 de enero al 15 de diciembre, tomando como referencia las fechas registradas en el sistema de gestión documental: la fecha de entrada a la etapa 4 (Contabilidad) y la fecha de salida correspondiente al envío a la siguiente etapa posterior al registro contable.Indicador:(Cantidad de documentos gestionados en los tiempos establecidos/ Total de documentos elaborados).Entregable:Informe de cumplimiento generado por el aplicativo mercurioEvidencia:﻿P:\Objetivos\2025\Dirección de Contabilidad y Presupuesto\Sandra Milena Nuñez Barón</t>
  </si>
  <si>
    <t>Mitigar las anulaciones generadas por errores atribuibles directamente al funcionario. No se considerarán aquella anulaciones originadas por causas externas, las cuales deberán estar debidamente justificadas mediante correo electrónico que respalde la anulación.El seguimiento de este objetivo se iniciará a partir del mes de junio. Se utilizará como insumo un reporte de anulaciones y uno de documentos elaborados por el funcionario, generados desde SAP,&amp;nbsp;este reporte deberá elaborarse y almacenarse en la carpeta de evidencias a más tardar el día 30 de cada mes posterior al cierre contable.&amp;nbsp;&amp;nbsp;&amp;nbsp;&amp;nbsp;&amp;nbsp;&amp;nbsp;&amp;nbsp;&amp;nbsp;&amp;nbsp;&amp;nbsp;&amp;nbsp;&amp;nbsp;&amp;nbsp;&amp;nbsp;&amp;nbsp;&amp;nbsp;&amp;nbsp;&amp;nbsp;&amp;nbsp;&amp;nbsp;&amp;nbsp;&amp;nbsp;&amp;nbsp;Se establece un margen mensual máximo de anulaciones del 4% que se evaluará por cada mes. Se considera cumplido el mes si el resultado es ≤ 4%.Indicador:(Número de meses con cumplimiento /Total meses) x 100Métrica de calificación de la fórmula de medición:Cumplimiento 100% = 100%Cumplimiento &amp;lt;99% y ≥85% = 90%Cumplimiento &amp;lt;85% = 0%Entregable:Informes mensuales en Excel y los correos de justificación correspondientes a cada una de las anulaciones excluidas.Los informes deben incluir: número total de pagos realizados en el mes, número total de anulaciones generadas, porcentaje de anulación, reporte de documentos elaborados y de anulaciones generadas desde SAP, clasificadas en internas (errores atribuibles al funcionario) y externas (justificadas con correo de respaldo).Evidencia:﻿P:\Objetivos\2025\Dirección de Contabilidad y Presupuesto\Sandra Milena Nuñez Barón</t>
  </si>
  <si>
    <t>Estado de Cuentas por cobrar y por pagar</t>
  </si>
  <si>
    <t>Elaborar de manera mensual los estados de cuentas por cobrar y pagar, realizando su envío a las diferentes áreas para su respectiva gestión. Se tendrá en cuenta para el presente objetivo él envió de los estados de cuenta a partir con corte de mayo enviados en junio y hasta diciembre enviados los de noviembre máximo el día 20 de cada mes.&amp;nbsp;Indicador:(Cantidad informes elaborados&amp;nbsp;/ Total informes al año)Entregable:Correo electrónico a las áreas con los informes, con copia a director y subdirector de contabilidad.Evidencia:﻿P:\Objetivos\2025\Dirección de Contabilidad y Presupuesto\Sandra Milena Nuñez Barón</t>
  </si>
  <si>
    <t>A 31 diciembre de 2025 lograr como mínimo el cumplimiento del 90% de las acciones formuladas durante la vigencia en los planes de acción y mejoramiento relacionados con las auditorias realizadas por la OCI, SFC, Revisoría Fiscal y CGR en las actividades relacionadas con la Dirección de Contabilidad y Presupuesto.Indicador:Cantidad de actividades de planes de mejoramiento cumplidas (# acciones ejecutadas) / # total de acciones incluidas en los planes a ser ejecutados al 31/12/2025Entregable:Correo electrónico enviado en el cual se informe a la Oficina de control Interno - OCI el cumplimiento de las acciones, la modificación de fechas o entregables acordados, a este correo deben adjuntarse los soportes de evidencias que correspondan en cada caso.Evidencia: ﻿P:\Objetivos\2025\Dirección de Contabilidad y Presupuesto\Sandra Milena Nuñez Barón</t>
  </si>
  <si>
    <t>Realizar el cierre y la transmisión del PUC financiero mensual a la SFC un día hábil antes del vencimiento del plazo formal para transmitir, iniciando con la transmisión a realizarse en el mes de enero de 2025 hasta la transmisión a realizarse en el mes de diciembre de 2025.Indicador:(Cantidad de informes reportados con un día de antelación al vencimiento legal / Total de reportes en el año)Entregable:Se evaluará por cada mes con el cumplimiento del Calendario Financiero 2025.Evidencia:P:\Objetivos\2025\Dirección de Contabilidad y Presupuesto\Sandra Milena Nuñez Barón</t>
  </si>
  <si>
    <t>52715896</t>
  </si>
  <si>
    <t>Sandra Milena Olarte Moscoso</t>
  </si>
  <si>
    <t>Subdirector de Felicidad</t>
  </si>
  <si>
    <t>Revisar a 31 de diciembre de 2025 la conformación de la planta de personal y la medición de las cargas de trabajo de las áreas que resulten del ejercicio de revisión realizado por la Vicepresidencia Ejecutiva a la estructura de la entidad&amp;nbsp;Indicador o FormulaLa medición será la sumatoria de los pesos para cada entregable.De no cumplir con un entregable su calificación será "0" en ese entregableEntregable:•Análisis de la planta de personal con el Vicepresidente Ejecutivo y definición de áreas a intervenirFecha de Ejecución: Julio 2025Evidencia: Informe con el seguimiento y lineamientos del Vic. Ejecutivo&amp;nbsp;Peso:20%•Medición de Cargas de TrabajoFecha de Ejecución: agosto hasta octubre de 2025 (Q3 -Q4)Medición: # de áreas intervenidas / # áreas a intervenir x 100%Evidencia: Informe con los resultados de las cargas de trabajo de las áreas en intervenciónPeso:60%•Presentación de Informe de los resultados y recomendacionesEvidencia: Informe&amp;nbsp;Fecha de Ejecución y entrega: Noviembre de 2025Peso:20%</t>
  </si>
  <si>
    <t>Lograr a 31-12-2025 el cumplimiento de los planes del Decreto 612-2018, relacionados con Gestión Humana así:Plan Estratégico de Gestión Humana: peso 30%&amp;nbsp;Plan de Capacitación: peso 30%Plan de Bienestar :peso 30%Plan de Seguridad y Salud en el Trabajo: peso 10%Su evaluación será proporcional al resultado obtenido en cada plan.Indicador o FormulaSu evaluación será proporcional al resultado obtenido en cada plan. (ejemplo: si se hace el 90% de las actividades la calificación será 90 puntos- Si la calificación es menor a 80% su calificación será cero).Entregable:Acta de Comité Institucional de Gestión y Desempeño donde se evidencia el cumplimiento de los planes, presentados en cada Q.&amp;nbsp;</t>
  </si>
  <si>
    <t>Ejecutar para 2025 el Plan Anual de Adquisiciones aprobado para la Dirección de Felicidad.&amp;nbsp;&amp;nbsp;Su evaluación será proporcional al numero de procesos aprobados y contratados para la vigencia, de acuerdo con el PAA aprobado por el Comité Institucional de Gestión y Desempeño. La evaluación iniciará a partir del Q2.&amp;nbsp;Indicador o formulaSu medición será:&amp;nbsp;No. de procesos ejecutados (contrato firmado) /No. procesos aprobados&amp;nbsp;*100EntregablesSu medición será:Ejecución de los contratos a Q2: 30%Ejecución de los contratos a Q3 : 30%Ejecución de los contratos a Q4: 40%</t>
  </si>
  <si>
    <t>Aplicar durante el 2025 dos (2)&amp;nbsp;encuestas estructuradas de Ambiente Laboral con el fin de identificar la percepción de los colaboradores en aspectos clave como el liderazgo, el relacionamiento, la comunicación, las condiciones laborales entre otros que permitan a la Alta Dirección y a la Dirección de Felicidad realizar intervenciones a tiempo y tomar de decisiones.indicador o FormulaLa medición será la sumatoria de los pesos para cada entregable.De no cumplir con un entregable su calificación será "0" en ese entregableInforme entregado a la Vicepresidencia Ejecutiva en el mes de marzo con los resultados y analisis de la encuesta.Peso:50%Informe entregado a la Vicepresidencia Ejecutiva los diez (10) primeros días habiles de agosto con los resultados y analisis de la encuesta.Peso:50%</t>
  </si>
  <si>
    <t>Seguimiento Presupuestal Individual</t>
  </si>
  <si>
    <t>Realizar seguimiento trimestral durante el 2025 a la ejecución de los rubros destinados al proceso de gestión humana y presentar informe con seguimiento, ejecución y recomendaciones cuando allá lugar.Indicador o formulaLa medición será la sumatoria de los pesos para cada entregable.De no cumplir con un entregable su calificación será "0" en ese entregableEntregable:Informe de seguimiento presupuestal remitido a la Dirección de Felicidad los 10 primeros días hábiles del mes siguiente terminado el trimestre.Peso Q2:40 %Peso Q3:40%Peso Q4:20%</t>
  </si>
  <si>
    <t>Seguimiento a Cuentas x pagar y cuentas x cobrar</t>
  </si>
  <si>
    <t>Hacer seguimiento mensual durante el 2025 a las cuentas por pagar y por cobrar de acuerdo al informe enviado por la Dirección de Contabilidad y Presupuesto y realizar el respectivo Informe para presentar a la Dirección de Felicidad para toma de decisionesIndicador o FormulaLa medición será la sumatoria de los pesos para cada entregable.De no cumplir con un entregable su calificación será "0" en ese entregableEntregables:1.Informe en archivo Excel remitido a la Dirección de Felicidad mensualmente durante los diez (10) primeros días hábiles del mes siguiente, con la relación de las incapacidades y demás cuentas radicadas estado, trámite y gestiones realizadas.Entregable: Informe&amp;nbsp;Peso: 60 %Medición será por informe, así : Junio:16 puntos - Julio a Diciembre:14 Puntos2.Presentación al Vicepresidente Ejecutivo para aprobación de la Junta Directiva y/o Comité Directivo de las cuentas que requieren saneamiento contable de acuerdo con los montos.Entregables: Presentación mes de Julio y Noviembre de 2025Peso: 20 %3.Informe Cierre de Gestión con la depuración de las cuentas por cobrar y pagar durante la vigencia.Entregable: Respuesta Memorando a Dirección de Contabilidad y PresupuestoPeso: 20 %</t>
  </si>
  <si>
    <t>Ejecutar las actividades del Plan Carrera y Sucesión 2025Indicador o Formula:La medición será la sumatoria total de los porcentajes establecidos para cada entregable.De no cumplir con un entregable su calificación será "0" en ese entregableEntregables:Q3: Peso: 70%1. Peso 5%: Presentación propuestas aplicación de pruebas psicotécnicas para aprobación del Vicepresidente Ejecutivo.&amp;nbsp;Entregable. Correo electrónico con el resumen del envío de la presentación y aprobación por parte del Vicepresidente&amp;nbsp;2. Peso 10%: Lanzamiento del Plan Carrera y Sucesión para los colaboradores en cargos críticos y plan de sucesión del FNG.Entregable: Citación, lista de asistencia y registro fotográfico.3. Peso 10%: Aplicación de las pruebas psicotécnicas.Entregable: Correos con el envío de la prueba por colaborador y los resultados de las pruebas4. Peso 5%: Aplicación de la Ficha Técnica - Plan de CarreraEntregable: Remisión de la ficha técnica a través del correo corporativo y fichas técnicas diligenciadas por cada colaborador y recibidas en la dirección de felicidad5. Peso 5%: Actualización Matriz Plan de Carrera y SucesiónEntregable: Archivo Excel con la matriz de plan de carrera y sucesión actualizada6. Peso 5%: Informe avances Plan de Carrera y Sucesión con corte a Q3Entregable: Correo electrónico dirigido la Directora de Felicidad con el informe de los avances del plan de carrera y sucesión con corte al 30 de septiembre de 2025 Se entregará los cinco primeros días del mes de octubre7. Peso 10%:Actualización Modelo de CompetenciasEntregable: Modelo de Competencias actualizado publicado en Isolucion8. Peso 10%:Socialización y Assessment de las pruebas psicotécnicasEntregable: Citación por teams y correo electrónico con el envío de los resultados de la prueba psicotécnica9. Peso 5%: Actualización Matriz Plan de Carrera y Sucesión10. Peso 5%: Informe avances Plan de Carrera y SucesiónEntregable: Correo electrónico dirigido al vicepresidente ejecutivo con el informe de los avances del plan de carrera y sucesión con corte al 30 de septiembre. Se entregara los cinco primeros días del mes de octubre de 2025.Q4: Peso: 30%1. Peso 10%: Acompañamiento del Coach para diseño personalizado del Plan de Carrera y SucesiónEntregable: Citación por teams, listas de asistencia, Soporte de Actividades y/o Registro Fotográficos2. Peso 10%: Aplicación de encuesta a todos los colaboradores en plan de carrera y sucesión para medir la satisfacción del plan.Entregable:&amp;nbsp;Informe de resultados de la encuesta remitido por correo electrónico la Directora de la Dirección de Felicidad. Se entregará durante los primeros 15&amp;nbsp;días del mes de enero de 2026.3. Peso 10%:informe avances Plan de Carrera y SucesiónEntregable: Correo electrónico dirigido a la&amp;nbsp;la Directora de la Dirección de Felicidad con el informe de los avances del plan de carrera y sucesión con corte al 30 de diciembre. Se entregara los 15&amp;nbsp;primeros días del mes de enero de 2026.&amp;nbsp;</t>
  </si>
  <si>
    <t>1024496875</t>
  </si>
  <si>
    <t>Sandra Milena Serrato Zuluaga</t>
  </si>
  <si>
    <t>Profesional de Análisis Financiero y Estudio de Mercado</t>
  </si>
  <si>
    <t>A 20 de diciembre de 2025, gestionar el 95% de&amp;nbsp;informes finales de supervisión y/o las actas de liquidación de contratos terminados entre el 1 de septiembre y el 30 de noviembre de 2025, que reporten la completitud de los pagos a la fecha de corte.&amp;nbsp;Se obtendrá un 100% del cumplimiento del indicador si se cumplen las actividades mínimo al 95%. Se obtendrá calificación a partir del 85% de la meta: donde 84,9% da cero puntos y proporcional entre el 85% y 95%.</t>
  </si>
  <si>
    <t>Lograr que a partir de 1 de agosto de 2025 se realice la revisión del 90% de los instrumentos contractuales para la adquisición de bienes y servicios exceptuados del manual de contratación “Core de Negocio” por parte de la Dirección de Contratación, en menores tiempos a los establecidos, así: 1) La revisión conjunta con el abogado asignado del documento de justificación se realizará en máximo en 24 horas corrientes siguientes a su radicación; 2) la revisión conjunta con el abogado asignado, de la minuta de contrato u otrosí se realizará en máximo 48 horas corrientes a su radicación (con la completitud documental) por parte de las áreas usuarias.&amp;nbsp;&amp;nbsp;&amp;nbsp;Sumatoria de las etapas por su peso. Por cada semana de atrasos en el cumplimiento de los entregables, se descontará un 10% del peso de cada entregable.</t>
  </si>
  <si>
    <t>Realizar como mínimo el cierre del 95% de los contratos finalizados y asignados entre el 01 de mayo de 2024 y&amp;nbsp;31 de agosto de 2025, mediante la suscripción de informes finales de supervisión y/o actas de liquidación. Para la medición del indicador se tendrá en cuenta las siguientes etapas:Etapa 1 (50%): A 31 de julio de 2025, realizar el cierre de los contratos finalizados y pendientes de liquidación o cierre a 31 de diciembre de 2024, mediante la elaboración y suscripción de informes finales de supervisión y/o actas de liquidación.Etapa 2 (50%): A 15 de diciembre de 2025, realizar el cierre de los contratos finalizados y asignados a 31 de agosto de 2025, mediante la elaboración y suscripción de informes finales de supervisión y/o actas de liquidación.&amp;nbsp;Se obtendrá un 100% del cumplimiento del indicador si se cumplen las actividades mínimo al 95%. Se obtendrá calificación a partir del 85% de la meta: donde 84,9% da cero puntos y proporcional entre el 85% y 95%.</t>
  </si>
  <si>
    <t>Sondeos de Mercado</t>
  </si>
  <si>
    <t>Lograr que a partir del 1 de agosto de 2025, se implemente un instrumento de información relacionada con el tamaño de empresas que participa en los procesos de selección de proveedores en sus distintas modalidades. Para el efecto, se propone el desarrollo de las siguiente etapas, así:&amp;nbsp;&amp;nbsp;Etapa 1: (20 %) A 15 de julio de 2025, actualizar el formato de Ficha de Cotización que permita identificar, entre otros aspectos el tamaño de las&amp;nbsp;empresas que puedan tener interés en participar en el proceso de selección. Así mismo, actualizar el documento de Justificación de la contratación que consolide la identificación del tamaño empresarial de las empresas cotizantes.Etapa 2: (20%) a 30 de julio de 2025, socializar con las áreas usuarias, la actualización de los formatos y orientación para el correcto diligenciamiento de los mismos.Etapa 3: (10%) a 30 de julio de 2025, establecer un instrumento de consolidación de la información de las empresas participantes en los sondeos de mercado, asi como los proponentes en los procesos de invitación publica y privada que adelante el FNG.&amp;nbsp;Etapa 4: (50%) a partir del 1 de agosto de 2025, implementar el instrumento de información relacionada con el tamaño de empresas que participa en los procesos de selección de proveedores en sus distintas modalidades, y presentar la actualización mensual a la Dirección / Subdirección de Contratación dentro de los diez (10) días hábiles siguientes al cierre de mes. la Etapa 4 tendrá las siguientes condiciones de medición:10% = Corte - 31 de Agosto (Informe: Septiembre);&amp;nbsp;10% = Corte - 31 de Septiembre (Informe: Octubre);&amp;nbsp;10% = Corte - 31 de Octubre (Informe: Noviembre);&amp;nbsp;10% = Corte - 31 de Noviembre (Informe: Diciembre);&amp;nbsp;10% = Corte - 20 de Diciembre (Informe: Diciembre);&amp;nbsp;Sumatoria de las etapas por su peso. Por cada semana de atrasos en el cumplimiento de los entregables, se descontará un 5% del peso de cada entregable.&amp;nbsp;</t>
  </si>
  <si>
    <t>Muestra aleatoria seguimiento Ejecución Contractual</t>
  </si>
  <si>
    <t>A 31 de diciembre de 2025, lograr la completitud de expedientes contractuales en su etapa de ejecución con corte a 30 de noviembre de 2025. Para el cumplimiento de este objetivo, a partir de junio de 2025, se socializará ante el Comité de Adquisición de Bienes y Servicios los resultados obtenidos de la revisión adelantada sobre el muestreo aleatorio bimensual de los contratos vigentes a la fecha de cada corte, con el fin de verificar la completitud de los expedientes seleccionados, específicamente de soportes de ejecución, tanto en MERCURIO, como su publicidad en SECOP II o TVEC. Para efectos de la medición, se tendrá en cuenta los siguientes porcentajes y cortes bimensuales que serán socializados en el CABS en el mes siguiente, así:&amp;nbsp;25% = Corte - 31 de mayo (Socialización: junio);&amp;nbsp;25% = Corte - 31 de Julio (Socialización: agosto);&amp;nbsp;25% = Corte - 30 de septiembre (Socialización: Octubre);&amp;nbsp;25% = Corte - 30 noviembre (Socialización: diciembre).Para el cumplimiento de este objetivo se tendrán en cuenta las siguientes etapas:&amp;nbsp;Etapa 1: (30%)&amp;nbsp;Realizar la muestra aleatoria bimensual de los contratos vigentes a la fecha de cada corte (31 de mayo, 31 de julio, 30 de septiembre y 30 de noviembre de 2025)&amp;nbsp;y distribuir en los miembros del equipo de Contratación máximo los 5 primeros días de cada mes, de los contratos objeto de verificación a través de correo electrónico, con el fin de impulsar la gestión para la completitud del expediente, tanto en MERCURIO, como su publicidad en SECOP II o TVEC.Etapa. 2 (10%): Realizar seguimiento sobre la completitud de expedientes objeto de verificación, máximo dentro del mes siguiente a la fecha de corte.Etapa 3: (20%) Realizar la consolidación de la gestión sobre la muestra extraida, con el fin de organizar los resultados para ser presentados ante el Comité de Adquisición de Bienes y Servicios.Etapa 3:&amp;nbsp;(40%) Preparar la presentación de socialización de resultados de la gestión realizada sobre el muestreo aleatorio, ante el Comité de Adquisición de Bienes y Sevicios, dentro del mes siguiente a la fecha de corte.Se obtendrá un 100% del cumplimiento del indicador si se cumplen las actividades mínimo al 95%. Se obtendrá calificación a partir del 85% de la meta: donde 84,9% da cero puntos y proporcional entre el 85% y 95%. (Aplica etapas 1 y 3)</t>
  </si>
  <si>
    <t>Actualización y Acompañamiento en la Socialización del  Plan Anual de Adquisiciones - PAA, el Comité de Adquisición de Bienes y Servicios.</t>
  </si>
  <si>
    <t>A partir de junio de 2025, realizar la socialización mensual sobre la actualización y seguimiento del Plan Anual de Adquisiciones del Fondo Nacional de Garantías para aprobación del Comité de Adquisición de Bienes y Servicios.&amp;nbsp;El objetivo se califica:Se obtendrá un 100% del cumplimiento del indicador si se socializa la actualización del PAA para aprobación ante el Comité de Adquisición de Bienes y servicios en el periodo indicado, si se cumplen las actividades mínimo al 90%. Se obtendrá calificación a partir del 85% de la meta: donde 84,9% da cero puntos y proporcional entre el 85% y 90%.</t>
  </si>
  <si>
    <t>52932793</t>
  </si>
  <si>
    <t>Sandra Nayibe Ospina Bernal</t>
  </si>
  <si>
    <t>Lider Mesa de Servicio</t>
  </si>
  <si>
    <t>Diseño, Creación  de Campañas para Fomentar la Cultura de Usabilidad del Servicio en la Mesa de Servicio</t>
  </si>
  <si>
    <t>Durante el 2025, diseñar y crear campañas que fomenten una cultura de usabilidad del servicio que se presta en la mesa de servicios&amp;nbsp;a través de la herramienta Aranda, con el fin&amp;nbsp;de optimizar los procesos internos y&amp;nbsp;de esta manera mejorar la experiencia de servicio.Esto se realizará a través de piezas, presentaciones, videos, material de apoyo y/u otras actividades que se requieran para la ejecución de las campañas.Entregables:(Q2) Inicio de campaña, recolección de información para entrega a Marca institucional,(Q3)&amp;nbsp;video Uso de la herramienta (Q4)&amp;nbsp;capsulas de apoyo</t>
  </si>
  <si>
    <t>Continuar durante el 2025 con el proceso de modernización de la infraestructura tecnológica y de equipos de comunicaciones para soportar procesos de negocio como son la gestión de inversiones en la mesa de dinero, y la gestión administrativa mediante la dotación de nuevos recursos tecnológicos en ambientes de trabajo en el FNG. Incluye las pruebas de concepto, adquisiciones e instalaciones de:- Pruebas de concepto y/o implementación de Torretas en la mesa de dinero. (según valoración del área Financiera) Q3-Q4&amp;nbsp;- Instalación de equipos de videoconferencia en las salas de las Vicepresidencias. Q2-Q3- Dotación de equipos especializados para diseño e impresión y monitores para puestos de trabajo. Q2-Q4Entregable:Q2- Contrato los equipos de video- Contrato de equipo de diseño- Contrato compra de monitoresQ3- Informe de Instalación los equipos de video- Acta de recibo de equipo de diseño- Contrato de compra de impresoraQ4- Informe de POC de acuerdo con lo evaluado por la Vicepresidencia Financiera o Compra e Instalación torretas a cargo de la Vicepresidencia de TD e Innovación Q4&amp;nbsp;- Informe de POC o Instalación torretas- Acta de entrega de impresora- Acta de recibo de monitores</t>
  </si>
  <si>
    <t>Afinamiento y Actualización de Equipos Portátiles en la Herramienta Trellix.</t>
  </si>
  <si>
    <t>Durante el tercero y cuarto trimestre del 2025, llevara&amp;nbsp;a cabo el afinamiento y actualización de todos los equipos portátiles en la herramienta Trellix, asegurando que se implementen las últimas versiones disponibles y compatibles dispuestas por el proveedor.Entregables: Se calificará para Q3 el 50% del total de los equipos resgitrados en la herramienta ITMS Informe desde la herramienta Trellix.Se calificará para Q4 el 50% del total de los equipos registrados en la herramienta ITMS Informe desde la herramienta Trellix.</t>
  </si>
  <si>
    <t>Gestion Mesa de Servicios</t>
  </si>
  <si>
    <t>Gestionar y asignar a tiempo como mínimo el 95% de los casos de soporte tecnológico que son reportados en la herramienta ITSM durante la vigencia 2025. En donde 95 es igual al 90% y 96 o más es igual 100% de la meta, calculado proporcionalmente (menos de 95 equivale a cero puntos). Evidencia: Informe desde la herramienta definida para las mediciones “Aranda”Entregables:Se creara un informe trimestral con las evidencias donde se demuestra el cumplimiento de las mismas en la herramienta Aranda.</t>
  </si>
  <si>
    <t>Actas de entrega y devolución (Elementos tecnológicos)</t>
  </si>
  <si>
    <t>Durante el 2025, optimizar la gestión y control de entrega y devolución de elementos de cómputo asignados a los funcionarios de la entidad. Mediante un sistema automatizado, en el cual se registrará cada elemento tecnológico, incluyendo su número de serie o número de activo fijo, permitiendo un seguimiento detallado de su ubicación y uso.Entregables:Levantamiento de requerimiento (Q2), acompañamiento validación y actualización de la historia de usuario (Q3), Desarrollo y pruebas integrales(Q4)</t>
  </si>
  <si>
    <t>Director de Operaciones</t>
  </si>
  <si>
    <t>Garantía Global -  Reclamación y recuperación de cartera</t>
  </si>
  <si>
    <t>1083029184</t>
  </si>
  <si>
    <t>Sebastian David Diaz Perea</t>
  </si>
  <si>
    <t>Profesional Senior de defensa Judicial</t>
  </si>
  <si>
    <t>Durante la vigencia de 2025 cumplir en los plazos establecidos, como mínimo en un 98%, las solicitudes de asesoría jurídica radicadas mediante CRM o correo electrónico de acuerdo con el ANS de conceptos jurídicos y PQRS (valor mínimo para obtener puntaje 90%)&amp;nbsp;Medición: No. De PQRS realizadas a tiempo / No. De PQRS solicitadas * 100&amp;nbsp;&amp;nbsp;&amp;nbsp;&amp;nbsp;Archivo en excel que contenga la relación de solicitudes radicadas mediante CRM el cual deberá ser enviado&amp;nbsp;por correo electrónico a la Subdirección de Defensa al 12 de enero de 2026Los soportes se resguardarán en la siguiente ruta: P:\Objetivos\2025\Dirección Jurídica\Sebastian David Diaz Perea</t>
  </si>
  <si>
    <t>Realización del Diplomado en Gerencia Jurídica Pública</t>
  </si>
  <si>
    <t>Al 30 de junio de 2025, haber cursado y aprobado el Diplomado en Gerencia Jurídica Pública ofertado por la Agencia de Defensa Jurídica del Estado. Donde el cumplimiento del objetivo se realizará con la obtención del diploma que acredite el cumplimiento de todas las actividades del respectivo diplomado.El cumplimiento del objetivo se realizará con la obtención del diploma que acredite el cumplimiento de todas las actividades del respectivo diplomado el cual será correspondiente al 100% del objetivo, en caso de no obtener el diploma el cumplimiento será del 0%.El entregable será el diploma que acredite el haber cursado y aprobado el respectivo programa academico. Los soportes se resguardarán en la siguiente ruta: P:\Objetivos\2025\Dirección Jurídica\Sebastian David Diaz Perea</t>
  </si>
  <si>
    <t>Elaboración de una directriz de conciliación.</t>
  </si>
  <si>
    <t>Al 30 de noviembre de 2025, elaborar un directriz de conciliación presentada previamente para revisión a la Subdirectora de Defensa Judicial la cual deberá ser presentada para aprobación al Comité de Conciliación de acuerdo con los criterios establecidos por ANDJE para su planteamiento. Donde el cumplimiento se verificará de la siguiente forma: 100% con elaboración de la directriz de conciliación y la aprobación por parte de la Subdirección de Defensa y  el Comité de Conciliación del FNG; 80% con la elaboración de la directriz de conciliación y aprobación de la Subdirección de Defensa y; 0% en caso de que no se realice ninguna de las dos.Directriz de conciliación socializada en el Comité de Conciliación correspondiente y el Acta del referido comité. Los soportes se resguardarán en la siguiente ruta: P:\Objetivos\2025\Dirección Jurídica\Sebastian David Diaz Perea</t>
  </si>
  <si>
    <t>Director de Planeación y Gestión Integral</t>
  </si>
  <si>
    <t>Conformación Grupo Investigación MinCiencias</t>
  </si>
  <si>
    <t>Caso de Negocio CO y Factibilidad de puesta en producción</t>
  </si>
  <si>
    <t>1022363593</t>
  </si>
  <si>
    <t>Sergio Daniel Sotelo Castañeda</t>
  </si>
  <si>
    <t>Líder de Soluciones y Soporte al Ciudadano</t>
  </si>
  <si>
    <t>Objetivo:&amp;nbsp;Análisis de viabilidad de Centro de Experiencia Propio: Elaborar el estudio de factibilidad y viabilidad de contar con un Centro de Experiencia propio.Frecuencia: AnualIndicador o formula:Elaborar el estudio de factibilidad y viabilidad de contar con un Centro de Experiencia propio, el cual contiene las siguientes fases y entregables:1. Diagnóstico del Centro de Experiencia actual y variables a considerar en el estudio de factibilidad, fecha entrega: 15/05/25.2. Un informe que contenga las necesidades de la organización, fecha entrega: 01/07/253. Estructuración del anexo técnico del Centro de experiencia, fecha entrega: 11/07/254. Elaboración de la matriz y análisis de riesgos, fecha entrega: 31/07/255. Estudio de Mercado para el Centro de Experiencia, fecha entrega: 15/08/25Los entregables del 1 al 5 tendrán un peso individual del 15% y los mismos deberán ser cargados en la carpeta P:\Gestion Estratégica, dentro de los tiempos estipulados en la ficha.Nota: Si se presenta retraso en el cargue de los entregables se realizará una penalización del 1% por día de retraso.Informe final de Viabilidad del Centro de Experiencia Propio. Entregable: Número de Acta Comité Directivo en el que se presentó el Informe final de Viabilidad del Centro de Experiencia Propio, presentado a Comité Directivo a más tardar el 15 de septiembre de 2025La suma de los entregables del 1 al 5 suman 75% y el informe final tiene un peso del 25% lo que equivale al 100% del objetivo.Fecha inicio-fin: 01-05-2025 / 15-09-2025Entregables: Entregables: 1. Diagnóstico del Centro de Experiencia actual y variables a considerar en el estudio de factibilidad2. Un informe que contenga las necesidades de la organización 3. Estructuración del anexo técnico del Centro de Experiencia.4. Elaboración de la matriz y análisis de riesgos5. Estudio de Mercado para el CE del FNG.Informe final: Número de Acta Comité Directivo en el que se presentó el Informe final de Viabilidad del Centro de Experiencia Propio, presentado a Comité Directivo a más tardar el 15 de septiembre de 2025.Ruta de los entregables: \\lea\publico\Objetivos\2025\Dirección de Soluciones y Soporte Comercial\Sergio Daniel Sotelo Castañeda</t>
  </si>
  <si>
    <t>Objetivo: Capacitar y evaluar al profesional y al auxiliar de Soluciones a Ciudadanos, en la gestión del proceso a través de:1. Desarrollo de 3 sesiones trimestrales de capacitación para el Grupo de Ciudadanos.2. Evaluación sobre los temas capacitados.3. Seguimiento a las oportunidades de mejora evidenciadas y acompañamiento sobre el cierre de brechas.Frecuencia: TrimestralIndicador o formula:El total del proceso de capacitación equivale a 100 puntos&amp;nbsp;&amp;nbsp;&amp;nbsp;&amp;nbsp;&amp;nbsp;&amp;nbsp;&amp;nbsp;&amp;nbsp;&amp;nbsp;&amp;nbsp;&amp;nbsp;&amp;nbsp;&amp;nbsp;&amp;nbsp;&amp;nbsp;&amp;nbsp;Sesiones de capacitación. Peso 36 puntos. (3 sesiones cada capacitación tiene un peso de 12 puntos)Evaluación sobre los temas capacitados. Peso 36 puntos.(3 Evaluaciones cada una con un peso de 12 puntos).Seguimiento a las oportunidades de mejora evidenciadas equivale a 28 puntos. (Cada seguimiento tiene un peso de 9,33 puntos)Fecha inicio-fin: 01/04/2024 al 31/12/2024Entregables: Informe del proceso de capacitación proceso del Grupo de ciudadanos enviado vía correo electrónico a la Directora y/o Subdirectora a los 10 días hábiles siguientes de finalizado el Q2 y Q3 y Q4 con los resultados de cierre.Nota: El informe deberá contener el material de capacitación utilizado; soporte de la evaluación y resultados obtenidos y seguimiento oportunidades de mejora si se presentaron.Ruta: \\lea\publico\Objetivos\2025\Dirección de Soluciones y Soporte Comercial\Sergio Daniel Sotelo Castañeda</t>
  </si>
  <si>
    <t>Objetivo: Levantar las guías que describen las actividades específicas para la gestión de los siguientes subtipos de caso:1. Traslados por competencia.2. Derechos de Petición. 3. Reserva legal.4. Estados de garantías.Frecuencia: TrimestralIndicador o formula:La fórmula para utilizar es la siguiente:&amp;nbsp;Cada documentación de Subtipo tendrá la siguiente puntuación:1. Traslados por competencia. Peso 25 puntos2. Derechos de Petición. Peso 25 puntos3. Reserva legal. Peso 25 puntos4. Estados de garantías. Peso 25 puntosSi el resultado es entre 75 y 100 puntos: la calificación será 100 puntosSi el puntaje es menor a 75 se medirá de conformidad al puntaje obtenido.Fecha inicio-fin: 01/04/25 al 30/09/2025Entregables: Cargue en la intranet de las guías definidasPrimer entregable Q2: Guías de gestión subtipos: 1. Traslados por competencia.2. Derechos de Petición. Presentados y aprobados dentro de los diez (10) días hábiles siguientes al cierre del Q2 mediante correo electrónico enviado a la Directora o subdirectora del área de soluciones y soporte.Segundo entregable Q3: Guías de gestión subtipos:&amp;nbsp;3. Reserva legal. 4. Estados de garantías.Presentados y aprobados dentro de los diez (10) días hábiles siguientes al cierre del Q3 mediante correo electrónico enviado a la Directora y/o subdirectora del área de soluciones y soporte.&amp;nbsp;&amp;nbsp;&amp;nbsp;&amp;nbsp;&amp;nbsp;&amp;nbsp;&amp;nbsp;Ruta: \\lea\publico\Objetivos\2025\Dirección de Soluciones y Soporte Comercial\Sergio Daniel Sotelo Castañeda</t>
  </si>
  <si>
    <t>Objetivo: Reducir los tiempos de respuesta de las solicitudes, para lo cual se implementará un sistema de automatización basado en el cruce de correspondencia de tres Subtipos de casos relevantes de la Línea de Atención a Ciudadanos, las cuales son:1. Traslados por competencia2. Reserva legal3. Solicitud de Documentos C y GI&amp;nbsp;&amp;nbsp;&amp;nbsp;&amp;nbsp;&amp;nbsp;&amp;nbsp;&amp;nbsp;&amp;nbsp;&amp;nbsp;&amp;nbsp;&amp;nbsp;&amp;nbsp;&amp;nbsp;&amp;nbsp;Frecuencia: TrimestralIndicador o formula:La fórmula a utilizar es la siguiente: Cada automatización tendrá la siguiente puntuación 1. Automatización de la tipología Traslados por competencia. Peso: 33,33 puntos 2. Automatización de la tipología reserva legal. Peso: 33,33 puntos 3. Automatización de la tipología Solicitud de Documentos C y GI. Peso: 33,33 puntos Nota: Por cada documento que no se entregue en el periodo establecido, se descontaran 5 puntosFecha inicio-fin: 01/04/25 al 30/09/2025Entregables: Primer entregable Q2: Informe presentado y aprobado de la automatización implementada y resultados obtenidos con la implementación, para la tipología Traslados por competencia, enviado mediante correo electrónico a la Directora de soluciones y soporte comercial y/o Subdirectora a los 10 días hábiles siguientes de finalizado Q2.Segundo entregable Q3: Informe presentado y aprobado de la automatización implementada y resultados obtenidos con la implementación, para las tipologías Reserva legal y Solicitud de Documentos C y GI, enviado mediante correo electrónico a la Directora de soluciones y soporte comercial y/o Subdirectora a los 10 días hábiles siguientes de finalizado Q3.Ruta: \\lea\publico\Objetivos\2025\Dirección de Soluciones y Soporte Comercial\Sergio Daniel Sotelo Castañeda</t>
  </si>
  <si>
    <t>Objetivo: Resolver oportunamente el 100% de los casos de PQRS atendidos en el 2025 en la entidad, de conformidad con los plazos legales. Mínimo el 98% donde menos de 98% obtendrá un puntaje de 0. Se medirá de acuerdo a la tabla equitativa: Donde al sacar un puntaje del 98% el puntaje será 98% y así hasta llegar a 100%."&amp;nbsp;&amp;nbsp;&amp;nbsp;&amp;nbsp;&amp;nbsp;&amp;nbsp;&amp;nbsp;Frecuencia: AnualIndicador o formula:La Tabla equivalente respecto al resultado anual del indicador de nivel de oportunidad en las respuestas a PQRSMínimo el 98% donde menos de 98% obtendrá un puntaje de 0. Se medirá de acuerdo a la tabla equitativa: Donde al sacar un puntaje del 98% el puntaje será 98% y así hasta llegar a 100%.Nota: el resultado del año se obtiene sobre el promedio de los meses medidos en Isolucion en 2025.Fecha inicio-fin: 01-01-2025 / 31-12-2025Entregables:Reporte de indicador "Nivel de oportunidad en las respuestas a PQRS" mensual en IsoluciónNota: el resultado del año, se obtiene sobre el promedio de los meses medidos en Isolucion en 2025.Ruta: \\lea\publico\Objetivos\2025\Dirección de Soluciones y Soporte Comercial\Sergio Daniel Sotelo Castañeda</t>
  </si>
  <si>
    <t xml:space="preserve">Informe CRM	</t>
  </si>
  <si>
    <t>Objetivo: Realizar informe del desempeño actual del sistema de CRM en cuanto a los reportes de la gestión de las Peticiones, Quejas, Reclamos, Solicitudes, Felicitaciones y Denuncias (PQRSFD) para proponer una actualización de la herramienta en cuanto al árbol de tipificación de PQRSFD.Frecuencia: AnualIndicador o formula:Q2 Primer entregable: Realización informe diagnóstico del estado actual de la herramienta CRM en cuanto al árbol de tipificación de PQRSFD y las necesidades requeridas: Peso: 40 puntos.Q3 Segundo entregable: Informe de la viabilidad de las mejoras solicitadas y sobre estas cuales se pueden implementar en la herramienta: Peso: 20 puntosQ4 Tercer entregable: Informe con las pruebas y los resultados de las mejoras realizadas: Peso: 40 PuntosLa calificación será el resultado que se obtenga. Nota: Por cada documento que no se entregue en el periodo establecido, se descontaran 5 puntos.Fecha inicio-fin: 1/04/2025 al 31/12/2025Entregables: Primer entregable enviado y aprobado por correo a la Directora y/o Subdirectora, dentro de los 10 días hábiles posterior al cierre del Q2Segundo entregable enviado y aprobado por correo a la Directora y/o Subdirectora, dentro de los 10 días hábiles posterior al cierre del Q3Tercer entregable enviado y aprobado por correo a la Directora y/o Subdirectora, dentro de los 10 días hábiles posterior al cierre del Q4&amp;nbsp;&amp;nbsp;&amp;nbsp;&amp;nbsp;&amp;nbsp;&amp;nbsp;&amp;nbsp;&amp;nbsp;Ruta: \\lea\publico\Objetivos\2025\Dirección de Soluciones y Soporte Comercial\Sergio Daniel Sotelo Castañeda</t>
  </si>
  <si>
    <t>Objetivo: Promedio del resultado de los meses evaluados (resultado anual del indicador "calidad en las respuestas de PQRFSD del Grupo de ciudadanos") Frecuencia: AnualIndicador o formula:Promedio del resultado de los meses evaluados indicador "calidad en las respuestas de PQRFSD del Grupo de ciudadanos"Si el resultado es entre 85% y 100%: la calificación será 100 puntosSi el indicador es menor al 85% se medirá de la siguiente forma: (indicador /85)*100Nota: el resultado del año, se obtiene sobre el promedio de los meses medidos en el año 2025.Fecha inicio-fin: 01-01-25 al 31-12-25Entregables: Resultado de la medición remitido a los 10 días hábiles siguientes terminando el Q4, por correo electrónico por parte del Líder de ciudadanos a la Directora y/o Subdirectora de Soluciones y Soporte Comercial. Ruta: \\lea\publico\Objetivos\2025\Dirección de Soluciones y Soporte Comercial\Sergio Daniel Sotelo Castañeda</t>
  </si>
  <si>
    <t>Historia de Usuario Modulo de autogestión</t>
  </si>
  <si>
    <t>Objetivo:Crear la historia de usuario para el desarrollo de un módulo de autogestión en la página web del FNG que permita a los usuarios consultar el estado de sus garantías. Este módulo mejorará la eficiencia y satisfacción del usuario, reduciendo la carga de trabajo y agilizando los procesos de consulta. &amp;nbsp;&amp;nbsp;&amp;nbsp;&amp;nbsp;&amp;nbsp;&amp;nbsp;&amp;nbsp;&amp;nbsp;&amp;nbsp;&amp;nbsp;Frecuencia del Monitoreo: AnualIndicador o formula:La fórmula para utilizar es la siguiente: Cada entregable tiene la siguiente puntuación:Q2 primer entregable: Informe de las necesidades requeridas para el desarrollo en la página WEB. Peso 30 puntosQ3 segundo entregable: Historia de usuario del desarrollo Peso 60 puntosQ4 tercer entregable: Radicación caso de Aranda. Peso 10 puntosFecha inicio-fin: 1/04/2025 al 31/12/2025Entregables: Primer entregable enviado y aprobado por correo a la Directora y/o Subdirectora, dentro de los 10 días hábiles posterior al cierre del Q2Segundo entregable enviado y aprobado por correo a la Directora y/o Subdirectora, dentro de los 10 días hábiles posterior al cierre del Q3Tercer entregable enviado y aprobado por correo a la Directora y/o Subdirectora, dentro de los 10 días hábiles posterior al cierre del Q4&amp;nbsp;&amp;nbsp;&amp;nbsp;&amp;nbsp;&amp;nbsp;&amp;nbsp;&amp;nbsp;&amp;nbsp;Ruta: \\lea\publico\Objetivos\2025\Dirección de Soluciones y Soporte Comercial\Sergio Daniel Sotelo Castañeda</t>
  </si>
  <si>
    <t>1024558458</t>
  </si>
  <si>
    <t>Sergio Ferney Martinez Cabezas</t>
  </si>
  <si>
    <t>Profesional de Gestión de Cartera</t>
  </si>
  <si>
    <t>OBJETIVO 5: GESTIÓN DOCUMENTAL DE LA DIRECCIÓN</t>
  </si>
  <si>
    <t>DESCRIPCIÓN: A 31 de diciembre de 2025, la Subdirección de Gestión Jurídica de Cartera garantizará el cumplimiento del 100% de las obligaciones de gobierno corporativo, incluyendo la actualización documental y mantenimiento de los estándares de calidad en la gestión institucional.ENTREGABLE: Presentar un informe de gestión al Subdirector Gestión Jurídica de Cartera, evidenciando el cumplimiento de obligaciones de gobierno corporativo y la actualización documental completa, según inventario documental entregado por la Dirección de Planeación y Gestión Integral.EVALUACIÓN: El objetivo será calificable en forma proporcional a partir de un cumplimiento del 95%, donde 94,99% equivale a 0% y proporcional entre el 95% y 100%.</t>
  </si>
  <si>
    <t>OBEJTIVO 3: DIAGNÓSTICO DE MEJORAS EN EL MODELO DE RECUPERACIÓN DE CARTERA</t>
  </si>
  <si>
    <t>DESCRIPCIÓN DEL OBJETIVO: Al 31 de diciembre de 2025, la Dirección de Gestión y Recuperación de Cartera liderará la contratación de una firma especializada para lograr realizar un diagnóstico, reflexión estratégica y formulación de recomendaciones para optimizar, mejorar y modernizar la gestión de cobranza de la cartera del FNG derivada del pago de garantías, específicamente para la cartera que se encuentra a cargo de personas naturales y que registran bajos montos.ENTREGABLES: por cada hito cumplido se entregarán los siguientes documentos:Contratación ejecutada - Adjudicación y acta de inicio del contrato de diagnóstico (junio 2025). Entregable: Contrato Firmado. Peso: 30%Realización del diagnóstico al proceso de gestión de cobranza - Documento definitivo del diagnóstico e informe de recomendaciones para su mejoramiento y modernización, entregado por la firma especializada. Entregable: Acta de Comité de Recuperación de Cartera con fecha anterior o igual al 31/10/2025, donde quede plasmada la aprobación del informe entregado, por parte de sus miembros.&amp;nbsp;Peso: 40%A 31 de diciembre de 2025, diseñar y presentar al Comité de Recuperación de Cartera, un plan de trabajo para la implementación de mejoras y recomendaciones extraídas del documento entregado por la firma especializada.&amp;nbsp;Entregable: Acta de Comité de Recuperación de Cartera donde quede plasmado la aprobación del Plan de trabajo. Peso: 30%EVIDENCIAS DE CUMPLIMIENTO: Copia simple del contrato suscrito y su respectiva acta de inicio, documentos del diagnóstico y actas de los comités de recuperación de cartera con la presentación de los informes propuestos, donde quede plasmada la aprobación del Plan de trabajo.EVALUACIÓN: El porcentaje de cumplimiento del objetivo, será la sumatoria de los pesos que se han asignado a cada uno de los hitos cuando se cumplan al 100% con sus entregables.</t>
  </si>
  <si>
    <t>OBJETIVO 6: REMISION MEMORIALES IF.</t>
  </si>
  <si>
    <t>A partir del mes de julio de 2025 remitir los memoriales de subrogación en el tiempo establecido en el reglamento de garantías de la entidad y los procedimientos de la subdirección jurídica de cartera.El entregable será el informe que contenga la evidencia del cumplimiento mensual del objetivo dirigido al subdirector de Gestión Jurídica de Cartera, cual se mediría con el resultado de los meses de julio a diciembre del 2025, (Valor mínimo para obtener puntaje 95%) Medición: número de envíos / número de envíos en tiempo.</t>
  </si>
  <si>
    <t>OBJETIVO 2- DIAGNÓSTICO DE LA GESTIÓN DE COBRANZA POR LOS FRG: OPTIMIZACIÓN DE LA EXPERIENCIA DEL DEUDOR Y CANALES DE ATENCIÓN</t>
  </si>
  <si>
    <t>DESCRIPCIÓN DEL OBJETIVO: A 31 de diciembre de 2025, realizar un diagnóstico general de la gestión de cobranza de los 4 operadores de recuperación de cartera (FRG), con el fin de definir un plan de trabajo para consolidar una propuesta de un modelo de cobranza que tenga como propósito mejorar la experiencia y satisfacción de los deudores de la cartera especial en este proceso. ENTREGABLE: Este objetivo tendrá los siguientes hitos y entregables: a)&amp;nbsp;&amp;nbsp;&amp;nbsp;&amp;nbsp;&amp;nbsp;&amp;nbsp;A 31 de Julio 2025, presentar al Comité de Recuperación de Cartera, el objetivo del proyecto y cronograma de actividades del plan de trabajo. Evidencia: Informe y cronograma. Peso: 20%b)&amp;nbsp;&amp;nbsp;&amp;nbsp;&amp;nbsp;&amp;nbsp;&amp;nbsp;A 31 de Agosto 2025, presentar un informe al Comité de Recuperación de Cartera sobre el primer avance del diagnóstico preliminar del modelo de cobranza actual de los FRG. Este informe debe contener como mínimo: Organigrama del equipo de trabajo de cada FRG, experiencia de los gestores, infraestructura y protocolos de cobranza actuales y estudio inicial de habilidades blandas de los gestores. Evidencia: Informe. Peso: 20%c)&amp;nbsp;&amp;nbsp;&amp;nbsp;&amp;nbsp;&amp;nbsp;&amp;nbsp;A 30 de septiembre presentar un informe de avance del desarrollo del objetivo al Comité Directivo. Peso: 10%d)&amp;nbsp;&amp;nbsp;&amp;nbsp;&amp;nbsp;&amp;nbsp;&amp;nbsp;A 31 de octubre 2025, presentar un informe al Comité de Recuperación de Cartera que contenga una propuesta de la estandarización de los protocolos de atención en la cobranza determinados por el FNG. Evidencia: Informe. Peso: 20%e)&amp;nbsp;&amp;nbsp;&amp;nbsp;&amp;nbsp;&amp;nbsp;&amp;nbsp;A 30 de noviembre presentar un informe de avance del desarrollo del objetivo al Comité Directivo. Peso: 10%f)&amp;nbsp;&amp;nbsp;&amp;nbsp;&amp;nbsp;&amp;nbsp;&amp;nbsp;&amp;nbsp;A 31 de diciembre 2025, socializar con los FRG los protocolos de cobranza estandarizados a través de capacitaciones a los gestores.&amp;nbsp;Evidencia: Actas de reunión. Peso: 20%EVIDENCIAS DE CUMPLIMIENTO: Actas de los comités de recuperación de cartera y directivo con la presentación de los informes propuestos, así como actas de reunión de la socialización de capacitaciones.EVALUACIÓN:&amp;nbsp;el porcentaje de cumplimiento del objetivo será la sumatoria del peso asignado a cada hito, que se cumpla al 100%.</t>
  </si>
  <si>
    <t>OBJETIVO 1 - CUMPLIMIENTO PRESUPUESTO DE INGRESOS POR RECUPERACIÓN DE CARTERA</t>
  </si>
  <si>
    <t>DESCRIPCIÓN DEL OBJETIVO: Generar ingresos por concepto de recuperación y venta de cartera derivado del pago de garantías con recuperación de cartera por la suma de $88,642 millones, correspondiente al valor contemplado en el presupuesto de ingresos aprobado por Junta Directiva para el año 2025. (Este valor contempla ingresos derivados de la meta de recuperación de cartera asignada a los FRG´S, reintegros y reactivaciones, recuperación por anexo 13 (IF), ingresos por ventas de cartera y compartición del precio de la enajenación de la cartera de los IF.) ENTREGABLE: Correo enviado por la Directora/Subdirectora de Cartera los primeros días del año 2026, informando los resultados definitivos de la recuperación de cartera durante la vigencia 2025. EVIDENCIA DE CUMPLIMIENTO: Correo electrónico remito por la Directora/Subdirectora de Cartera los primeros días del año 2026, informando los resultados definitivos de la recuperación de cartera durante la vigencia 2025. EVALUACIÓN: Se obtendrá calificación a partir del cumplimiento del 90% ($79,778 millones) de la meta: donde el 89,9% da 0% y proporcional entre el 90% y 100%.</t>
  </si>
  <si>
    <t>OBJETIVO 4: CRM</t>
  </si>
  <si>
    <t>&amp;nbsp;1. Durante la vigencia 2025 cumplir en los plazos establecidos como mínimo en un 98%, las solicitudes de asesoría jurídica radicadas mediante CRM de acuerdo con el ANS de conceptos jurídicos y PQRS (valor mínimo para obtener puntaje 90%).2. Las tareas en CRM que cuentan con ampliación del término para resolver deberán justificarse y sólo se valdrán como justificación las que se fundamenten en respuestas de terceros que impliquen la remisión de información para resolver el caso o tarea, (las solicitudes de información deberán hacerse en un plazo máximo de 2 días siguientes a la asignación de tarea) y las que tengan que resolverse en un comité. En los casos en que no exista justificación, se concede una tolerancia de aplicación del 30% que se calculará sobre las tareas que no tengan justificación Esta variable pesará el 20% del objetivo y se medirá por regla de tres.Nota: Si bien se otorga un plazo para realizar la solicitud de información, en cada caso específico se mirará la complejidad del caso y los días asignados para su respuesta.&amp;nbsp;El entregable será el informe de las solicitudes radicadas mediante la herramienta de CRM por parte del Departamento de Servicio al Cliente.</t>
  </si>
  <si>
    <t>1030530449</t>
  </si>
  <si>
    <t>Sergio Steven Cuesta Luna</t>
  </si>
  <si>
    <t>Administrador de Servidores y Data Center</t>
  </si>
  <si>
    <t>Migracion de herraminetas de correlacion correlacionador de eventos FORTI SIEM</t>
  </si>
  <si>
    <t>Durante 2025 para Q4 Migrar y configurar lo existente en la herramineta Splunk hacia el SIEM, mejorando la ingesta de datos e integrandolo con el controlador de dominio, office 365 y file server de la Entidad, logrando una correlacion y vista mas completa de los eventos dentro de la infraestructura de la entidad, esto con el fin de poder correlacionar los eventos del ecosistema de servicos del FNG.Entregable: Documento donde se evidencian las actividades concercnientes a la configuracion y recoleccion de logs del contrlodor de dominio y file server</t>
  </si>
  <si>
    <t xml:space="preserve">Implementacion herramientas de auditoria </t>
  </si>
  <si>
    <t>Durante 2025 para Q3 Implementar y configurar una herramienta de auditoria para monitorear y auditar diversas actividades en el entorno de red, incluyendo el acceso a archivos, los inicios de sesión, los cambios en usuarios y grupos, rastreo de cambios, y la detección de riesgos de seguridad.Entregable: Documento donde se evidencia la configuracion de la herrameinta y la visualización de logs</t>
  </si>
  <si>
    <t>Creacion flujos de informacion anexos 5, 7 y 7A</t>
  </si>
  <si>
    <t>Durante 2025 para Q2 Configurar los flujos en la herramienta GoAnywhere para el consumo de los intermediarios financieros, a fin de tengan acceso a la informacion solicitada en los anexos 5, 7 y 7A, con las medidas de seguridad pertinentes a nivel de llaves de encripcion con cada uno de los IF.Entregable: Documento de configuracion de los flujos dentro de GoAnywhere</t>
  </si>
  <si>
    <t>Aseguramiento E-learning</t>
  </si>
  <si>
    <t>Durante 2025 para Q2, Realizar la actualizacion, configuracion e implementacion del certificado SSL, ejecutando las respectivas pruebas de funcionamiento y disponibilidad del sistema de capacitacion E-learning actual, mejorando la postura de seguridad de la entidad.Entregable: Documento donde se evidencian las actividades realizadas para el aseguramiento del sistema de Elearning</t>
  </si>
  <si>
    <t>"Fortalecer durante el 2025 la capacidad de respuesta y atención en Ciberseguridad del FNG, mediante la implementación de las siguientes soluciones:1.Protección de Marca: Implementación de herramientas para la detección y mitigación de suplantaciones de identidad, fraudes digitales y usos indebidos de la imagen institucional en canales externos.&amp;nbsp;&amp;nbsp;2. Advance Report (GoAnywhere): Integración de una solución avanzada para la gestión segura de transferencias de archivos, con trazabilidad, control de accesos y generación de reportes automatizados.3. Control de Acceso a la Red (NAC): Despliegue de una solución de Network Access Control que permita identificar, autenticar y autorizar dispositivos conectados a la red del FNG, garantizando un entorno más seguro y controlado."</t>
  </si>
  <si>
    <t>"Continuar durante el 2025 con el proceso de modernización de la infraestructura tecnológica y de equipos de comunicaciones para soportar procesos de negocio como son la gestión de inversiones en la mesa de dinero, y la gestión administrativa mediante la dotación de nuevos recursos tecnológicos en ambientes de trabajo en el FNG. Incluye las pruebas de concepto, adquisiciones e instalaciones de:- Pruebas de concepto y/o implementación de Torretas en la mesa de dinero. (según valoración del área Financiera) Q3-Q4&amp;nbsp;- Instalación de equipos de videoconferencia en las salas de las Vicepresidencias. Q2-Q3- Dotación de equipos especializados para diseño e impresión y monitores para puestos de trabajo. Q2-Q4"</t>
  </si>
  <si>
    <t>Subdirector de Operaciones</t>
  </si>
  <si>
    <t>Macro medición de indicadores</t>
  </si>
  <si>
    <t>Al 31 de octubre de 2025, elaborar una herramienta en Excel para generar los indicadores: "Garantías registradas incluidas en proyectos de liquidación de comisiones" y "Garantías registradas confirmadas en el proyecto de liquidación de comisiones"  INDICADOR: Garantías registradas incluidas en proyectos de liquidación de comisiones 50% Cumple / No cumple &amp;nbsp;Garantías registradas confirmadas en el proyecto de liquidación de comisiones 50% Cumple / No cumple  ENTREGABLES / EVIDENCIA: Documentar la herramienta en el instructivo IN-AGA-078 - Calculo y medición de indicadores del Proceso Administración de Garantías y publicarlo en en ISOlución, correo dirigido a la Directora de Operaciones donde se informe la ubicación de la herramienta.</t>
  </si>
  <si>
    <t>A 31 de diciembre del 2025 aprobar el curso de Análisis de Datos e Inteligencia Artificial&amp;nbsp;de Microsoft  INDICADOR Cumple/ No Cumple  ENTREGABLE/EVIDENCIA : Certificaciones y/o credenciales digitales emitidas por la plataforma correspondiente</t>
  </si>
  <si>
    <t>Diseñar e incorporar al menos 2 recursos interactivos (digitales o físicos) en el modulo de&amp;nbsp;liquidación y devolución de comisiones de la Universidad del la garantía nivel avanzado, al igual que&amp;nbsp;dictar y evaluar&amp;nbsp;estos modulos a la Dirección de Operaciones en el 4Q del 2025.  INDICADOR: Diseño del curso - 50% (Cumple/No cumple) Dictar y evaluar el curso - 50% (Cumple/No cumple)  ENTREGABLES / EVIDENCIA:Correo dirigido a la Directora de Operaciones con la presentación final, listado de asistencia y encuestas.&amp;nbsp;</t>
  </si>
  <si>
    <t>Subdirector Regional Santander</t>
  </si>
  <si>
    <t>Realizar 364 visitas a sucursales activas gestionables de Intermediarios Financieros del FNG en la Regional Santander durante el año 2025.% Cumplimiento:Realizar 364&amp;nbsp;visitas o más obtendrá un puntaje de 100%, realizar menos de 328 visitas obtendrá un puntaje de 0%. Se medirá de acuerdo a la tabla equitativa: donde al sacar un puntaje del 90% el puntaje será 90%, y así hasta llegar al 100%.Evidencia:&amp;nbsp;Informe Modelo de Actuación Comercial MAC Fuerza Propia generado por la dirección de estrategia comercial.</t>
  </si>
  <si>
    <t>Capacitacitaciones a Gerentes de Zona y/o regionales de Intermediarios Financieros de la Regional Santander</t>
  </si>
  <si>
    <t>Realizar 20 capacitaciones a regionales y/o zonales activos gestionables de Intermediarios Financieros del FNG en la regional Santander durante el año 2025.% Cumplimiento:Realizar 20 capacitaciones o mas obtendra un puntaje de 100%, realizar menos de 18 Capacitaciones obtendra un puntaje de 0%. Se medirá de acuerdo a la tabla equitativa: donde al sacar un puntaje del 90% el puntaje será 90% y así hasta llegar al 100%.Evidencia:&amp;nbsp;Informe Modelo de Actuación Comercial MAC Fuerza Propia generado por la dirección de estrategia comercial.</t>
  </si>
  <si>
    <t>Movilización de créditos con garantías del FNG en la Regional Santander</t>
  </si>
  <si>
    <t>Lograr al 31 de diciembre de 2025 una movilización de créditos con garantías del FNG igual o superior al 100% de la Meta asignada por la vicepresidencia comercial a la Regional Santander.&amp;nbsp;% Cumplimiento:Calificación proporcional entre la Meta asignada por la vicepresidencia comercial y&amp;nbsp;$1.012.591.594.499 billones (donde menor a $1.012.591.594.499 billones es 0% y la Meta asignada o superior es el 100%)&amp;nbsp;La fórmula de medición del Rango: = (Resultado Indicador – Cumplimiento Mínimo) / (Meta – Cumplimiento Mínimo) x 100.Evidencia:&amp;nbsp;Informe de cierre de movilización del año 2025 generado por la dirección de estrategia comercial.</t>
  </si>
  <si>
    <t>Visitas a Gerentes de Zona y/o Regionales de Intermediarios Financieros de la Regional Santander</t>
  </si>
  <si>
    <t>Realizar 20 visitas a regionales y/o zonales activos gestionables de Intermediarios Financieros del FNG en la regional Santander durante el año 2025.% Cumplimiento:Realizar 20 visitas o más obtendrá un puntaje de 100%, realizar menos de 18 visitas obtendrá un puntaje de 0%. Se medirá de acuerdo a la tabla equitativa: donde al sacar un puntaje del 90% el puntaje será 90%, y así hasta llegar al 100%.Evidencia:&amp;nbsp;Informe Modelo de Actuación Comercial MAC Fuerza Propia generado por la dirección de estrategia comercial.</t>
  </si>
  <si>
    <t>Vinculación y/o reactivación de intermediarios financieros en la Regional Santander</t>
  </si>
  <si>
    <t>Lograr la vinculación y/o reactivación durante el año 2025, de seis (6) intermediarios financieros en la regional Santander.% Cumplimiento:Se medirá de acuerdo a la fórmula: # de vinculaciones año 2025/6 y el resultado obtenido será la calificación final del objetivo según la fórmula, Ejemplo: 3 vinculaciones/6 = 50%.Evidencia:&amp;nbsp;Correo de confirmación de suscripción de contrato generado por la Dirección de Vinculación, Aseguramiento y Calidad.</t>
  </si>
  <si>
    <t>1020835045</t>
  </si>
  <si>
    <t>Valentina Duran Rodriguez</t>
  </si>
  <si>
    <t>Profesional de Inversiones</t>
  </si>
  <si>
    <t>Realizar a 31 de diciembre un informe para comparar la rentabilidad de títulos de renta fija&amp;nbsp;frente a instrumentos indexados a indicadores como el IPC y el IBR, evaluando cuál representa una mejor opción de inversión bajo distintos escenarios de inflación y tasas de interés.Entregables:*Correo enviado al Director de Inversiones en el mes de Septiembre de 2025:&amp;nbsp;30%Presentación avance&amp;nbsp;Informe de Valor Relativo DP.*Correo enviado al Director de Inversiones en el mes de Octubre de 2025:&amp;nbsp;30%Presentación avance&amp;nbsp;Informe de Valor Relativo DP.&amp;nbsp;*Correo enviado al Director de Inversiones en el mes de Diciembre de 2025:&amp;nbsp;40%Presentación Informe definitivo Valor Relativo DP.&amp;nbsp;Evidencias: P:\Objetivos\2025\Dirección de Inversiones\Valentina Duran Rodriguez</t>
  </si>
  <si>
    <t>Operaciónes de Mercado Monetario Activa</t>
  </si>
  <si>
    <t>(PAI - Objetivo Estratégico 2. Asegurar la sostenibilidad financiera del FNG que contribuya con el crecimiento de la operación: Operación de mercado monetario) Implementar a 31 de octubre de&amp;nbsp;2025 en la operación de portafolio (Dialogo) las simultáneas activas como una alternativa para la gestión de liquidez del Portafolio de Inversiones.Entregables:*Enviar correo electrónico al Director de Inversiones con fecha 31 de Julio de 2025 que contenga el análisis preliminar y avance de pruebas integrales para la implementación en Dialogo Producción de las simultaneas activas.&amp;nbsp;Peso 50%&amp;nbsp;&amp;nbsp;&amp;nbsp;&amp;nbsp;&amp;nbsp;&amp;nbsp;&amp;nbsp;&amp;nbsp;&amp;nbsp;*Enviar correo electrónico al Director de Inversiones con fecha 30 de Septiembre de 2025 que incluya la configuración realizada en Dialogo Producción de las simultaneas activas.&amp;nbsp;Peso 50%&amp;nbsp;&amp;nbsp;&amp;nbsp;&amp;nbsp;&amp;nbsp;Evidencias: P:\Objetivos\2025\Dirección de Inversiones\Valentina Duran Rodriguez</t>
  </si>
  <si>
    <t>A 30 de Noviembre implementar un dashboard en Power BI que permita visualizar información actualizada del área de inversiones, con el fin de facilitar la generación de reportes y el análisis eficiente de los datos para la toma de decisiones estratégicas.Entregables:Correo enviado al Director de Inversiones en el mes de Julio de 2025:&amp;nbsp;50%Presentación Power BI con Informe de Curvas.&amp;nbsp;*Correo enviado al Director de Inversiones en el mes de Agosto de 2025:&amp;nbsp;50%Presentación Power BI con Informe de Liquidez.&amp;nbsp;Evidencias: P:\Objetivos\2025\Dirección de Inversiones\Valentina Duran Rodriguez</t>
  </si>
  <si>
    <t>Generar una utilidad del portafolio (PyG) para el año 2025 correspondiente a una TIR del 8%.&amp;gt;=8%&amp;nbsp;&amp;nbsp;&amp;nbsp;&amp;nbsp;&amp;nbsp;&amp;nbsp;&amp;nbsp;&amp;nbsp;&amp;nbsp;&amp;nbsp;&amp;nbsp;&amp;nbsp;&amp;nbsp;&amp;nbsp;&amp;nbsp;&amp;nbsp;&amp;nbsp;&amp;nbsp;&amp;nbsp;&amp;nbsp;&amp;nbsp;&amp;nbsp;&amp;nbsp;&amp;nbsp;&amp;nbsp;&amp;nbsp;&amp;nbsp;&amp;nbsp;&amp;nbsp;&amp;nbsp;&amp;nbsp;&amp;nbsp;=100%&amp;gt;=7,5% y &amp;lt;8%&amp;nbsp;&amp;nbsp;&amp;nbsp;&amp;nbsp;&amp;nbsp;&amp;nbsp;&amp;nbsp;&amp;nbsp;&amp;nbsp;&amp;nbsp;=90%&amp;gt;=7,0% y &amp;lt;7,50%&amp;nbsp;&amp;nbsp;&amp;nbsp;&amp;nbsp;&amp;nbsp;&amp;nbsp;&amp;nbsp;&amp;nbsp;&amp;nbsp;&amp;nbsp;=80%&amp;gt;=6,50% y &amp;lt;7,00%&amp;nbsp;&amp;nbsp;&amp;nbsp;&amp;nbsp;&amp;nbsp;&amp;nbsp;&amp;nbsp;&amp;nbsp;=70%&amp;gt;=6,00% y &amp;lt;6,50%&amp;nbsp;&amp;nbsp;&amp;nbsp;&amp;nbsp;&amp;nbsp;&amp;nbsp;&amp;nbsp;&amp;nbsp;=60%&amp;gt;=5,50% y &amp;lt;6,00%&amp;nbsp;&amp;nbsp;&amp;nbsp;&amp;nbsp;&amp;nbsp;&amp;nbsp;&amp;nbsp;&amp;nbsp;=50%&amp;gt;=5,00% y &amp;lt;5,50%&amp;nbsp;&amp;nbsp;&amp;nbsp;&amp;nbsp;&amp;nbsp;&amp;nbsp;&amp;nbsp;&amp;nbsp;=40%&amp;gt;=4,50% y &amp;lt;5,00%&amp;nbsp;&amp;nbsp;&amp;nbsp;&amp;nbsp;&amp;nbsp;&amp;nbsp;&amp;nbsp;&amp;nbsp;=30%&amp;gt;=3,50% y &amp;lt;4,50%&amp;nbsp;&amp;nbsp;&amp;nbsp;&amp;nbsp;&amp;nbsp;&amp;nbsp;&amp;nbsp;&amp;nbsp;=20%&amp;gt;=3,0% y &amp;lt;3,50%&amp;nbsp;&amp;nbsp;&amp;nbsp;&amp;nbsp;&amp;nbsp;&amp;nbsp;&amp;nbsp;&amp;nbsp;&amp;nbsp;&amp;nbsp;&amp;nbsp;=10%&amp;lt;3&amp;nbsp;&amp;nbsp;&amp;nbsp;&amp;nbsp;&amp;nbsp;&amp;nbsp;&amp;nbsp;&amp;nbsp;&amp;nbsp;&amp;nbsp;&amp;nbsp;&amp;nbsp;&amp;nbsp;&amp;nbsp;&amp;nbsp;&amp;nbsp;&amp;nbsp;&amp;nbsp;&amp;nbsp;&amp;nbsp;&amp;nbsp;&amp;nbsp;&amp;nbsp;&amp;nbsp;&amp;nbsp;&amp;nbsp;&amp;nbsp;&amp;nbsp;&amp;nbsp;&amp;nbsp;&amp;nbsp;&amp;nbsp;&amp;nbsp;&amp;nbsp;&amp;nbsp;&amp;nbsp;&amp;nbsp;=0%Entregable : Informe presentado al Comité Financiero en el mes de enero de 2026 y acta de esta sesión.Evidencias: P:\Objetivos\2025\Dirección de Inversiones\Valentina Duran Rodriguez</t>
  </si>
  <si>
    <t>A 31 diciembre de 2025 lograr como mínimo el cumplimiento del 90% de las acciones formuladas durante la vigencia en los planes de acción y mejoramiento relacionados con las auditorías realizadas por la OCI, SFC, Revisoría Fiscal y CGR en las actividades relacionadas con la Vicepresidencia de Financiera.Como entregable: Correo electrónico enviado a el director de Inversiones en los cuales se informe a la Oficina de control Interno - OCI el cumplimiento de la acción, la modificación de fecha o entregable acordado, a estos correos deben adjuntarse los soportes de evidencias que correspondan en cada caso.Evidencias: P:\Objetivos\2025\Dirección de Inversiones\Valentina Duran Rodriguez</t>
  </si>
  <si>
    <t>1075312463</t>
  </si>
  <si>
    <t>Valentina Oliveros Riaño</t>
  </si>
  <si>
    <t>Profesional Senior de Gestión Jurídica del Negocio</t>
  </si>
  <si>
    <t>OBJETIVO: Diseñar e implementar, a 31 de octubre de 2025, un recorrido de atención legal, que permita mapear y optimizar la experiencia de las áreas del FNG frente a la atención de sus consultas legales. Se propiciaran espacios de consulta y/o mesas de trabajo con las diferentes dependencias del FNG, que buscará identificar puntos de fricción, oportunidades de mejora y momentos clave de valor en la interacción jurídica, con el fin de abordar proactivamente las inquietudes jurídicas de manera clara, oportuna y alineada con la misión institucional; visibilizar el rol estratégico de la Dirección Jurídica como aliada en la toma de decisiones; incorporar criterios de priorización, complejidad y urgencia que permitan ajustar los tiempos de respuesta bajo un enfoque de servicio con ANS.La ruta legal contendrá varias etapas, incluyendo una franja mensual destinada a la atención y resolución de consultas jurídicas formuladas por las distintas áreas del FNG, con el fin de abordar de manera oportuna las inquietudes relacionadas con el objeto social y funcionamiento del FNG. Así mismo, la ruta legal se apoyará en datos que sean recopilados en los espacios de consulta y/o mesas de trabajo, así como en la retroalimentación continua de las diferentes áreas (cliente interno) para fortalecer el relacionamiento, identificar patrones de consulta y anticipar necesidades.ENTREGABLES: ·&amp;nbsp;&amp;nbsp;&amp;nbsp;&amp;nbsp;&amp;nbsp;&amp;nbsp;Etapa 1:Al 31 de julio de 2025, realizar mesas de trabajo con las diferentes áreas del FNG, las cuales se han identificado como consultantes recurrentes en la Dirección Jurídica. Peso 30%&amp;nbsp;·&amp;nbsp;&amp;nbsp;&amp;nbsp;&amp;nbsp;&amp;nbsp;&amp;nbsp;Etapa 2:Al 30 de septiembre de 2025, presentar a la Vicepresidencia Jurídica un borrador de modelo de atención al cliente, teniendo en cuenta el insumo recolectado en las mesas de trabajo.&amp;nbsp;Peso: 30%&amp;nbsp;·&amp;nbsp;&amp;nbsp;&amp;nbsp;&amp;nbsp;&amp;nbsp;&amp;nbsp;Etapa 3: Al 31 de octubre, presentar la documentación que soporte la versión final ruta legal, debidamente aprobada por la Vicepresidencia Jurídica, el cual será formalizado en la Plataforma ISolución, y socializado con las diferentes áreas para su correcta aplicación y ejecución. Peso: 40%&amp;nbsp;EVIDENCIAS DE CUMPLIMIENTO:1.&amp;nbsp;&amp;nbsp;&amp;nbsp;&amp;nbsp;Evidencia soporte reuniones de mesas de trabajo, con las conclusiones de cada sesión de las mesas de trabajo.2.&amp;nbsp;&amp;nbsp;&amp;nbsp;&amp;nbsp;Correo electrónico con la evidencia de la entrega del borrador de modelo 3.&amp;nbsp;&amp;nbsp;&amp;nbsp;&amp;nbsp;Soporte documental de la versión final del proceso de modelo de atención al cliente / ruta legal.&amp;nbsp;EVALUACIÓN:El porcentaje de cumplimiento del objetivo será la sumatoria del peso asignado a cada hito/etapa, que se cumpla al 100%. Los soportes se resguardarán en la siguiente ruta: P:\Objetivos\2025\Dirección Jurídica \Valentina Oliveros</t>
  </si>
  <si>
    <t>REPOSITORIO INVESTIGACIONES</t>
  </si>
  <si>
    <t>OBJETIVO: Crear y mantener actualizado el repositorio de las investigaciones que han servido de soporte para dar respuesta a las consultas y conceptos jurídicos emitidos por la Subdirección de Gestión Jurídica del Negocio durante el año 2025. Para ello, se deberá diligenciar una matriz la cual se deberá cargar en el repositorio. ENTREGABLES:-&amp;nbsp;&amp;nbsp;&amp;nbsp;&amp;nbsp;&amp;nbsp;&amp;nbsp;&amp;nbsp;&amp;nbsp;&amp;nbsp;Etapa 1. Peso 50%. Al 29 de septiembre de 2025, presentarle mediante correo electrónico a la Subdirectora de Gestión Jurídica del Negocio una matriz (en formato Excel), con corte al 25 de septiembre de 2025 de las consultas y conceptos jurídicos emitidos por la Subdirección de Gestión Jurídica, la cual contendrá la siguiente información: (I). Tema, (II). Resumen. (III) . Fuentes y (IV). Enlace para la remisión del concepto. &amp;nbsp;-&amp;nbsp;&amp;nbsp;&amp;nbsp;&amp;nbsp;&amp;nbsp;&amp;nbsp;&amp;nbsp;&amp;nbsp;&amp;nbsp;&amp;nbsp;Etapa 2. Peso 50%. &amp;nbsp;Al 01 de diciembre de 2025, presentarle mediante correo electrónico a la Subdirectora de Gestión Jurídica del Negocio una matriz (en formato Excel), con corte al 26 de noviembre de 2025 de las consultas y conceptos jurídicos emitidos por la Subdirección de Gestión Jurídica del Negocio, la cual contendrá la siguiente información: (I). Tema, (II). Resumen. (III) . Fuentes y (IV). Enlace para la remisión del concepto.&amp;nbsp;En el correo mencionado también deberá presentarse un Informe final en formato Word, el cual contenga la trazabilidad de la gestión realizada. EVIDENCIAS DE CUMPLIMIENTO:-&amp;nbsp;&amp;nbsp;&amp;nbsp;&amp;nbsp;&amp;nbsp;&amp;nbsp;&amp;nbsp;&amp;nbsp;&amp;nbsp;Versión inicial matriz en formato Excel. -&amp;nbsp;&amp;nbsp;&amp;nbsp;&amp;nbsp;&amp;nbsp;&amp;nbsp;&amp;nbsp;&amp;nbsp;&amp;nbsp;Versión final de la matriz en formato Excel.-&amp;nbsp;&amp;nbsp;&amp;nbsp;&amp;nbsp;&amp;nbsp;&amp;nbsp;&amp;nbsp;&amp;nbsp;&amp;nbsp;Informe Final.EVALUACIÓN: Sumatoria del cumplimiento de los entregables. Por cada semana de atrasos en el cumplimiento de los entregables, se descontará un 10% del peso de cada entregable. Si no se encuentra un soporte documental, la Subdirectora de Gestión Jurídica del Negocio evaluará el caso de manera particular.Los soportes se resguardarán en la siguiente ruta: P:\Objetivos\2025\Dirección Jurídica \Valentina Oliveros</t>
  </si>
  <si>
    <t>OBJETIVO: Contratar un desarrollador externo para que diseñe e implemente durante el segundo semestre de 2025, en coordinación con la Dirección Jurídica, un motor de búsqueda inteligente basado en inteligencia artificial (ChatGPT, Copilot, etc.), que se integre para usos prácticos con el repositorio interno de documentación legal (conceptos jurídicos internos o emitidos por asesores externos, respuesta a consultas, contratos, MOU’s, NDA’s, Boletines jurídicos y expedientes de procesos judiciales entre otros) con el fin de mantener organizada la memoria documental del FNG, automatizar procesos, mejorar la eficiencia, trazabilidad y precisión en las consultas sobre la información generada por la Dirección Jurídica. El prototipo de Wiki Jurídica deberá estar diseñado al 30 de noviembre de 2025. ENTREGABLES:-&amp;nbsp;&amp;nbsp;&amp;nbsp;&amp;nbsp;&amp;nbsp;&amp;nbsp;&amp;nbsp;&amp;nbsp;&amp;nbsp;Etapa 1:A 18 de julio de 2025, presentar a la Vicepresidencia Jurídica el estudio de mercado realizado con las ofertas obtenidas por parte de los potenciales contratistas. Peso 20% -&amp;nbsp;&amp;nbsp;&amp;nbsp;&amp;nbsp;&amp;nbsp;&amp;nbsp;&amp;nbsp;&amp;nbsp;&amp;nbsp;Etapa 2:A 16 de agosto de 2025, haber finalizado el proceso de contratación del desarrollador externo, previamente elegido con la Vicepresidencia Jurídica. Peso 30%-&amp;nbsp;&amp;nbsp;&amp;nbsp;&amp;nbsp;&amp;nbsp;&amp;nbsp;&amp;nbsp;&amp;nbsp;&amp;nbsp;Etapa 3:Al 30 de agosto de 2025, presentar a la Vicepresidencia Jurídica el repositorio jurídico actualizado desde el 1° de enero de 2024 a 30 de junio de 2025, ubicado en la herramienta público. Peso: 30%-&amp;nbsp;&amp;nbsp;&amp;nbsp;&amp;nbsp;&amp;nbsp;&amp;nbsp;&amp;nbsp;&amp;nbsp;&amp;nbsp;Etapa 4Al 30 de noviembre de 2025, entregar el prototipo de motor de búsqueda, el cual servirá para mejorar eficiencia, trazabilidad y memoria documental de la Dirección jurídica del FNG. Peso 20%-&amp;nbsp;&amp;nbsp;&amp;nbsp;&amp;nbsp;&amp;nbsp;&amp;nbsp;&amp;nbsp;&amp;nbsp;&amp;nbsp;EVIDENCIAS DE CUMPLIMIENTO:1.&amp;nbsp;&amp;nbsp;&amp;nbsp;&amp;nbsp;Sondeo de mercado (ofertas)2.&amp;nbsp;&amp;nbsp;&amp;nbsp;&amp;nbsp;Repositorio actualizado3.&amp;nbsp;&amp;nbsp;&amp;nbsp;&amp;nbsp;Contrato4.&amp;nbsp;&amp;nbsp;&amp;nbsp;&amp;nbsp;Prototipo motor de búsqueda &amp;nbsp;EVALUACIÓN:El porcentaje de cumplimiento del objetivo será la sumatoria del peso asignado a cada hito/etapa, que se cumpla al 100%. Los soportes se resguardarán en la siguiente ruta: P:\Objetivos\2025\Dirección Jurídica \Valentina Oliveros</t>
  </si>
  <si>
    <t>MEMORANDOS DE ENTENDIMIENTO</t>
  </si>
  <si>
    <t>OBJETIVO: Crear y mantener actualizado el repositorio de los Memorandos de Entendimiento revisados. Para ello, se deberá diligenciar una matriz de control la cual se deberá cargar en el repositorio incluyendo los Memorandos de Entendimiento emitidos por la Subdirección de Gestión Jurídica durante el año 2025.&amp;nbsp;ENTREGABLES:-&amp;nbsp;&amp;nbsp;&amp;nbsp;&amp;nbsp;&amp;nbsp;&amp;nbsp;&amp;nbsp;&amp;nbsp;&amp;nbsp;Etapa 1. Peso. 50%Al 15 de septiembre de 2025, presentarle mediante correo electrónico a la Subdirección de Gestión Jurídica del Negocio una matriz (en formato Excel) de control de los MOU efectivamente revisados con corte al 11 de septiembre de 2025, la cual contendrá la siguiente información: (I). Relación de los MOU sobre los cuales se solicitó la revisión, incluyendo su estado actual (pendiente de revisión, en revisión, revisado). (II). Relación de los MOU firmados. (III). Registro cronológico de fechas de envío y de recepción de cada documento. -&amp;nbsp;&amp;nbsp;&amp;nbsp;&amp;nbsp;&amp;nbsp;&amp;nbsp;&amp;nbsp;&amp;nbsp;&amp;nbsp;Etapa 2. Peso 50%Al 19 de diciembre de 2025, presentarle mediante correo electrónico a la Subdirección de Gestión Jurídica del Negocio un Informe final en formato Word, con corte al 15 de diciembre de 2025 en el cual se identifique el No. Mous solicitados por la Dirección de Microfinanzas y Programas Especiales / No. De Mous revisados por la Subdirección de Gestión Jurídica.Adicionalmente, deberá ir acompañado al mismo corte la versión final de la matriz (en formato Excel) de control de los MOU efectivamente revisados, la cual contendrá la siguiente información: (I). Relación de los MOU sobre los cuales se solicitó la revisión, incluyendo su estado actual (pendiente de revisión, en revisión, revisado). (II). Relación de los MOU firmados. (III). Registro cronológico de fechas de envío y de recepción de cada documento. EVIDENCIAS DE CUMPLIMIENTO:-&amp;nbsp;&amp;nbsp;&amp;nbsp;&amp;nbsp;&amp;nbsp;&amp;nbsp;&amp;nbsp;&amp;nbsp;&amp;nbsp;Correos electrónicos remitidos por la Dirección de Microfinanzas y Programas Especiales.-&amp;nbsp;&amp;nbsp;&amp;nbsp;&amp;nbsp;&amp;nbsp;&amp;nbsp;&amp;nbsp;&amp;nbsp;&amp;nbsp;Versión inicial matriz en formato Excel. -&amp;nbsp;&amp;nbsp;&amp;nbsp;&amp;nbsp;&amp;nbsp;&amp;nbsp;&amp;nbsp;&amp;nbsp;&amp;nbsp;Versión final de la matriz en formato Excel.-&amp;nbsp;&amp;nbsp;&amp;nbsp;&amp;nbsp;&amp;nbsp;&amp;nbsp;&amp;nbsp;&amp;nbsp;&amp;nbsp;Informe Final.&amp;nbsp;EVALUACIÓN:El porcentaje de cumplimiento del objetivo será la sumatoria del peso asignado a cada hito/etapa, que se cumpla al 100%.&amp;nbsp;En caso de no contar con el soporte de un Memorando de Entendimiento, deberá haber una justificación remitida mediante correo electrónico a la Subdirección de Gestión Jurídica, con las explicaciones del caso.Los soportes se resguardarán en la siguiente ruta: P:\Objetivos\2025\Dirección Jurídica\Valentina Oliveros</t>
  </si>
  <si>
    <t>OBJETIVO: Desarrollar durante el año 2025 una campaña de formalización institucional en el FNG que facilite el uso de las marcas institucionales que gozan de registro y protección marcaria por parte de la Superintendencia de Industria y Comercio y así permita contribuir con el objeto de posicionamiento de marca del FNG en el mercado local. &amp;nbsp;ENTREGABLES: Este objetivo tendrá los siguientes hitos y entregables: 1.&amp;nbsp;&amp;nbsp;&amp;nbsp;&amp;nbsp;Al 30 de junio de 2025 realizar un levantamiento de Inventario de Marcas registradas y las que se encuentran en proceso de registro marcario por parte del FNG ante la SIC.&amp;nbsp;Peso 10%2.&amp;nbsp;&amp;nbsp;&amp;nbsp;&amp;nbsp;Al 30 de julio de 2025 se deber realizar una presentación ante el Comité Directivo del FNG del Inventario realizado. Peso 20%.3.&amp;nbsp;&amp;nbsp;&amp;nbsp;&amp;nbsp;Al 30 de agosto de 2025 se deberá realizar una capacitación Interna dirigida a la Vicepresidencia Ejecutiva y la Vicepresidencia Comercial, que tendrá como objetivo sensibilizar a los colaboradores sobre la relevancia de las marcas y lemas comerciales en el contexto actual, los riesgos asociados a su uso inadecuado o desuso, y las recomendaciones específicas para su correcta aplicación. Peso 20% 4.&amp;nbsp;&amp;nbsp;&amp;nbsp;&amp;nbsp;Entre el 1º de septiembre al 31 de diciembre, realizar un informe mensual de monitoreo del uso de la marca en redes sociales y página web. Peso 20% 5.&amp;nbsp;&amp;nbsp;&amp;nbsp;&amp;nbsp;Al 30 de noviembre realizar una presentación al Comité Directivo del FNG sobre el reporte de uso de las marcas registradas y emitir recomendaciones. Peso 10% 6.&amp;nbsp;&amp;nbsp;&amp;nbsp;&amp;nbsp;Entre los meses de septiembre a diciembre, realizar una socialización mensual en pantallas del FNG y/o en la intranet que tenga por objetivo sensibilizar a las áreas sobre la importancia del uso de las marcas registradas en el FNG. Peso 20%&amp;nbsp;EVIDENCIAS DE CUMPLIMIENTO: Lo siguiente serán las evidencias de cumplimiento: 1.&amp;nbsp;&amp;nbsp;&amp;nbsp;&amp;nbsp;Inventario presentado al Vicepresidente Jurídico por parte del Director Jurídico y/o la Subdirección Jurídica del Negocio 2.&amp;nbsp;&amp;nbsp;&amp;nbsp;&amp;nbsp;Acta del Comité Directivo donde conste la presentación del inventario3.&amp;nbsp;&amp;nbsp;&amp;nbsp;&amp;nbsp;Evidencia del proceso de capacitación a las áreas. 4.&amp;nbsp;&amp;nbsp;&amp;nbsp;&amp;nbsp;Informe mensual de monitoreo presentado al Vicepresidente Jurídico por parte del Director Jurídico y/o la Subdirección Jurídica del Negocio vía correo electrónico. 5.&amp;nbsp;&amp;nbsp;&amp;nbsp;&amp;nbsp;Acta del Comité Directivo donde se evidencie el reporte del uso de las marcas del FNG6.&amp;nbsp;&amp;nbsp;&amp;nbsp;&amp;nbsp;Las evidencias fotográficas con fecha de las campañas de sensibilización mensual. Informe remitido por el Jurídico por parte del Director Jurídico y/o la Subdirección Jurídica del Negocio al Vicepresidente Jurídico.&amp;nbsp;EVALUACIÓN: &amp;nbsp;el porcentaje de cumplimiento del objetivo será la sumatoria del peso asignado a cada hito, que se cumpla al 100%. El entregable No. 4 (informe mensual de monitoreo), tendrá un peso del 5% por cada mes de reporte. El entregable No. 6 (sensibilización a las áreas en pantallas e intranet) tendrá un peso del 5% sobre cada mes de socialización. &amp;nbsp;Los soportes se resguardarán en la siguiente ruta: P:\Objetivos\2025\Dirección Jurídica \Valentina Oliveros</t>
  </si>
  <si>
    <t>OBJETIVO: Diseñar e implementar, en articulación con el área de Tecnología, un módulo de gestión jurídica interna dentro de la plataforma “Aranda” que permita el registro, seguimiento en tiempo real y trazabilidad de las solicitudes jurídicas presentadas por las áreas del FNG (cliente interno en materia de solicitudes de créditos y atención al área comercial) a la Dirección Jurídica, incorporando, entre otros, mecanismos de control de ANS en la atención a las respuestas, visualización de carga operativa, justificación de demoras y generación de reportes ejecutivos diferenciados por área solicitante, con acceso especial para usuarios solicitantes, responsables jurídicos y directivos de cada área. El módulo de aranda deberá estar al 6 de octubre de 2025.ENTREGABLES:-&amp;nbsp;&amp;nbsp;&amp;nbsp;&amp;nbsp;&amp;nbsp;&amp;nbsp;&amp;nbsp;&amp;nbsp;&amp;nbsp;Etapa 1:Al 21 de julio de 2025, presentar a la Vicepresidencia Jurídica el documento de requerimientos funcionales, flujos de proceso, formatos estandarizados de las solicitudes con un lenguaje amigable transformando la experiencia de las diferentes áreas al momento de solicitar los servicios jurídicos.&amp;nbsp;Peso: 45%-&amp;nbsp;&amp;nbsp;&amp;nbsp;&amp;nbsp;&amp;nbsp;&amp;nbsp;&amp;nbsp;&amp;nbsp;&amp;nbsp;Etapa 2:Al 4 de agosto de 2025 entregar al área de Tecnología el proyecto completo con la información requerida, para implementar la función/módulo de gestión jurídica interna en la plataforma Aranda. Peso: 45%-&amp;nbsp;&amp;nbsp;&amp;nbsp;&amp;nbsp;&amp;nbsp;&amp;nbsp;&amp;nbsp;&amp;nbsp;&amp;nbsp;Etapa 3A 6 de octubre de 2025, realizar el correspondiente lanzamiento del módulo jurídico en la plataforma Aranda para uso institucional. Peso: 10%El cumplimiento del cronograma e implementación total del módulo depende de la disponibilidad técnica y priorización de recursos por parte del área de Tecnología. EVIDENCIAS DE CUMPLIMIENTO:-&amp;nbsp;&amp;nbsp;&amp;nbsp;&amp;nbsp;&amp;nbsp;&amp;nbsp;&amp;nbsp;&amp;nbsp;&amp;nbsp;Actas mesas de trabajo-&amp;nbsp;&amp;nbsp;&amp;nbsp;&amp;nbsp;&amp;nbsp;&amp;nbsp;&amp;nbsp;&amp;nbsp;&amp;nbsp;Documento de requerimientos funcionales -&amp;nbsp;&amp;nbsp;&amp;nbsp;&amp;nbsp;&amp;nbsp;&amp;nbsp;&amp;nbsp;&amp;nbsp;&amp;nbsp;Flujos de proceso-&amp;nbsp;&amp;nbsp;&amp;nbsp;&amp;nbsp;&amp;nbsp;&amp;nbsp;&amp;nbsp;&amp;nbsp;&amp;nbsp;Formatos estandarizados de las solicitudes-&amp;nbsp;&amp;nbsp;&amp;nbsp;&amp;nbsp;&amp;nbsp;&amp;nbsp;&amp;nbsp;&amp;nbsp;&amp;nbsp;Cronograma y plan de desarrollo concertado por la Dirección Jurídica y el área de Tecnología-&amp;nbsp;&amp;nbsp;&amp;nbsp;&amp;nbsp;&amp;nbsp;&amp;nbsp;&amp;nbsp;&amp;nbsp;&amp;nbsp;Documento de historia de usuario &amp;nbsp;EVALUACIÓN:El porcentaje de cumplimiento del objetivo será la sumatoria del peso asignado a cada hito/etapa, que se cumpla al 100%. En caso de depender del área de Tecnología para etapas críticas, se aceptará como cumplido el hito si la Dirección Jurídica entrega oportunamente los insumos, hace seguimiento formal y evidencia la gestión, aun si la ejecución técnica se encuentra en curso por causas ajenas a la Dirección. El objetivo se cumplirá con la sumatoria de mínimo el 90%.Los soportes se resguardarán en la siguiente ruta: P:\Objetivos\2025\Dirección Jurídica \Valentina Oliveros</t>
  </si>
  <si>
    <t>OBJETIVO: Realizar al 30 de noviembre de 2025, un ejercicio de exploración e innovación en los departamentos legales de entidades financieras, que podrán ser intermediarios financieros vinculados al FNG, mediante visitas presenciales, o reuniones virtuales, con el fin de identificar, analizar y documentar las mejores prácticas de innovación legal, que podrán incluir el uso de herramientas de tecnología aplicadas al desarrollo y ejecución de su objeto social y/o cumplimiento de obligaciones dado su rol en el sistema financiero. A partir de este análisis, se busca evaluar su viabilidad al interior del FNG y diseñar una hoja de ruta que permita identificar aquellas prácticas que puedan resultar aplicables en la VP Jurídica. ENTREGABLES:-&amp;nbsp;&amp;nbsp;&amp;nbsp;&amp;nbsp;&amp;nbsp;&amp;nbsp;&amp;nbsp;&amp;nbsp;&amp;nbsp;Etapa 1.Al 31 de julio de 2025, presentar a la Vicepresidencia Jurídica una base de datos en formato Excel que contenga el cronograma de entidades con las cuales se llevará a cabo el ejercicio de exploración e innovación en sus Departamentos legales durante el segundo semestre de 2025. &amp;nbsp;-&amp;nbsp;&amp;nbsp;&amp;nbsp;&amp;nbsp;&amp;nbsp;&amp;nbsp;&amp;nbsp;&amp;nbsp;&amp;nbsp;Etapa 2. Al 01 de septiembre de 2025, presentar a la Vicepresidencia Jurídica una base de datos en formato Excel que contenga un resumen de las visitas realizadas a la fecha, incluyendo: &amp;nbsp;·&amp;nbsp;&amp;nbsp;&amp;nbsp;&amp;nbsp;&amp;nbsp;&amp;nbsp;Nombre de la entidad financiera·&amp;nbsp;&amp;nbsp;&amp;nbsp;&amp;nbsp;&amp;nbsp;&amp;nbsp;Persona que la atendió·&amp;nbsp;&amp;nbsp;&amp;nbsp;&amp;nbsp;&amp;nbsp;&amp;nbsp;Descripción de las herramientas innovadoras y/o tecnológicas observadas.·&amp;nbsp;&amp;nbsp;&amp;nbsp;&amp;nbsp;&amp;nbsp;&amp;nbsp;Establecer los beneficios que representaría su adopción para la gestión jurídica. ·&amp;nbsp;&amp;nbsp;&amp;nbsp;&amp;nbsp;&amp;nbsp;&amp;nbsp;Identificar los principales retos técnicos, jurídicos, financieros y operativos.·&amp;nbsp;&amp;nbsp;&amp;nbsp;&amp;nbsp;&amp;nbsp;&amp;nbsp;Posibilidad de aplicación en la VP Jurídica &amp;nbsp;-&amp;nbsp;&amp;nbsp;&amp;nbsp;&amp;nbsp;&amp;nbsp;&amp;nbsp;&amp;nbsp;&amp;nbsp;&amp;nbsp;Etapa 3.Al 30 de noviembre de 2025, presentar a la Vicepresidencia Jurídica un informe final en formato Word que, con base en las visitas realizadas a dicho corte, donde se identifique y analice las herramientas tecnológicas observadas, evaluando su aplicabilidad en el entorno jurídico del FNG. En todo caso, el informe final deberá contener, además de los criterios establecidos en la etapa 2:&amp;nbsp;·&amp;nbsp;&amp;nbsp;&amp;nbsp;&amp;nbsp;&amp;nbsp;&amp;nbsp;La priorización de aquellas herramientas con mayor potencial de implementación.·&amp;nbsp;&amp;nbsp;&amp;nbsp;&amp;nbsp;&amp;nbsp;&amp;nbsp;Incluir recomendaciones estratégicas para su adopción futura. EVIDENCIAS DE CUMPLIMIENTO:·&amp;nbsp;&amp;nbsp;&amp;nbsp;&amp;nbsp;&amp;nbsp;&amp;nbsp;Base de datos en formato Excel.·&amp;nbsp;&amp;nbsp;&amp;nbsp;&amp;nbsp;&amp;nbsp;&amp;nbsp;Informe en formato Word. ·&amp;nbsp;&amp;nbsp;&amp;nbsp;&amp;nbsp;&amp;nbsp;&amp;nbsp;El soporte de la presentación de cada etapa será la remisión de un correo electrónico dirigido al VP jurídico.EVALUACIÓN:El porcentaje de cumplimiento del objetivo será el cumplimiento de las 3 etapas, lo cual dará una calificación del 100% En caso de depender de factores o actores externos ajenos a la Dirección Jurídica, tales como disponibilidad de las entidades financieros, acceso a información confidencial, o restricciones operativas, dichos aspectos deberán ser documentados en el informe final. Se entenderá cumplido la etapa/hito si la Dirección Jurídica lo justifica debidamente en los informes. Los soportes se resguardarán en la siguiente ruta: P:\Objetivos\2025\Dirección Jurídica \Valentina Oliveros</t>
  </si>
  <si>
    <t>Director de Contratación</t>
  </si>
  <si>
    <t xml:space="preserve">AUTOMATIZACIÓN DE MECANISMOS DE CONTROL PARA NOTIFICACIÓN DE FINALIZACIÓN DE CONTRATOS PARA IMPULSO DE ETAPA POSCONTRACTUAL </t>
  </si>
  <si>
    <t xml:space="preserve">SEGUIMIENTO PAA </t>
  </si>
  <si>
    <t xml:space="preserve">LIQUIDACIÓN DE CONTRATOS 2024-2025 </t>
  </si>
  <si>
    <t xml:space="preserve">PROGRAMA DE FORMACIÓN SUPERVISORES DE CONTRATOS </t>
  </si>
  <si>
    <t xml:space="preserve">SEGUIMIENTO EJECUCIÓN CONTRACTUAL </t>
  </si>
  <si>
    <t xml:space="preserve">PROPUESTA DE VALOR EN LOS TIEMPOS DE RESPUESTA EN LA REVISIÓN Y ELABORACIÓN DE LOS INSTRUMENTOS CONTRACTUALES “CORE DE NEGOCIO” EXCEPTUADOS DEL MANUAL DE CONTRATACIÓN </t>
  </si>
  <si>
    <t>1019067877</t>
  </si>
  <si>
    <t>Virginia Del Carmen Rosado Trespalacios</t>
  </si>
  <si>
    <t>Analista de Calidad y Oportunidad de las Respuestas</t>
  </si>
  <si>
    <t>Auditoria de calidad de procesos Subdirección</t>
  </si>
  <si>
    <t>Descripción: Realizar auditoria bimensual al proceso de subdirección de la&amp;nbsp;Dirección de Soluciones y Soporte comercial de acuerdo con el instrumento de medición implementado.Frecuencia del monitoreo: BimensualIndicador o formula con la que se va a realizar la medición: Informe bimensual entregado dentro de los diez días hábiles siguientes al cierre del bimestre:El primer informe tendrá un peso de 40%El segundo informe tendrá un peso de 30%El tercer informe tendrá un peso de 30%.Penalidad: Por cada día hábil de retraso en la entrega, se descontará 2% sobre el peso de cada informe&amp;nbsp;Fecha inicio-fin dd/mm/aa: 01-05-2025 / 31-12-2025Entregables: El primer informe cubrirá el bimestre mayo-junio y se entregará dentro de los diez primeros días hábiles de julio mediante correo electrónico a la Directora y/o Subdirectora de la Dirección de Soluciones y Soporte Comercial.&amp;nbsp;El segundo informe cubrirá el bimestre julio-agosto y se entregará dentro de los diez primeros días hábiles de septiembre mediante correo electrónico a la Directora y/o Subdirectora de la Dirección de Soluciones y Soporte Comercial.&amp;nbsp;El tercer informe cubrirá el bimestre septiembre-octubre y se entregará dentro de los diez primeros días hábiles de noviembre mediante correo electrónico a la Directora y/o Subdirectora de la Dirección de Soluciones y Soporte Comercial.&amp;nbsp;Ruta: P:\Objetivos\2025\Dirección de Soluciones y Soporte Comercial\Virginia Del Carmen Rosado Trespalacios</t>
  </si>
  <si>
    <t>Descripción: Resolver oportunamente el 100% de los casos de PQRS atendidos en el 2025 en la entidad, de conformidad con los plazos legales.Frecuencia del monitoreo: AnualIndicador o formula con la que se va a realizar la medición: La Tabla equivalente respecto al resultado anual del indicador de nivel de oportunidad en las respuestas a PQRS.Mínimo el 98% donde menos de 98% obtendrá un puntaje de 0. Se medirá de acuerdo a la tabla equitativa: Donde al sacar un puntaje del 98% el puntaje será 98% y así hasta llegar a 100%.Nota: el resultado del año, se obtiene sobre el promedio de los meses medidos en Isolucion en 2025.Fecha inicio-fin dd/mm/aa: 01-01-2025 / 31-12-2025Entregables: Reporte de indicador "Nivel de oportunidad en las respuestas a PQRS" mensual en Isolución.Nota: el resultado del año, se obtiene sobre el promedio de los meses medidos en Isolucion en 2025.Ruta: P:\Objetivos\2025\Dirección de Soluciones y Soporte Comercial\Virginia Del Carmen Rosado Trespalacios&amp;nbsp;</t>
  </si>
  <si>
    <t>Descripción: Promedio del resultado de los meses evaluados (indicador "calidad en las respuestas de PQRFSD de la Dirección de Soluciones y Soporte Comercial")Frecuencia del monitoreo: AnualIndicador o formula con la que se va a realizar la medición: Promedio del resultado de los meses evaluados (indicador "calidad en las respuestas de PQRFSD de la Dirección de Soluciones y Soporte Comercial")Si el resultado es entre 85% y 100%: la calificación será 100 puntosSi el indicador es menor al 85%&amp;nbsp;se medirá de la siguiente forma: (indicador /85)*100Nota: el resultado del año, se obtiene sobre el promedio de los meses medidos en Isolucion en 2025.Fecha inicio-fin dd/mm/aa: 01-01-2025 / 31-12-2025Entregables: Reporte del indicador "calidad en las respuestas de PQRFSD de la Dirección de Soluciones y Soporte Comercial"&amp;nbsp;mensual en IsoluciónNota: el resultado del año, se obtiene sobre el promedio de los meses medidos en Isolucion en 2025Ruta: P:\Objetivos\2025\Dirección de Soluciones y Soporte Comercial\Virginia Del Carmen Rosado Trespalacios</t>
  </si>
  <si>
    <t>Auditoria de calidad de procesos a Intermediarios Financieros</t>
  </si>
  <si>
    <t>Descripción: Realizar auditoria bimensual al proceso de intermediarios financieros de la Dirección de Soluciones y Soporte comercial de acuerdo con el instrumento de medición implementado.Frecuencia del monitoreo: BimensualIndicador o formula con la que se va a realizar la medición: Informe bimensual entregado dentro de los diez días hábiles siguientes al cierre del bimestre:El primer informe tendrá un peso de 40%El segundo informe tendrá un peso de 30%El tercer informe tendrá un peso de 30%.Penalidad: Por cada día hábil de retraso en la entrega, se descontará 2% sobre el peso de cada informe&amp;nbsp;Fecha inicio-fin dd/mm/aa: 01-05-2025 / 31-12-2025Entregables: El primer informe cubrirá el bimestre mayo-junio y se entregará dentro de los diez primeros días hábiles de julio mediante correo electrónico a la Directora y/o Subdirectora de la Dirección de Soluciones y Soporte Comercial.&amp;nbsp;El segundo informe cubrirá el bimestre julio-agosto y se entregará dentro de los diez primeros días hábiles de septiembre mediante correo electrónico a la Directora y/o Subdirectora de la Dirección de Soluciones y Soporte Comercial.&amp;nbsp;El tercer informe cubrirá el bimestre septiembre-octubre y se entregará dentro de los diez primeros días hábiles de noviembre mediante correo electrónico a la Directora y/o Subdirectora de la Dirección de Soluciones y Soporte Comercial.&amp;nbsp;Ruta: P:\Objetivos\2025\Dirección de Soluciones y Soporte Comercial\Virginia Del Carmen Rosado Trespalacios</t>
  </si>
  <si>
    <t>Descripción: Realizar a partir del mes de junio mínimo 191 auditorías mensuales a las respuestas generadas desde la Dirección de Soluciones y Soporte Comercial.Auditorías mensuales: Si se realizan 10 auditorías menos de la meta establecida, el resultado mensual será: 100%.Si se realizan 20 auditorías menos de la meta establecida, el resultado mensual será: 85%.Si se realizan 30 auditorías menos de la meta establecida, el resultado mensual será: 75%.Si se realizan 40 auditorías menos de la meta establecida, el resultado mensual será: 0%.Nota: En caso de presentarse novedades como vacaciones o calamidades durante un mes específico, la cantidad de auditorías a realizar será ajustada de manera proporcional a los días efectivamente laborados. Esto significa que el número total de auditorías esperadas se recalculará considerando únicamente los días hábiles del mes en cuestión, manteniendo la equidad en la medición del cumplimiento.&amp;nbsp;Frecuencia del monitoreo: MensualIndicador o formula con la que se va a realizar la medición: En diciembre 2025 se tomará el promedio desde junio hasta diciembre para obtener el resultado definitivo.Fecha inicio-fin dd/mm/aa: 01-06-2025 / 31-12-2025Entregables: Informe mensual de calidad a partir del mes de junio entregado a la Directora y/o Subdirectora del área mediante correo electrónico dentro de los diez (10) días hábiles siguientes a la terminación del mes (mes vencido).Ruta: P:\Objetivos\2025\Dirección de Soluciones y Soporte Comercial\Virginia Del Carmen Rosado Trespalacios</t>
  </si>
  <si>
    <t>52506147</t>
  </si>
  <si>
    <t>Viviana Castro Ballen</t>
  </si>
  <si>
    <t>Auditor de Control Interno</t>
  </si>
  <si>
    <t>Propuesta metodológica para la construcción del mapa de aseguramiento institucional del FNG</t>
  </si>
  <si>
    <t>ObjetivoDiseñar y presentar en el mes de noviembre 2025 una metodología propuesta para la construcción del mapa de aseguramiento del FNG, que permita además identificar las áreas proveedoras de aseguramiento y priorizar los asuntos clave de la entidad.Indicador: cumple o no cumpleEntregables:1.&amp;nbsp;&amp;nbsp;&amp;nbsp;&amp;nbsp;Presentación en el Comité Primario OCI de noviembre, la propuesta metodológica para la construcción del mapa de aseguramiento institucional del FNG, incluye documento con la propuesta metodológica básica.2.&amp;nbsp;&amp;nbsp;&amp;nbsp;&amp;nbsp;Propuesta de priorización de los asuntos claves de éxito para el FNG e identificación de las áreas proveedoras de aseguramiento.</t>
  </si>
  <si>
    <t>Cumplimiento Cronograma Plan Anual de Auditoría 2025:</t>
  </si>
  <si>
    <t>Al 31 de diciembre de 2025, ejecutar el 100% de las actividades programadas en el Cronograma del Plan Anual de Auditoría para la vigencia 2025. Indicador: Cumple o no cumple.&amp;nbsp;Entregable: Soporte de la medición del indicador "Cumplimiento del plan integral de auditorías" del cuarto trimestre de 2025 publicado en ISOlución.Reporte del estado y porcentaje de ejecución del Plan anual de Auditoría 2025 en el Comité de Auditoría de Febrero de 2026. El soporte será la presentación y el acta del Comité supeditada a la firma del presidente del Comité</t>
  </si>
  <si>
    <t>A partir de junio de 2025, la Oficina de Control Interno iniciará una serie de encuentros con las diferentes direcciones, mediante la estrategia denominada “Un café con la OCI”. Estos espacios están pensados como momentos de diálogo y acercamiento, en los que se abordarán temas relacionados con los controles administrativos y se promoverá una cultura de control y enfoque hacia la prevención.Indicador: Cumple o no cumple. Entregable: Se presentará un resumen ejecutivo de las presentaciones realizadas por la Oficina de Control Interno (OCI) en las sesiones del Comité Primario durante junio a diciembre de 2025, con base en las fechas en que se llevaron a cabo dichas intervenciones con la aprobación de la subdirección.Listado de asistentes en formato Excel, material utilizado y/o capturas de pantalla de las citaciones realizadas a través de Microsoft Teams, correspondientes a las sesiones desarrolladas y presentadas ante el Comité Primario en enero de 2026&amp;nbsp;</t>
  </si>
  <si>
    <t>1033646123</t>
  </si>
  <si>
    <t>Viviana Patricia Gomez Lopez</t>
  </si>
  <si>
    <t>Implementar un informe de seguimiento y control mensual que proporcione información de los Intermediarios Financieros que no presentan movilización, o que disminuyeron la utilización de garantías, con el fin de identificar factores subsanables mediante&amp;nbsp;gestión comercial e identificar las entidades que definitivamente no están interesadas y&amp;nbsp;proceder a depurarlos de la base de clientes.&amp;nbsp;Entregable:* Entregable 1: Correo de entrega a la dirección de estrategia comercial. Fecha máxima de entrega 15 de julio de 2025.* Entregable 2: Correo de entrega a la dirección de estrategia comercial. Fecha máxima de entrega 15 de octubre de 2025.* Entregable 3: Correo de entrega a la dirección de estrategia comercial. Fecha máxima de entrega 23 de enero de 2026.Medición:PORCENTAJE DE CUMPLIMIENTO:* Primer entregable: Informe de seguimiento junio 2025. Peso: 20%* Segundo entregable: Informe de seguimiento julio-agosto-septiembre 2025. Peso: 40%* Tercer entregable: Informe de seguimiento octubre-noviembre-diciembre 2025. Peso: 40%</t>
  </si>
  <si>
    <t>Capacitar comercialmente, durante el año 2025, al 90% de los intermediarios vinculados de manera exclusiva al producto "Garantía Global" que hayan alcanzado la condición de formalizados al 30 de noviembre de 2025.Este proceso de capacitación estará orientado a fortalecer el uso del producto, con el fin de potenciar su movilización y asegurar una adecuada gestión. La base inicial de intermediarios formalizados es de 37 a corte del 31 de mayo de 2025, y se actualizará progresivamente con las nuevas vinculaciones reportadas por la Dirección de Vinculaciones hasta la fecha de corte.Entregable: Entregable: Correo con el resultado de las capacitaciones comerciales enviado a la Dirección de Estrategia Comercial (Insumo: planes de cuenta de CRM). Fecha máxima de entrega 23 de enero de 2026.Medición:FORMULA:&amp;nbsp;# de entidades capacitadas / # de entidades formalizadas informadas por la dirección de vinculación a noviembre 30 de 2025Cumplimiento menor o igual al 40% del número base = 0%Cumplimiento sobre el 40% y menor o igual al 60% del número base = 40%Cumplimiento sobre el 60% y menor o igual al 89% del número base = 80%Cumplimiento mayor o igual al 90% del número base = 100%</t>
  </si>
  <si>
    <t>Realizar durante el año 2025 capacitaciones operativas sobre prórrogas y novaciones, dirigidas al 85% de los administradores del portal transaccional de productos tradicionales, pertenecientes a intermediarios financieros que mantengan garantías vigentes bajo este esquema.Las capacitaciones serán impartidas por el profesional de la Dirección de Estrategia Comercial y estarán orientadas exclusivamente a los intermediarios que hayan manifestado su interés en recibirla, con base en los resultados obtenidos a través de la encuesta aplicada vía Google Forms.El número de sesiones a realizar se determinará según la demanda identificada en dicha encuesta (la encuesta se realizará en junio 2025).Entregable:Entregable: Correo con el resultado de las capacitaciones operativos enviado a la Dirección de Estrategia Comercial (Insumo: planes de cuenta de CRM). Fecha máxima de entrega 23 de enero de 2026.Medición:FORMULA:# de entidades capacitadas / # de entidades base de acuerdo con los resultados de la encuesta realizada a través de Google Forms:Cumplimiento menor o igual al 40% del número base: 0%Cumplimiento superior al 40% y hasta el 60% del número base: 40%Cumplimiento superior al 60% y hasta el 85% del número base: 80%Cumplimiento superior al 85% del número base: 100%</t>
  </si>
  <si>
    <t>Diseñar e implementar durante el año 2025 una estrategia integral orientada a incrementar la movilización del producto "Garantía Global". Esta estrategia se basará en la ejecución de jornadas grupales de socialización del producto en alianza con Colombia Fintech y los gremios cooperativos, en el abordaje individual y personalizado de entidades interesadas, y en la atención integral (comercial y operativa) de los clientes vinculados que actualmente operan de manera exclusiva con esta garantía, con el fin de fortalecer su experiencia y fomentar su continuidad y expansión.Entregable:* Entregable 1: Correo de aprobación de la Vicepresidenta Comercial. Fecha máxima de entrega 15 de julio de 2025.* Entregable 2: Correo de aprobación de la Vicepresidenta Comercial. Fecha máxima de entrega 15 de octubre de 2025.* Entregable 3: Correo de aprobación de la Vicepresidenta Comercial. Fecha máxima de entrega 23 de enero de 2026.Medición:PORCENTAJE DE CUMPLIMIENTO:* Primer entregable: Presentación con el diagnóstico inicial del uso del producto de "garantía global", el planteamiento de la estrategia&amp;nbsp;y el plan de trabajo a realizar. Peso: 20%* Segundo entregable: Informe de avance de la estrategia al cierre del Q3. Peso: 40%* Tercer entregable: Informe final y resultados de la estrategia al cierre del Q4. Peso: 40</t>
  </si>
  <si>
    <t>1022980853</t>
  </si>
  <si>
    <t>Wendy Yineth Peña Palacios</t>
  </si>
  <si>
    <t>Profesional Senior de Back Office</t>
  </si>
  <si>
    <t>A 30 de septiembre de 2025, actualizar los 87 documentos asociados a la Dirección de Tesorería (manual, procedimientos, instructivos y formatos),&amp;nbsp;conforme al inventario generado para tal fin.CRITERIO DE MEDICIÓNEl objetivo será evaluado en forma proporcional al número de documentos actualizados, siendo necesario un cumplimiento mínimo del 90%. Un cumplimiento inferior al 90%, es decir, 89,99% o menos, será calificado con 0 puntos.FÓRMULA DE CÁLCULO(Número de documentos actualizados / 87) * 100ENTREGABLES / EVIDENCIADocumentos actualizados y aprobados en el aplicativo ISOlución o aplicativo vigente.&amp;nbsp;&amp;nbsp;</t>
  </si>
  <si>
    <t>Lograr al 31 de diciembre de 2025, el cumplimiento del porcentaje establecido como meta para los indicadores relacionados a continuación, los cuales integran el Índice de Eficiencia Operativa - IEO para la Dirección de Tesorería así:&amp;nbsp;&amp;nbsp;GESTION PARTIDAS CONCILIATORIAS: Meta 95%Evaluación: de acuerdo con la siguiente tabla métrica, con base en el porcentaje de cumplimiento de cada indicador:&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Gestión Partidas conciliatorias&amp;gt;=95,00% = 100%entre el 84,99% y el 94,99% = 70%&amp;lt; 84,98% = 0%&amp;nbsp;&amp;nbsp;&amp;nbsp;&amp;nbsp;&amp;nbsp;&amp;nbsp;&amp;nbsp;&amp;nbsp;&amp;nbsp;&amp;nbsp;&amp;nbsp;&amp;nbsp;&amp;nbsp;&amp;nbsp;&amp;nbsp;&amp;nbsp;&amp;nbsp;&amp;nbsp;&amp;nbsp;&amp;nbsp;&amp;nbsp;&amp;nbsp;&amp;nbsp;&amp;nbsp;&amp;nbsp;&amp;nbsp;&amp;nbsp;&amp;nbsp;&amp;nbsp;CRITERIO DE MEDICION:El objetivo será calificable de acuerdo con la tabla métrica.ENTREGABLES / EVIDENCIA: Resultado de los indicadores, publicados en Isolución.</t>
  </si>
  <si>
    <t>Al 30 de septiembre de 2025, garantizar la operatividad y paso a producción en el aplicativo de inversiones Dialogo, de tal forma que se puedan registrar en el sistema operaciones del mercado monetario "Simultaneas Activas", para el portafolio del FNG.&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CRITERIO DE MEDICION: Cumple o no cumpleENTREGABLES / EVIDENCIA: Entrega a través de un correo electrónico al Director de Tesoreria, informando la ruta en la cual queda:&amp;nbsp;• Pruebas exitosas y configuraciones realizadas en el aplicativo de inversiones Dialogo Peso 70%• Actualización de la documentación y publicación en Isolucion al 30 de septiembre de 2025.&amp;nbsp;Peso 30%Las evidencias se guardarán en la carpeta de público designada para tal fin.</t>
  </si>
  <si>
    <t>1023955427</t>
  </si>
  <si>
    <t>Wilson Andres Ferraro Cardenas</t>
  </si>
  <si>
    <t>Profesional de Riesgos de Portafolio</t>
  </si>
  <si>
    <t>A partir de las bases de datos incorporadas en el servidor, automatizar consultas que deriven en informes o tableros de control que se distribuyan con frecuencia semanal / mensual.&amp;nbsp;Q3: Identificación de variables adicionales para incluir en base de datos.Q4: Hacer uso de las bases de datos para el desarrollo del informe diario, con los informes especiales de coyuntura de mercado y liquidez, junto con la automatización de presentaciones del Comités SIAR.De acuerdo con el PAI 2025, este proyecto se vincula al objetivo estratégico 3. Fortalecer la gestión y administración integral del riesgo para generar un adecuado ambiente de control.&amp;nbsp;Entregables:Q3. Ayuda de memoria donde se presenta la base de datos con información adicional para la elaboración de informes internos presentada al Director SIAR.Q4. Plantillas de automatizaciones del informe diario e informe mensual de la gestión de Riesgo de Mercado y Liquidez. (2 informes)</t>
  </si>
  <si>
    <t>Evaluación del marco preliminar de implementación del Sistema de Administración de Riesgos Ambientales y Sociales y el Sistema de Administración del Riesgo de Conductas (SARCO) para definir su relación con el SIAR.  Q3. Hacer seguimiento a la publicación de las circulares que regulan el Sistema de Administración de Riesgos Ambientales y Sociales y el Sistema de Administración del Riesgo de Conductas (SARCO) y analizar el proceso de implementación en relación con el SIAR. Q4. Presentar al Comité SIAR la implementación preliminar del Sistema de Administración de Riesgos Ambientales y Sociales y el Sistema de Administración del Riesgo de Conductas (SARCO) en relación con su articulación con el Sistema Integral de Administración de Riesgos (SIAR), que incluya el plan de implementación y los requerimientos necesarios para el cumplimiento de la normatividad.  De acuerdo con el PAI 2025, este proyecto se vincula al objetivo estratégico 5. Promover el mejoramiento continuo a través del Sistema de Gestión Integral del FNG, específicamente en el subnumeral 5.2. Búsqueda de mejores prácticas de gestión y cumplimiento normativo (Monitoreo a la implementación y actualización normativa (Normativas jurídicas).Entregables: Q3. Enviar a los miembros del Comité SIAR un informe que relacione el análisis de entendimiento y el impacto de las circulares publicadas por la SFC en relación con el Sistema de Administración de Riesgos Ambientales y Sociales y el Sistema de Administración del Riesgo de Conductas (SARCO) en relación con la gestión actual del SIAR.  Q4. Acta de Comité SIAR donde conste la presentación del informe técnico que contenga el plan de implementación del Sistema de Administración de Riesgos Ambientales y Sociales, articulado con el SIAR, incluyendo los requerimientos normativos y las acciones necesarias para su cumplimiento.</t>
  </si>
  <si>
    <t>Proponer alternativas de modificación del límite de inversiones clasificadas hasta el vencimiento y ajustar las políticas y procedimientos para el seguimiento del cumplimiento de los límites.Q3. Presentar ante Comité SIAR el análisis para modificar el Límite de Clasificación de Inversiones Hasta el Vencimiento que contenga la propuesta de ajuste de limites y condiciones operativas para el seguimiento de los limites.Q3. Documentar la propuesta del proceso operativo para el seguimiento de los límites de clasificación del portafolio a partir de las líneas de defensa del control de riesgos.De acuerdo con el PAI 2025, este proyecto se vincula al objetivo estratégico 2. Asegurar la sostenibilidad financiera del FNG que contribuya con el crecimiento de la operación, especificamente en el subnumeral 2.1. Optimización Financiera (Optimización del Portafolio de Inversiones).Entregables:Acta Comité SIAR de la presentación de la propuesta de modificación del límite de clasificación de InversionesPublicación en Isolución del Procedimiento operativo para el control del seguimiento de los limites de riesgo.</t>
  </si>
  <si>
    <t>Analizar el marco de aplicación de la normatividad referente a las Grandes Exposiciones de las que trata la Circular Externa 003 de 2024 de la SFC y aplicar medidas de seguimiento para el cumplimiento de la normatividad.Q1. Enviar a la SFC el análisis de la aplicación de la Circular Externa 003 de 2024 en el Fondo Nacional de Garantías donde se identifiquen las fuentes de riesgo de las Grandes Exposiciones en la situación Financiera.&amp;nbsp;Q3. Presentar ante Comité SIAR la propuesta para el seguimiento de las Grandes Exposiciones donde se evalúen las posibles modificaciones de las políticas y metodologías de riesgo de contraparte y composición de portafolio.De acuerdo con el PAI 2025, este proyecto se vincula al objetivo estratégico 5. Promover el mejoramiento continuo a través del Sistema de Gestión Integral del FNG, especificamente en el subnumeral 5.2. Búsqueda de mejores prácticas de gestión y cumplimiento normativo (Monitoreo a la implementación y actualización normativa (Normativas jurídicas).Entregables:Q1. Comunicación oficial enviada a la SFC donde se expone el ámbito de aplicación de&amp;nbsp;la Circular Externa 003 de 2024 en el FNG con sus fuentes de riesgo identificadas. Q3. Acta Comité SIAR con la propuesta del mecanismo de seguimiento de las grandes exposiciones y el análisis de los ajustes documentales de políticas y metodologías.</t>
  </si>
  <si>
    <t>Reemplazar el actual flujo basado en Excel para la creación y almacenamiento de curvas por un proceso automatizado que utilice SQL como base de datos principal. Se contempla la generación de informes gráficos y consultas dinámicas mediante herramientas como Python.  Q3: Estructurar la base de datos en SQL con información de los Betas y Thao necesarias para la construcción de curvas. Q4: Creación de visualizacion de datos de las curvas. Adicionalmente, integrar la automatización diseñada con la ejecución del modelo de VaR Interno.  De acuerdo con el PAI 2025, este proyecto se vincula al objetivo estratégico 3. Fortalecer la gestión y administración integral del riesgo para generar un adecuado ambiente de control.&amp;nbsp;Entregables: Q3 (50%) Ayuda de memoria de la presentación realizada al Subdirector de Riesgos de Portafolio con el diseño e implementación de la Base de datos con la información necesaria para la construcción de las curvas en SQL. Donde se mencione la Identificación, recopilación y limpieza de los datos y la estructura lista para su uso en el modelado de curvas presentada al Subdirector de Riesgos de Portafolio. Q4 (50%) Visualizaciones de datos y plantilla del modelo de VaR Interno ajustada para su integración. &amp;nbsp;- Q4.1 (70% del objetivo Q4): Archivo PDF con la recopilación de una muestra de 5 días de generación de curvas donde se evidencia el desarrollo de la visualizacion del ocmportamiento de las curvas TES.  &amp;nbsp;- Q4.2 (30% del objetivo Q4): Plantilla con el ajuste final del modelo donde se integra la información.</t>
  </si>
  <si>
    <t>Incorporar mejoras al proceso de seguimiento contable mediante el rediseño del actual proceso, el cual se dará con el almacenamiento de datos en SQL y generación de gráficos. Q3: Definición de consecución de insumos para la creación de la base de datos. Base de datos cargada en SQL. Q4: Diseño del soporte del informe de seguimeinto contable.  De acuerdo con el PAI 2025, este proyecto se vincula al objetivo estratégico 3. Fortalecer la gestión y administración integral del riesgo para generar un adecuado ambiente de control.&amp;nbsp;Entregables: Q3 (50%) Ayuda de memoria de la presentación al Subdirector de Riesgos de Portafolio donde se evidencia la recolección, estructuración e implementación en SQL de los datos contables necesarios para el diseño de la base de datos. Q4 (50%) Plantilla para la ejecución del informe de seguimiento contable. &amp;nbsp;- Q4.1 (70% del objetivo Q4): Ayuda de memoria de la presentación al Subdirector de Riesgos de Portafolio donde se evalúe el diseño de la estructura del informe (visualización, filtros clave y conexión con la base de datos). &amp;nbsp;- Q4.2 (30% del objetivo Q4): Correo enviado con la implementación del nuevo diseño del informe.</t>
  </si>
  <si>
    <t>1023900812</t>
  </si>
  <si>
    <t>Xiomara Melissa Sierra Ospina</t>
  </si>
  <si>
    <t>Profesional Senior de Invitaciones Públicas</t>
  </si>
  <si>
    <t>Objetivo: Lograr a 31 de diciembre de 2025, como mínimo el 95% de cumplimiento efectivo en los tiempos de perfeccionamiento contractual a su cargo, conforme al Acuerdo de Nivel de Servicio (ANS), definidos para cada modalidad de contratación, considerando los contratos suscritos hasta el 19 de diciembre de 2025.Se obtendrá un 100% del cumplimiento del indicador si se cumplen las actividades mínimo al 95%. Se obtendrá calificación a partir del 85% de la meta: donde 84,9% da cero puntos y proporcional entre el 85% y 95%Formula:Sumatoria de los % de cumplimiento de los tiempos de perfeccionamiento contractual/ número total de contratos asignados perfeccionados en el periodo )*100Entregables: 1. Matriz de medición de tiempos de perfeccionamiento contractual&amp;nbsp;Enlace de Evidencia: P:\Objetivos\2025\Dirección de Contratación\Xiomara Melissa Sierra Ospina\3. Efectividad en los tiempos de Perfeccionamiento contractual</t>
  </si>
  <si>
    <t>Objetivo: A 22 de diciembre de 2025, alcanzar el 95% del cumplimiento en la entrega de los expedientes contractuales a su cargo para su creación en el sistema de gestión documental de la entidad y publicación en la plataforma SECOP II o TVEC, de los contratos celebrados y legalizados, a 15 de diciembre de 2025.&amp;nbsp;Se obtendrá un 100% del cumplimiento del indicador si se cumplen las actividades mínimo al 95%. Se obtendrá calificación a partir del 85% de la meta: donde 84,9% da cero puntos y proporcional entre el 85% y 95%.&amp;nbsp;Formula:(número de expedientes publicados en SECOP II y entregados para archivo en el SGD de la entidad / número de contratos asignados que fueron celebrados y legalizados a 15 de diciembre de 2025)*100Entregables:1. Pantallazo de publicación en SECOP II de cada contrato&amp;nbsp;2. Correo de respuesta del Archivo Cad en el que se identifique el ID de creación del expediente&amp;nbsp;Evidencia enlace: P:\Objetivos\2025\Dirección de Contratación\Xiomara Melissa Sierra Ospina\7. Indicador de Gestión documental de expedientes</t>
  </si>
  <si>
    <t xml:space="preserve">Programa de Formación Supervisores de Contratos </t>
  </si>
  <si>
    <t>OBJETIVO: a 30 de noviembre de 2025, realizar curso de formación contractual dirigido los supervisores de contratos y personal de apoyo, que permita fortalecer los conocimientos relacionados con las actividades de seguimiento y control de la ejecución contractual en el FNG.Para desarrollar este objetivo, se tendrán en cuenta las siguientes etapas: Etapa 1 -máximo 30 de julio de 2025 (10%): Concertar propuesta educativa más viable. Etapa 2 - máximo a 19 de agosto de 2025 (40%): Adelantar las acciones administrativas y contractuales que se requieran para la realización del curso. Etapa 3- máximo a 15 de noviembre (50%) desarrollar el programaENTREGABLE1. Correo electrónico con la selección de propuesta educativa.2. Correo electrónico con las evidencias de las acciones administrativas o contractual realizadas para el desarrollo del curso.3. Documentos que acrediten la participación en el curso por parte de los supervisores del contrato y personal de apoyo.EVIDENCIA DE CUMPLIMIENTO:1. Correo electrónico con la selección de propuesta educativa.2. Correo electrónico con las evidencias de las acciones administrativas o contractual realizadas para el desarrollo del curso.3. Documentos que acrediten la participación en el curso por parte de los supervisores del contrato y personal de apoyo.&amp;nbsp;EVALUACIÓN: Sumatoria de las etapas por su peso. Por cada semana de atrasos en el cumplimiento de los entregables, se descontará un 5% del peso de cada entregable.Fórmula de Medición(Número de capacitaciones realizadas / Número total de capacitaciones programadas) * 100Evidencia enlace: P:\Objetivos\2025\Dirección de Contratación\Xiomara Melissa Sierra Ospina\2. PROGRAMA DE FORMACIÓN SUPERVISORES DE CONTRATOS&amp;nbsp;</t>
  </si>
  <si>
    <t xml:space="preserve"> Efectividad en la aprobación de garantías  </t>
  </si>
  <si>
    <t>Objetivo: Lograr al 31 de diciembre de 2025, como mínimo el 95% del cumplimiento efectivo en los tiempos a su cargo para la&amp;nbsp;aprobación de las garantías constituidas a favor del FNG . Considerando los contratos o modificaciones contractuales suscritas hasta el 19 de diciembre de 2025.Se obtendrá un 100% del cumplimiento del indicador si se cumplen las actividades mínimo al 95%. Se obtendrá calificación a partir del 85% de la meta: donde 84,9% da cero puntos y proporcional entre el 85% y 95%Formula: Sumatoria del % de cumplimiento individual de cada contrato / Total de garantías aprobadas en el periodo) *100.&amp;nbsp;Entregables:1. Matriz de medición de tiempos de aprobación de garantías&amp;nbsp;Enlace Evidencia: P:\Objetivos\2025\Dirección de Contratación\Xiomara Melissa Sierra Ospina\4. Efectividad en la aprobación de garantias</t>
  </si>
  <si>
    <t>Objetivo: Adelantar la verificación de los soportes de la ejecución contractual archivado en Mercurio y publicados en SECOP o TVEC, de acuerdo con la asignación de contratos vigentes a la fecha de cada corte (31 de mayo, 31 de julio, 30 de septiembre y 30 de noviembre de 2025) como resultado de la muestra aleatoria bimensual. Deberá documentar los requerimientos que deba impulsar para gestionar la completitud del expediente, tanto en MERCURIO, como su publicidad en SECOP II o TVEC; así como, el seguimiento y la validación de completitud dirigido a cada supervisor de contrato.Se obtendrá un 100% del cumplimiento del indicador si se cumplen con la verificación de la totalidad de expedientes asignados de la muestra aleatoria. Se obtendrá calificación a partir del 90% de la meta: donde 89,9% da cero puntos y proporcional entre el 90% y 100%.Formula:(sumatoria del % de cumplimiento individual de cada contrato gestionado / Número total de contratos asignados de la muestra bimensual) × 100Entregables:1. Correo electrónico dirigido a la Supervisión del contrato y su equipo de apoyo, solicitando la completitud de los soportes de la ejecución contractual, el cargue en MERCURIO y su publicación en SECOP II o TVEC. o correo informando sobre la completitud del expediente verificado.2. Pantallazo de MERCURIO y SECOP II o TVEC en donde se evidencie el cargue de la información de acuerdo a cada corte.Evidencia enlace: P:\Objetivos\2025\Dirección de Contratación\Xiomara Melissa Sierra Ospina\5. Gestión de los documentos que soportan la ejecución contractual para la vigencia 2025</t>
  </si>
  <si>
    <t>Objetivo: Realizar como mínimo el cierre del 95% de los contratos finalizados y asignados entre el 01 de mayo de 2024 y&amp;nbsp;31 de agosto de 2025, mediante la suscripción de informes finales de supervisión y/o actas de liquidación. Para la medición del indicador se tendrá en cuenta las siguientes etapas:Etapa 1 (50%): A 31 de julio de 2025, realizar el cierre de los contratos finalizados y pendientes de liquidación o cierre a 31 de diciembre de 2024, mediante la elaboración y suscripción de informes finales de supervisión y/o actas de liquidación.Etapa 2 (50%): A 15 de diciembre de 2025, realizar el cierre de los contratos finalizados a asignados y 31 de agosto de 2025, mediante la elaboración y suscripción de informes finales de supervisión y/o actas de liquidación.&amp;nbsp;Se obtendrá un 100% del cumplimiento del indicador si se cumplen las actividades mínimo al 95%. Se obtendrá calificación a partir del 85% de la meta: donde 84,9% da cero puntos y proporcional entre el 85% y 95%.Formula:Para el cumplimiento de cada etapa:&amp;nbsp;(número de actas o informes realizados)/(número de actas o informes asignados)*100Para el resultado final:&amp;nbsp;(sumatoria de los % de cumplimiento de cada vigencia / 2)&amp;nbsp;Entregables:1. Actas de Liquidación y/o informes Finales de supervisión2.&amp;nbsp;Pantallazo de Publicación del documento postcontractual&amp;nbsp;en SECOP II y&amp;nbsp;de archivo en mercurioEnlace de evidencia: P:\Objetivos\2025\Dirección de Contratación\Xiomara Melissa Sierra Ospina\1.Liquidación de Contratos 2024-2025</t>
  </si>
  <si>
    <t>Propuesta de valor en los tiempos de respuesta en la revisión y elaboración de los instrumentos contractuales “Core de negocio” exceptuados del manual de contratación</t>
  </si>
  <si>
    <t>Objetivo: Lograr que a partir de 1 de agosto de 2025 se realice la revisión del 90% de los instrumentos contractuales para la adquisición de bienes y servicios exceptuados del manual de contratación “Core de Negocio” por parte de la Dirección de Contratación, en menores tiempos a los establecidos, así: 1) La revisión del documento de justificación se realizará en máximo en 24 horas corrientes siguientes a su radicación; 2) La revisión de la minuta de contrato u otrosí se realizará en máximo 48 horas corrientes a su radicación (con la completitud documental) por parte de las áreas usuarias.&amp;nbsp;&amp;nbsp;&amp;nbsp;Sumatoria de las etapas por su peso. Por cada hora de atraso en el cumplimiento de los entregables, se descontará un 5% del peso de cada entregable.Formula:(Número instrumentos contractuales revisados oportunamente / Número total de instrumentos asignados asignadas) × 100Entregables:1. Correo electrónico de asignación de instrumento contractual.2. Correo electrónico Dirigido a la Directora y Subdirectora de Contratación en el que se remita la revisión realizada.3. Correo electrónico dirigido al área usuaria remitiendo el instrumento contractual con la revisión realizada.Evidencia enlace: P:\Objetivos\2025\Dirección de Contratación\Xiomara Melissa Sierra Ospina\6. Propuesta de valor</t>
  </si>
  <si>
    <t>1071548571</t>
  </si>
  <si>
    <t>Yeinseen Alejandra Mora Diaz</t>
  </si>
  <si>
    <t>Profesional de Planeacion y Procesos</t>
  </si>
  <si>
    <t>Socialización del módulo Gestor Documental de Isotools a los procesos del FNG</t>
  </si>
  <si>
    <t>Descripción del objetivo:Lograr a más tardar el 31-12-2025 que la totalidad de los procesos del FNG conozcan y comprendan el módulo Gestor Documental de Isotools, mediante una sesión virtual en Microsoft Teams y la difusión de un video explicativo, dejando evidencias de participación y acceso a los materiales, asegurando el cumplimiento del 100 % de las actividades necesarias que se describen a continuación:Indicador: Su evaluación será proporcional a la suma de los porcentajes relacionados a cada entregable completado a satisfacciónActividades:1. Elaborar material visual de socialización (Guión, instructivo o infografía): Peso 20 % – Entrega Q3-20252. Convocar los procesos y ejecutar la sesión virtual en Teams: Peso 40 % – Entrega Q3-2025Entregable: Informe de avance de las actividades relacionadas para entrega en Q3, formalizado mediante correo electrónico al Subdirector de Planeación Estratégica y Gestión de Procesos.3. Difundir el video tutorial explicativo: Peso 40 % – Entrega Q4-20254. Elaborar informe que recopile la socialización a los procesos del SGI del FNG del módulo Gestor Documental de Isotools: Peso 20 % – Entrega Q4-2025Entregable: Informe de avance de las actividades relacionadas para entrega en Q4, formalizado mediante correo electrónico al Subdirector de Planeación Estratégica y Gestión de Procesos.El objetivo esta alineado a la apuesta estratégica del PAI: Puesta en producción del Software del SGIUbicación: P:\Objetivos\2025\Dirección de Planeación y Gestión Integral\Yeinseen Alejandra Mora Diaz</t>
  </si>
  <si>
    <t>Socialización y publicación de la matriz integral del MIPG en Isotools para todos los procesos del FNG</t>
  </si>
  <si>
    <t>Descripción del objetivo:Lograr a más tardar el 31-12-2025 la estructuración, validación, socialización y publicación de una matriz integral que articule las dimensiones del Modelo Integrado de Planeación y Gestión - MIPG con los criterios de las políticas de gestión, las preguntas de evaluación del FURAG y los responsables por dirección, de modo que cada líder de proceso pueda acceder a sus responsabilidades y consultarlas en Isotools, asegurando el cumplimiento del 100 % de las actividades necesarias que se describen a continuación:Indicador: Su evaluación será proporcional a la suma de los porcentajes relacionados a cada entregable completado a satisfacción.Actividades:1. Estructurar la matriz de MIPG y asegurar su revisión: Peso 25 % – Entrega Q4-20252. Ajustar la matriz con retroalimentación y obtener validación del Subdirector de Planeación: Peso 25 % – Entrega Q4-20253. Socializar la matriz a los procesos del FNG: Peso 25 % – Entrega Q4-20254. Publicar la matriz en la caracterización de cada proceso en Isotools: Peso 25 % – Entrega Q4-2025Entregable: Informe de avance de las actividades&amp;nbsp;socialización y publicación de la matriz relacionadas para entrega en Q4, formalizado mediante correo electrónico al Subdirector de Planeación Estratégica y Gestión de Procesos.&amp;nbsp;El objetivo esta alineado a la apuesta estratégica del PAI: Fortalecimiento de las políticas del MIPGUbicación: P:\Objetivos\2025\Dirección de Planeación y Gestión Integral\Yeinseen Alejandra Mora Diaz</t>
  </si>
  <si>
    <t>Diseño de instructivo para la gestión de solicitudes, revisiones y aprobaciones documentales mediante Isotools</t>
  </si>
  <si>
    <t>Descripción del objetivo:Lograr a más tardar el 30-09-2025 el diseño, validación y publicación de un instructivo que oriente a los usuarios del FNG en la gestión de solicitudes, revisiones y aprobaciones documentales mediante el módulo Gestor Documental de Isotools, asegurando el cumplimiento del 100 % de las actividades necesarias que se describen a continuación:Indicador: Su evaluación será proporcional a la suma de los porcentajes relacionados a cada entregable completado a satisfacciónActividades:1. Redactar borrador del instructivo y enviarlo para revisión: Peso 40 % – Entrega Q3-20252. Ajustar el documento de acuerdo con la retroalimientación: Peso 40 % – Entrega Q3-20253. Publicar el instructivo en Isotools y notificar a los procesos: Peso 20 % – Entrega Q3-2025Entregable: Informe de avance de las actividades relacionadas para entrega en Q3, formalizado mediante correo electrónico al Subdirector de Planeación Estratégica y Gestión de Procesos.&amp;nbsp;El objetivo esta alineado a la apuesta estratégica del PAI: Puesta en producción del Software del SGIUbicación: P:\Objetivos\2025\Dirección de Planeación y Gestión Integral\Yeinseen Alejandra Mora Diaz</t>
  </si>
  <si>
    <t>Descripción del objetivo:Lograr a más tardar el 30-09-2025 la migración de la totalidad de los documentos oficializados en Isolución en su versión vigente (manuales, instructivos, procedimientos, reglamentos, formatos, planes, notas técnicas y anexos), validación de funcionamiento y puesta en producción del módulo Gestor Documental de Isotools, asegurando el cumplimiento del 100% de las actividades necesarias que se describen a continuación:Indicador: Su evaluación será proporcional a la suma de los porcentajes relacionados a cada entregable completado a satisfacciónActividades:1. Definir inventario de documentos vigentes a migrar: Peso 20 % – Entrega Q3-20252. Ejecutar migración del 100% de los documentos a Isotools y validación de visualización de documentos: Peso 40 % – Entrega Q2-20253. Validar funcionamiento del flujo de documentación: Peso 20 % – Entrega Q3-20254. Informar la puesta en producción el módulo Gestor Documental: Peso 20 % – Entrega Q3-2025Entregable: Informe de avance de las actividades relacionadas para entrega en Q3, , formalizado mediante correo electrónico al Subdirector de Planeación Estratégica y Gestión de Procesos.&amp;nbsp;El objetivo esta alineado a la apuesta estratégica del PAI: Puesta en producción del Software del SGIUbicación: P:\Objetivos\2025\Dirección de Planeación y Gestión Integral\Yeinseen Alejandra Mora Diaz</t>
  </si>
  <si>
    <t>1049620669</t>
  </si>
  <si>
    <t>Yennyfer Julieth Rodriguez Crispin</t>
  </si>
  <si>
    <t>Profesional Senior de Gestión Jurídica de Cartera</t>
  </si>
  <si>
    <t>Durante la vigencia 2025 cumplir en los plazos establecidos como mínimo en un 98%, las solicitudes de asesoría jurídica radicadas mediante CRM de acuerdo con el ANS de conceptos jurídicos y PQRS (valor mínimo para obtener puntaje 90%) Medición: No. De PQRS realizadas a tiempo / No. De PQRS solicitadas * 100 Entregable: Informe de las solicitudes radicadas mediante la herramienta de CRM y un archivo en excel que contenga la relación de solicitudes remitidas por correo electrónico a 31 de diciembre de 2025. Los soportes se resguardarán en la siguiente ruta: P:\Objetivos\2025\Yennyfer Rodríguez.</t>
  </si>
  <si>
    <t xml:space="preserve">GESTIÓN DOCUMENTAL DE LA DIRECCIÓN </t>
  </si>
  <si>
    <t>A 31 de diciembre de 2025, la Subdirección de Gestión Jurídica de Cartera garantizará el cumplimiento del 100% de las obligaciones de gobierno corporativo, incluyendo la actualización documental y mantenimiento de los estándares de calidad en la gestión institucional.ENTREGABLE: Presentar un informe de gestión al Subdirector Gestión Jurídica de Cartera, evidenciando el cumplimiento de obligaciones de gobierno corporativo y la actualización documental completa, según inventario documental entregado por la Dirección de Planeación y Gestión Integral.EVALUACIÓN: El objetivo será calificable en forma proporcional a partir de un cumplimiento del 95%, donde 94,99% equivale a 0% y proporcional entre el 95% y 100%.</t>
  </si>
  <si>
    <t>A 31 de diciembre de 2025, realizar un estudio de factibilidad y viabilidad que concluya si es conveniente realizar el pago de las garantías reclamadas bajo el esquema tradicional de reclamación con recuperación de cartera de manera anticipada con una acreditación de los soportes jurídicos de pago (mandamiento de pago y/o auto de graduación y calificación de crédito) con posterioridad al pago de la garantía al intermediario financiero.&amp;nbsp;ENTREGABLES: Este objetivo tendrá los siguientes hitos y entregables: a)&amp;nbsp;&amp;nbsp;&amp;nbsp;&amp;nbsp;&amp;nbsp;A 31 de julio de 2025, presentar al Comité Directivo un esquema de pros y contras inicial del estudio de viabilidad. Se requiere entrevistas con las áreas de operaciones, financiera, riesgos y comercial. Peso: 20%b)&amp;nbsp;&amp;nbsp;&amp;nbsp;&amp;nbsp;A 31 de agosto 2025, presentar al Comité de Recuperación de Cartera el análisis del impacto operativo de realizar el pago de garantías anticipado obteniendo el mandamiento de pago posteriormente. Peso: 20%c)&amp;nbsp;&amp;nbsp;&amp;nbsp;&amp;nbsp;&amp;nbsp;A 30 de septiembre de 2025, presentar al Comité de Recuperación de Cartera el análisis de riesgos enfocado a la siniestralidad, con la propuesta del pago de garantías anticipado obteniendo el mandamiento de pago posteriormente (artículos a modificar en el reglamento de garantías). Peso: 20%d)&amp;nbsp;&amp;nbsp;&amp;nbsp;&amp;nbsp;A 31 de octubre 2025, presentar al Comité de Recuperación de Cartera las conclusiones del informe de factibilidad y viabilidad de la propuesta del pago de garantías anticipado obteniendo el mandamiento de pago posteriormente. Evidencia: informe de factibilidad y viabilidad. Peso: 20%e)&amp;nbsp;&amp;nbsp;&amp;nbsp;&amp;nbsp;&amp;nbsp;A 30 de noviembre de 2025, presentar al Comité Directivo las conclusiones del informe de factibilidad y viabilidad de la propuesta del pago de garantías anticipado. Peso 20%EVIDENCIAS DE CUMPLIMIENTO: Actas de los comités de recuperación de cartera y directivo con la presentación de los informes propuestos.EVALUACIÓN: &amp;nbsp;el porcentaje de cumplimiento del objetivo será la sumatoria del peso asignado a cada hito, que se cumpla al 100%.</t>
  </si>
  <si>
    <t>ACTAS COMITÉ RECUPERACIÓN DE CARTERA</t>
  </si>
  <si>
    <t>Lograr al 31 de diciembre de 2025 la elaboración y firma de las actas del Comités de Recuperación de Cartera de las sesiones que se hayan celebrado desde el 1 de enero al 15 de noviembre de 2025, las cuales deberán estar cargadas en la plataforma Mercurio (SGD). Se obtendrá un 100% del cumplimiento del indicador si se cumplen las actividades mínimo al 90%. Se obtendrá calificación a partir del 80% de la meta: donde 79,9% da cero puntos y proporcional entre el 80% y 90%. &amp;nbsp;Medición: No. de comités celebrados entre el 1º de enero al 15 de noviembre de 2025)/(No. de actas de comités suscritas entre el 1º de enero al 15 de noviembre de 2025)*100 &amp;nbsp;Entregable: Se le informará al/la Directora(a) de Gestión y Recuperación de Cartera vía correo electrónico a más tardar el 10 de enero de 2026 la relación de actas de comités firmadas y subidas a Mercurio.</t>
  </si>
  <si>
    <t>52912737</t>
  </si>
  <si>
    <t>Yenny Maritza Ochoa Puentes</t>
  </si>
  <si>
    <t>Gerente de Cuenta Dirección General  Bogotá - Centro</t>
  </si>
  <si>
    <t>Capacitaciones Novaciones y Prorrogas</t>
  </si>
  <si>
    <t>Visitas Portafolio</t>
  </si>
  <si>
    <t>Movilización de Créditos</t>
  </si>
  <si>
    <t>Lograr al 31 de Diciembre de 2025 un total de 800.000 en número de créditos garantizados, durante el periodo comprendido entre el 01 de Enero de 2025 hasta el 31 de Diciembre del 2025.&amp;nbsp;Calificación EquitativaMínimo el 90%.&amp;nbsp;Realizar 800.000 visitas o más obtendrá un puntaje de 100%.&amp;nbsp;Mínimo 725.000 visitas, realizar menos de 725.000&amp;nbsp;visitas obtendrá un puntaje de 0.&amp;nbsp;Se medirá de acuerdo a la tabla equitativa: donde al sacar un puntaje del 90% el puntaje será 90% y así hasta llegar a 100%.Evidencia: Correo electrónico de la analista de datos de la dirección de estrategia en la ruta P:\ObjetivosPortafolio: El portafolio asignado y distribución del presupuesto para cada subdirección comercial de la Dirección General estará aprobado previamente por el Director Comercial a través de correo electrónico. La evidencia se encuentra en la ruta P:\Objetivos.</t>
  </si>
  <si>
    <t>Realizar&amp;nbsp;792 visitas a contactos de Direcciones Generales de la subdirección desde el 01 de Enero de 2025 hasta el 31 de Diciembre del 2025. Mínimo el 80%. Realizar 792 visitas o más obtendrá un puntaje de 100. Mínimo 634 visitas, realizar menos de 634 visitas obtendrá un puntaje de 0. Se medirá de acuerdo a la tabla equitativa: donde al sacar un puntaje del 80% el puntaje será 80% y así hasta llegar a 100%. Evidencia: Correo electrónico del área de experiencia o arquitectura de datos.Evidencia: Correo electrónico de la analista de datos de la dirección de estrategiaPortafolio: El portafolio asignado y distribución del presupuesto para cada subdirección comercial de la Dirección General estará aprobado previamente por el Director Comercial a través de correo electrónico. La evidencia se encuentra en la ruta P:\Objetivos</t>
  </si>
  <si>
    <t>1006856480</t>
  </si>
  <si>
    <t>Yesica Lorena Oviedo Pava</t>
  </si>
  <si>
    <t>Elaborar tres instructivos operativos dirigidos a los usuarios del portal transaccional de garantía global. El objetivo de estos documentos es proporcionar a los intermediarios financieros una guía clara y detallada sobre el proceso operativo, abarcando tanto el uso adecuado del portal como el correcto diligenciamiento de los anexos requeridos.</t>
  </si>
  <si>
    <t>Estos instructivos contribuirán a una gestión más eficiente del proceso operativo y a la reducción de errores en su ejecución. Los instructivos a desarrollar serán:- Instructivo 1: Registro de la garantía global- Instructivo 2: Liquidación de comisiones y actualización de saldos- Instructivo 3: Reclamación y recuperación de garantías</t>
  </si>
  <si>
    <t>Realizar durante el año 2025 capacitaciones operativas sobre prórrogas y novaciones, dirigidas al 85% de los administradores del portal transaccional de productos tradicionales, pertenecientes a intermediarios financieros que mantengan garantías vigentes bajo este esquema.</t>
  </si>
  <si>
    <t>Las capacitaciones serán impartidas por el profesional de la Dirección de Estrategia Comercial y estarán orientadas exclusivamente a los intermediarios que hayan manifestado su interés en recibirla, con base en los resultados obtenidos a través de la encuesta aplicada vía Google Forms.El número de sesiones a realizar se determinará según la demanda identificada en dicha encuesta (la encuesta se realizará en junio 2025).</t>
  </si>
  <si>
    <t xml:space="preserve">Implementar un informe de seguimiento y control mensual que proporcione información de los Intermediarios Financieros que no presentan movilización, o que disminuyeron la utilización de garantías, con el fin de identificar factores subsanables mediante  gestión comercial e identificar las entidades que definitivamente no están interesadas y  proceder a depurarlos de la base de clientes. </t>
  </si>
  <si>
    <t>Implementar un informe de seguimiento y control mensual que proporcione información de los Intermediarios Financieros que no presentan movilización, o que disminuyeron la utilización de garantías, con el fin de identificar factores subsanables mediante&amp;nbsp;gestión comercial e identificar las entidades que definitivamente no están interesadas y&amp;nbsp;proceder a depurarlos de la base de clientes.&amp;nbsp;</t>
  </si>
  <si>
    <t>Capacitar operativamente, durante el año 2025, al 90% de los intermediarios que hayan alcanzado la condición de formalizados para el periodo 01 de enero de 2025 al 30 de noviembre de 2025.</t>
  </si>
  <si>
    <t>El proceso estará enfocado en garantizar el dominio adecuado de los procedimientos operativos, fortaleciendo así la eficiencia en su implementación. La base inicial de intermediarios formalizados es de 25 al 31 de mayo de 2025, y se actualizará conforme a las nuevas vinculaciones reportadas por la Dirección de Vinculaciones hasta la fecha de corte.</t>
  </si>
  <si>
    <t>Subdirector de Tesorería</t>
  </si>
  <si>
    <t>Lograr al 31 de diciembre de 2025, el cumplimiento del porcentaje establecido como meta para los indicadores relacionados a continuación, los cuales integran el Índice de Eficiencia Operativa - IEO para la Dirección de Tesorería así:&amp;nbsp;&amp;nbsp;GESTION PARTIDAS CONCILIATORIAS: Meta 95%Evaluación: de acuerdo con la siguiente tabla métrica, con base en el porcentaje de cumplimiento de cada indicador:&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Gestión Partidas conciliatorias&amp;gt;=95,00% = 100%entre el 84,99% y el 94,99% = 70%&amp;lt; 84,98% = 0%&amp;nbsp;&amp;nbsp;&amp;nbsp;&amp;nbsp;&amp;nbsp;&amp;nbsp;&amp;nbsp;&amp;nbsp;&amp;nbsp;&amp;nbsp;&amp;nbsp;&amp;nbsp;&amp;nbsp;&amp;nbsp;&amp;nbsp;&amp;nbsp;&amp;nbsp;&amp;nbsp;&amp;nbsp;&amp;nbsp;&amp;nbsp;&amp;nbsp;&amp;nbsp;&amp;nbsp;&amp;nbsp;&amp;nbsp;&amp;nbsp;&amp;nbsp;&amp;nbsp;CRITERIO DE MEDICION:El objetivo será calificable de acuerdo con la tabla métrica.ENTREGABLES / EVIDENCIA: Resultado de los indicadores, publicados en Isolución o aplicativo vigente.</t>
  </si>
  <si>
    <t>Realizar a 30 de septiembre de 2025, una herramienta ofimática que permita realizar el arqueo mensual sobre el portafolio de inversiones validando las condiciones faciales de los títulos valores en cada uno de los custodios Deceval – DCV y Dialogo con el fin de automatizar el proceso manual a cierre de mes.CRITERIO DE MEDICION&amp;nbsp;Cumple o no cumpleENTREGABLES / EVIDENCIA: Entrega de la herramienta ofimática a través de un correo electrónico al Director de Tesoreria, informando la ruta en la cual queda:&amp;nbsp;• La herramienta en funcionamiento Peso 50%• Pruebas integrales Peso 30%• Actualización de la documentación y publicación en Isolucion al 30 de septiembre de 2025 Peso 20%</t>
  </si>
  <si>
    <t>A 30 de septiembre de 2025, actualizar los 87 documentos asociados a la Dirección de Tesorería (manual, procedimientos, instructivos y formatos),&amp;nbsp;conforme al inventario generado para tal fin.CRITERIO DE MEDICIÓNEl objetivo será evaluado en forma proporcional al número de documentos actualizados, siendo necesario un cumplimiento mínimo del 90%. Un cumplimiento inferior al 90%, es decir, 89,99% o menos, será calificado con 0 puntos.FÓRMULA DE CÁLCULO(Número de documentos actualizados / 87) * 100ENTREGABLES / EVIDENCIADocumentos actualizados y aprobados en el aplicativo ISOlución o aplicativo vigente.&amp;nbsp;&amp;nbsp;&amp;nbsp;&amp;nbsp;&amp;nbsp;&amp;nbsp;&amp;nbsp;&amp;nbsp;&amp;nbsp;&amp;nbsp;&amp;nbsp;&amp;nbsp;&amp;nbsp;&amp;nbsp;</t>
  </si>
  <si>
    <t>Instructivo pagos tesorería</t>
  </si>
  <si>
    <t>Director de Cumplimiento</t>
  </si>
  <si>
    <t xml:space="preserve">Gestión del Conflicto de Interés </t>
  </si>
  <si>
    <t>Programa de Transparencia y Ética Pública</t>
  </si>
  <si>
    <t>Subdirector Comercial de Direcciones Generales Bogotá -  Centro</t>
  </si>
  <si>
    <t>Visitas Individual Subdirector</t>
  </si>
  <si>
    <t>Realizar&amp;nbsp;792 visitas a contactos de Direcciones Generales de la subdirección desde el 01 de Enero de 2025 hasta el 31 de Diciembre del 2025.&amp;nbsp;Tabla EquitativaMínimo el 80%.&amp;nbsp;Realizar 792 visitas o más obtendrá un puntaje de 100. Mínimo 634 visitas, realizar menos de 634 visitas obtendrá un puntaje de 0. Se medirá de acuerdo a la tabla equitativa: donde al sacar un puntaje del 80% el puntaje será 80% y así hasta llegar a 100%.Evidencia: Correo electrónico de la analista de datos de la dirección de estrategiaPortafolio: El portafolio asignado y distribución del presupuesto para cada subdirección comercial de la Dirección General estará aprobado previamente por el Director Comercial a través de correo electrónico. La evidencia se encuentra en la ruta P:\Objetivos</t>
  </si>
  <si>
    <t>Plan Comercial 2025</t>
  </si>
  <si>
    <t>Elaborar Plan Comercial para el año 2026, con fecha de entrega máxima el 31 de diciembre de 2025. La calificación será del 100% si se entrega el plan comercial a satisfacción o del 0% si no se entrega.&amp;nbsp;Evidencia: Correo con el plan comercial aprobado por la VP Comercial. La evidencia se encuentra en la ruta P:\Objetivos.</t>
  </si>
  <si>
    <t>35426641</t>
  </si>
  <si>
    <t>Yurany Astrid Hernandez Torres</t>
  </si>
  <si>
    <t>Lograr la vinculación y/o reactivación durante el año 2025, de catorce (14) intermediarios financieros en la regional Bogotá-Centro (la cual comprende los departamentos de: Bogotá, Cundinamarca, Tolima, Huila, Caquetá, Meta, Guainía, Guaviare, Vaupés, Vichada y Amazonas).&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Cumplimiento. Realizar catorce (14) vinculaciones y/o reactivaciones o más obtendrá un puntaje de 100%, el resultado obtenido será la calificación final del objetivo según la formula. # de vinculaciones dividido en la meta.&amp;nbsp;Ejemplo N. Vinculados/Meta. 7/14=50%&amp;nbsp;y así hasta llegar al 100%.</t>
  </si>
  <si>
    <t>Movilización de creditos con garantías del FNG en el portafolio asignado</t>
  </si>
  <si>
    <t>Lograr al 31 de diciembre de 2025 una movilización de créditos con garantías del FNG&amp;nbsp;igual o superior al 100% de la meta asignada por la vicepresidencia comercial (base inicial aprobada por el subdirector comercial&amp;nbsp;y sujeta a modificaciones).&amp;nbsp;Para los departamentos de Bogotá y Cundinamarca.&amp;nbsp;&amp;nbsp;&amp;nbsp;&amp;nbsp;% Cumplimiento. Calificación proporcional entre la meta asignada por la vicepresidencia comercial&amp;nbsp;(base inicial aprobada por el subdirector comercial&amp;nbsp;y sujeta a modificaciones).&amp;nbsp;Para los departamentos de Bogotá y Cundinamarca.&amp;nbsp;y&amp;nbsp;$2.209.264.114.493&amp;nbsp;billones (donde menor a $2.209.264.114.493 billones es 0% y la meta asignada&amp;nbsp;por la vicepresidencia comercial o más es 100%, La fórmula de medición del Rango: = (Resultado Indicador – Cumplimiento Mínimo) / (Meta – Cumplimiento Mínimo) x 100.</t>
  </si>
  <si>
    <t>Visitas y/o Capacitacitaciones a gerentes de zona y/o regionales de Intermediarios Financieros del portafolio asignado.</t>
  </si>
  <si>
    <t>Realizar cuarenta (40) visitas y/o capacitaciones a&amp;nbsp;gerentes de zona y/o regionales de Intermediarios Financieros del FNG del&amp;nbsp;portafolio asignado durante el año 2025 (base inicial aprobada por el subdirector comercial&amp;nbsp;y sujeta a modificaciones).&amp;nbsp;Para los departamentos de Bogotá y Cundinamarca.&amp;nbsp;&amp;nbsp;&amp;nbsp;&amp;nbsp;% Cumplimiento. Realizar 40 visitas y/o capacitaciones o más a&amp;nbsp;gerentes de zona y/o regionales de Intermediarios Financieros del FNG del&amp;nbsp;portafolio asignado durante el año 2025 obtendrá un puntaje de 100%. Realizar menos de 36 (90%) visitas y/o capacitaciones obtendrá un puntaje de 0%. Se medirá de acuerdo a la tabla equitativa: menor a 90% - 0; entre 90 y 93% el 80%; entre 93 y 95% el 90% y entre 95 y 100 el 100%</t>
  </si>
  <si>
    <t>Obtener al 31 de diciembre de 2025 un resultado ponderado en la Encuesta de Satisfacción del Cliente Externo para las zonas de venta FNG S.A Y FNG TOLIMA, mayor o igual a 9.1 (Donde menor a 8.6 es 0 puntos y 9.1 es 100 puntos), Rango: &amp;gt; o = 8.6 Pts &amp;lt; 9.1 Pts La fórmula de medición del Rango: = (Resultado Indicador – Cumplimiento Mínimo) / (Meta – Cumplimiento Mínimo) x 100.Evidencia: Resultado encuesta de cliente Externo.&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cumplimiento.Mayor o igual a 9.1 (Donde menor a 8.6 es 0 puntos y 9.1 es 100 puntos), Rango: &amp;gt; o = 8.6 Pts &amp;lt; 9.1 Pts La fórmula de medición del Rango: = (Resultado Indicador – Cumplimiento Mínimo) / (Meta – Cumplimiento Mínimo) x 100.</t>
  </si>
  <si>
    <t>Realizar trescientos sesenta y dos (362) visitas a sucursales activas gestionables de Intermediarios Financieros del FNG del portafolio asignado durante el año 2025 (base inicial aprobada por el subdirector comercial&amp;nbsp;y sujeta a modificaciones). Para los departamentos de Bogotá y Cundinamarca.&amp;nbsp;% Cumplimiento.Realizar 362 visitas o más obtendrá un puntaje de 100%. Realizar menos de 326 (90%) visitas obtendrá un puntaje de 0%. Se medirá de acuerdo a la tabla equitativa: menor a 90% - 0 ; entre 90 y 93% el 80%; entre 93 y 95% el 90% y entre 95 y 100 el 100%</t>
  </si>
  <si>
    <t>1026269352</t>
  </si>
  <si>
    <t>Yuri Yesenia Rubiano Enciso</t>
  </si>
  <si>
    <t>Especialista de Auditoría, Control Organizacional y Seguimiento a la Gestión</t>
  </si>
  <si>
    <t xml:space="preserve">Mejoramiento de la calidad de los controles – Matriz de Riesgos y Controles de los procesos </t>
  </si>
  <si>
    <t>Lograr al 31 de diciembre de 2025, promover el mejoramiento continuo en la gestión del riesgo institucional, a través del análisis de la calidad de los controles establecidos en la matriz de riesgos de los procesos sujetos de auditoría en la vigencia 2025, con base en los atributos de diseño del control, para emitir recomendaciones a los líderes de proceso que contribuyan al fortalecimiento del Sistema de Gestión Integral, asegurando el cumplimiento del 100% como se establece a continuación:-&amp;nbsp;&amp;nbsp;&amp;nbsp;&amp;nbsp;&amp;nbsp;&amp;nbsp;&amp;nbsp;Informe de Autoevaluación Proceso Marca Institucional, Gestión Humana y, correo de recomendaciones de actualización y fortalecimiento de la matriz de riesgos y controles del proceso de Administración de Garantías: peso 25% - Entrega Q2-&amp;nbsp;&amp;nbsp;&amp;nbsp;&amp;nbsp;&amp;nbsp;&amp;nbsp;&amp;nbsp;Base de Excel: identificación de controles con el componente Documentación "Sin Documentar" por Dirección/área, Correos con recomendaciones de actualización y fortalecimiento de la matriz de riesgos y controles de las subdirecciones de la Dirección de Planeación y Gobierno Corporativo: peso 25% - Entrega Q2-&amp;nbsp;&amp;nbsp;&amp;nbsp;&amp;nbsp;&amp;nbsp;&amp;nbsp;&amp;nbsp;Informe de Autoevaluación Proceso Gestión Financiera, Correo de entrega de la base de Controles "Sin documentar" (priorizados &amp;gt; 10 controles por Dirección), Informe de Autoevaluación Proceso Gestión Comercia e Informe de Autoevaluación Proceso Gestión Contratación: peso 25% - Entrega Q3-&amp;nbsp;&amp;nbsp;&amp;nbsp;&amp;nbsp;&amp;nbsp;&amp;nbsp;&amp;nbsp;Informe de Autoevaluación Procesos de la Dirección de Planeación y Gestión Integral y Base de Excel: seguimiento de avance de controles con el componente Documentación "Sin Documentar" (priorizados &amp;gt; 10 controles por Dirección): peso 25% - Entrega Q4Nota: Su evaluación será proporcional a la suma de los porcentajes relacionados a cada entregable completado a satisfacción.Entregable de avance de las actividades relacionadas para entrega Q2, Q3 y Q4 respectivamente mediante Formato implementación de Planes y Proyectos del FNG N.014 y carpetas entregables ubicado en la rutaUbicación: P:\Objetivos\2025\Dirección de Planeación y Gestión Integral\Yuri Yesenia Rubiano Enciso</t>
  </si>
  <si>
    <t xml:space="preserve">Generación de informe de mejores prácticas derivadas de la participación en el Congreso de Auditoría Interna </t>
  </si>
  <si>
    <t>Durante 2025, asistir al Congreso de Auditoría Interna del Instituto de Auditores Internos de Colombia titulado “La innovación como estrategia”, a realizarse en septiembre de 2025 y elaborar un informe que documente buenas prácticas o lecciones aprendidas relevantes para fortalecer los procesos de Mejora continua y Autoevaluación de controles, con recomendaciones aplicables a la Entidad, asegurando el cumplimiento del 100% de las actividades definidas como se establece a continuación:-&amp;nbsp;&amp;nbsp;&amp;nbsp;&amp;nbsp;&amp;nbsp;Entrega del certificado de asistencia al Congreso: peso 25% Q3-&amp;nbsp;&amp;nbsp;&amp;nbsp;&amp;nbsp;&amp;nbsp;Elaboración informe de buenas prácticas o lecciones aprendidas: peso 25% Q4Nota: Su evaluación será proporcional a la suma de los porcentajes relacionados a cada entregable completado a satisfacción. Informe de avance de las actividades relacionadas para entrega en Q3 y Q4, ubicación: P:\Objetivos\2025\Dirección de Planeación y Gestión Integral\Yuri Yesenia Rubiano Enciso</t>
  </si>
  <si>
    <t xml:space="preserve">Formalización del proceso de Autoevaluación de controles </t>
  </si>
  <si>
    <t>Al 31 de diciembre de 2025, formalizar mediante documento interno, el proceso de autoevaluación de controles, como parte de la función de supervisión, recomendación y lineamiento de la segunda línea de defensa, con el fin de fortalecer el Sistema de Control Interno de la Entidad, crear cultura de autocontrol en la primera línea que lidera los procesos institucionales y fortalecer la gestión del riesgo, asegurando el cumplimiento del 100% de los componentes definidos como se establece a continuación: -&amp;nbsp;Elaboración de la propuesta de diseño del proceso de autoevaluaciones: peso 50% Q3-&amp;nbsp;Documento formalizado en el Sistema de Gestión Documental sobre el proceso de autoevaluaciones: peso 50% Q4Nota: Su evaluación será proporcional a la suma de los porcentajes relacionados a cada entregable completado a satisfacción. Informe de avance de las actividades relacionadas para entrega en Q3 y Q4, ubicación: P:\Objetivos\2025\Dirección de Planeación y Gestión Integral\Yuri Yesenia Rubiano Enciso</t>
  </si>
  <si>
    <t xml:space="preserve">Formalización del proceso de Mejora continua </t>
  </si>
  <si>
    <t>Lograr al 31 de diciembre, diseñar y documentar la metodología del proceso de mejora continua de la entidad, asegurando que incluya las etapas, roles, responsabilidades, herramientas de gestión y mecanismos de seguimiento, de acuerdo con buenas prácticas nacionales (MIPG) e internacionales (ISO 9001:2015), asegurando el cumplimiento del 100% como se establece a continuación:-&amp;nbsp;&amp;nbsp;&amp;nbsp; Determinar el alcance del proceso de mejora continua, alineación normativa y herramientas de soporte: peso 50% Q3 -&amp;nbsp;&amp;nbsp;&amp;nbsp;&amp;nbsp;&amp;nbsp;&amp;nbsp;&amp;nbsp;Definición de etapas, roles y responsabilidades: peso 25% Q4-&amp;nbsp;&amp;nbsp;&amp;nbsp;&amp;nbsp;&amp;nbsp;&amp;nbsp;&amp;nbsp;Entrega propuesta documental de metodología: peso 25% Q4Nota: Su evaluación será proporcional a la suma de los porcentajes relacionados a cada entregable completado a satisfacción. Informe de avance de las actividades relacionadas para entrega en Q3 y Q4, ubicación: P:\Objetivos\2025\Dirección de Planeación y Gestión Integral\Yuri Yesenia Rubiano Enciso</t>
  </si>
  <si>
    <t>1077441175</t>
  </si>
  <si>
    <t>Zomer Lara Mosquera</t>
  </si>
  <si>
    <t>Gerente de Cuenta Choco</t>
  </si>
  <si>
    <t>Lograr al 31 de diciembre de 2025 una movilización de créditos con garantías del FNG igual o superior al 100% de la meta definida por la Vicepresidencia Comercial al portafolio asignado por el subdirector comercial Antioquia-Chocó, la cual puede estar sujeta a cambios.Formula: Calificación proporcional entre la Meta definida por la Vicepresidencia Comercial al portafolio asignado por la subdirección comercial Antioquia-Choco y&amp;nbsp;$202.273.542.004 millones (donde menor a $202.273.542.004 millones es 0% y la Meta definida por la Vicepresidencia Comercial o más son 100%).&amp;nbsp;La fórmula de medición del Rango: = (Resultado Indicador – Cumplimiento Mínimo) / (Meta – Cumplimiento Mínimo) x 100.Evidencia: Informe de cierre de movilización del año 2025 generado por la dirección de estrategia comercial.</t>
  </si>
  <si>
    <t>Participación en eventos en la zona de atención comercial en el Departamento del Chocó</t>
  </si>
  <si>
    <t>Participar en diez (10) eventos durante el año 2025 en la zona de atención comercial (Chocó), dando a conocer las generalidades y portafolio del FNG como un aliado estratégico de los colombianos, haciendo presencia en espacios y/o eventos coordinados con las diferentes entidades aliadas en la region. Formula: Participar en diez (10) eventos o más obtendrá un puntaje de 100%,&amp;nbsp;participar en seis (6) eventos o menos obtendrá un puntaje de 0%, # de eventos año 2025 divido 10 y el resultado obtenido será la calificación final del objetivo según la formula, ejemplo: 7 eventos /10 = 0,7%.&amp;nbsp;Evidencia: Informe Modelo de Actuación Comercial MAC Fuerza Propia generado por la dirección de estrategia comercial.</t>
  </si>
  <si>
    <t>Realizar 450 visitas a sucursales activas gestionables de Intermediarios Financieros del FNG del portafolio a cargo en la regional Antioquia-Chocó durante el año 2025. Formula: Realizar 450 visitas o más obtendrá un puntaje de 100%, realizar menos de 405 visitas obtendrá un puntaje de 0%. Se medirá de acuerdo a la tabla equitativa: donde sacar un puntaje del 90% sera el 90% y así hasta llegar&amp;nbsp;al 100%.Evidencia: Informe Modelo de Actuación Comercial MAC Fuerza Propia generado por la dirección de estrategia comercial.</t>
  </si>
  <si>
    <t>Lograr la vinculación y/o reactivación durante el año&amp;nbsp;2025, de nueve (9) intermediarios financieros en la Regional Antioquia y Chocó. Se medirá de acuerdo a la formula: # de vinculaciones año 2025 divido 9 y el resultado obtenido será la calificación final del objetivo según la formula, ejemplo: 5 vinculaciones/9 = 55.5%. Evidencia: Correo de Confirmación de suscripción de contrato generado por la Dirección de Vinculación, Aseguramiento y Calidad</t>
  </si>
  <si>
    <t>Area</t>
  </si>
  <si>
    <t>Profesional Senior de Cumplimiento Normativo</t>
  </si>
  <si>
    <t>Diligenciar mensualmente a partir de julio del 2025 el formato de inspección del vehículo asignado a Presidencia.Indicador o Formula con la que se va a Realizar la Medición.: Formato de inspección;Cada mes tendrá una evaluación de 17 puntos de julio a noviembre y el mes de diciembre tendrá un valor de 15 puntos el cual dará un total de los 100 puntos cumplidos.Entregables.: Formato de inspección de vehículo remitido por correo electrónico a la subdirectora de servicios administrativos en los primeros 5 días del mes siguiente, donde se evidencia el estado del vehículo.</t>
  </si>
  <si>
    <t>Organizar el 100% de los viajes, tiquetes, hotel y comisiones de servicios que solicite el Presidente durante el 2025 y el equipo directivo, cuando haya a lugar.*Indicador o Formula con la que se va a Realizar la Medición.: Informe Excel con el seguimiento de la gestión hecha de itinerarios, solicitudes e informes de las comisiones, remitido por correo electrónico a presidencia trimestralmente. (Q2 se entrega los primeros 15 días del mes de julio, Peso 30%;Q3 se entrega a los 15 días del mes de octubre, peso 30% Q4 se entrega los 15 primeros días de enero del 2026 ) peso 40%.Las comisiones deben ser solicitadas dentro del tiempo establecido en la resolución para tal fin.*Entregables.: Plantilla de información trimestral;</t>
  </si>
  <si>
    <t>Hacer durante el 2025 seguimiento al 100% de las tareas y compromisos que el Presidente asigna en las diferentes reuniones y / o comités que se llevan a cabo al interior de la entidad en conjunto con los directivos de la entidad;*Indicador o Formula con la que se va a Realizar la Medición.: Informe Excel con el seguimiento que se realizó a las actas, agendamientos de reuniones;remitido por correo electrónico a presidencia trimestralmente. (Q2 se entrega los primeros 15 días del mes de julio, Q3 se entrega a los 15 días del mes de octubre, Q4 se entrega los 15 primeros días de enero del 2026)*Entregables.: Actas revisadas de los comités;</t>
  </si>
  <si>
    <t>Realizar durante el segundo semestre del 2025 el seguimiento a solicitudes de entes externos desde la radicación en el FNG hasta la respuesta a la entidad correspondiente, validando que estas se den en el tiempo establecido por la entidad.Indicador o Formula con la que se va a Realizar la Medición.: Informes-Formato de inspección. Cada mes tendrá una evaluación de 17 puntos de julio a noviembre y el mes de diciembre tendrá un valor de 15 puntos el cual dará un total de los 100 puntos cumplidosEntregables.: Informe de excel remitido por correo electrónico a presidencia en el siguiente mes, donde se evidencia la entidad, el asunto, la fecha del recibido y de la respuesta;</t>
  </si>
  <si>
    <t>Coordinar durante la vigencia 2025 con la asistente de presidencia el 100% de los desplazamientos del presidente para su asistencia a reuniones y puntual cumplimiento de agenda.Indicador o Formula con la que se va a Realizar la Medición.: informesEntregables.: informe trimestral;donde se evidencia el cumplimiento de los desplazamientos del presidente de acuerdo con la agenda programada;</t>
  </si>
  <si>
    <t>Enviar a la secretaria de presidencia durante todos los viernes al finalizar la jornada de trabajo y los lunes o día hábil siguiente al fin de semana, antes de iniciar la nueva jornada, foto del kilometraje del vehículo, fecha y hora, con el fin de garantizar que el vehículo de la entidad no tiene movimientos no autorizados durante el fin de semana.;Indicador o Formula con la que se va a Realizar la Medición.: Planilla registro fotográfico, Planillas diligenciadas dentro de los 5 días siguientes al terminar el mes,;le dará un peso de 8 puntos de enero a noviembre y en el mes de diciembre tendrá un peso de 12 puntos.Entregables.: Planilla con el registro mensual del rodamiento del vehículo, registro fotográfico. En los casos que el presidente requiera desplazamiento en fines de semana, se realizará la anotación en la planilla.</t>
  </si>
  <si>
    <t>Diligenciar durante segundo semestre de 2025 de forma mensual las inspecciones al vehículo que le permitan garantizar a la entidad que el automotor se encuentra al día con todos los requisitos para su movilidad, (luces, frenos, extintor, botiquín, entre otros).Indicador o Formula con la que se va a Realizar la Medición.: Planilla diligenciada y entregada a la Subdirección de servicios administrativos.;Entregables.: 1, Entregar a la subdirección de servicios administrativos la planilla mensual de control de vehículos para control del kilometraje, durante los primeros cinco días del mes siguiente debidamente diligenciada.;Peso 70% - 2, Entrega del reporte de mantenimiento a la subdirectora de servicios administrativos, dentro de los siguientes 5 días después de realizado el mantenimiento. Peso 30%;</t>
  </si>
  <si>
    <t>Realizar durante el 2025 el mantenimiento obligatorio al vehículo de presidencia cada 5.000, kilómetros o de acuerdo con las especificaciones técnicas del vehículo con el fin de mantener en perfectas condiciones su funcionamiento, limpieza y presentación; Indicador o Formula con la que se va a Realizar la Medición.: Correo electrónico y planillas mensualesEntregables;1, Correo electrónico dirigido a la subdirectora de servicios administrativos con la información de los próximos mantenimientos a realizar. Peso 30% si al envió del correo la fecha del mantenimiento del vehículo se ha cumplido y no se ha realizado su calificación cera cero.</t>
  </si>
  <si>
    <t>Elaborar el estudio de factibilidad y viabilidad de contar con un Centro de Experiencia propio, el cual contiene las siguientes fases y entregables:1. Diagnóstico del Centro de Experiencia actual y variables a considerar en el estudio de factibilidad, fecha entrega: 15/05/25. 2. Un informe que contenga las necesidades de la organización, fecha entrega: 01/07/25 3. Estructuración del anexo técnico del Centro de experiencia, fecha entrega: 11/07/25 4. Elaboración de la matriz y análisis de riesgos, fecha entrega: 31/07/25 5. Estudio de Mercado para el Centro de Experiencia, fecha entrega: 15/08/25 Los entregables del 1 al 5 tendrán un peso individual del 15% y los mismos deberán ser cargados en la carpeta P:\Gestion Estratégica, dentro de los tiempos estipulados en la ficha.Nota: Si se presenta retraso en el cargue de los entregables se realizará una penalización del 1% por día de retraso.Entregable final: Número de Acta Comité Directivo en el que se presentó el Informe final de Viabilidad del Centro de Experiencia Propio, presentado a Comité Directivo a más tardar el 15 de septiembre de 2025 La suma de los entregables del 1 al 5 suman 75% y el 6 tiene un peso del 25% lo que equivale al 100% del objetivo.La evidencia se encuentra en la siguiente Ruta: P:\Objetivos\2025\Vicepresidencia Comercial\Luz Patricia Garzon Almanza</t>
  </si>
  <si>
    <r>
      <t>Lograr al 31 de diciembre de 2025 la consolidación del programa de educación económica y financiera "Garantiza tu futuro", a través de un evento de entrega de informe de gestión del programa, y a su vez iniciar el proceso de certificación del programa ante la Superintendencia Financiera, para lo cual</t>
    </r>
    <r>
      <rPr>
        <b/>
        <sz val="9"/>
        <color theme="1"/>
        <rFont val="Arial"/>
        <family val="2"/>
      </rPr>
      <t xml:space="preserve"> la cual</t>
    </r>
    <r>
      <rPr>
        <sz val="9"/>
        <color theme="1"/>
        <rFont val="Arial"/>
        <family val="2"/>
      </rPr>
      <t xml:space="preserve"> se desarrollarán las siguientes actividades:1. Al 31 de diciembre realizar evento de entrega del informe de gestión ante aliados y actores externos. Peso: 50%; 2. Iniciar el proceso de alistamiento de documentos y evidencias que consiste en el cumplimiento del check list definido con la Superintendencia Financiera para la obtención de certificación del programa. Peso: 50% Medición: El objetivo se cumple al 100% con la ejecución de todas las actividades. El resultado final corresponderá a la suma de los porcentajes de cumplimiento de cada actividad ejecutada y debidamente soportada.;Evidencias:;Actividad 1:&amp;nbsp;Documento de informe de gestión e informe del evento que contiene registro fotográfico y publicación en redes del evento;Actividad 2: Soportes de documentos y evidencias requeridas en el check list definido por la Superintendencia Financiera.La evidencia se encuentra en la siguiente Ruta: P:\Objetivos\2025\Vicepresidencia Comercial\Luz Patricia Garzon Almanza</t>
    </r>
  </si>
  <si>
    <t>Ejecutar al 31 de diciembre de 2025 el proyecto de automatización del proceso de vinculación en la Fase I.Medición: El objetivo se cumple al 100% con la ejecución de todas las actividades, siempre y cuando se cuente con la nueva funcionalidad mediante un botón en la página web para vincular nuevos clientes potenciales, el resultado final corresponderá a la suma de los porcentajes de cumplimiento de cada actividad ejecutada y debidamente evidenciada.Entregable 1 - Q2: Al 30 de junio de 2025, Historia de Usuario radicada en la herramienta ARANDA en donde se evidencia el número del caso generado.Entregable 2 - Q3: Al 30 de septiembre de 2025, presentar el informe de actividades ejecutadas que contenga el avance en el desarrollo de la solución, identificación de ajustes y pruebas, si es aplicable. Este informe será presentado por la Dirección de Vinculación en la reunión de seguimiento del proyecto de automatización.Entregable 3 - Q4: Al 31 de diciembre de 2025, presentar el informe de actividades ejecutadas en el cual se incluya la nueva funcionalidad mediante un botón en la página web para vincular nuevos clientes potenciales. Este informe será presentado por la Dirección de Vinculación en la reunión de seguimiento del proyecto de automatización.Los entregables se encontrarán en la siguiente ruta: P:\Objetivos\2025\Dirección de Vinculación, Aseguramiento y Calidad.Indicador: Total de entregables a tiempo / Total de entregables definidos *100 y la solución se encuentre en la página web o el sitio definido técnicamente.;Frecuencia del monitoreo: Marzo a Diciembre de 2025.Los entregables se encontrarán en la siguiente ruta: P:\Objetivos\2025\Vicepresidencia Comercial\Luz Patricia Garzon Almanza</t>
  </si>
  <si>
    <t>Lograr al 31 de diciembre de 2025 la acreditación en experiencia del cliente para el Fondo Nacional de Garantías. El objetivo se cumple al 100% con la ejecución de todas las actividades, el resultado final corresponderá a la suma de los porcentajes de cumplimiento de cada actividad ejecutada y debidamente soportada, las cuales corresponden a las siguientes:Actividad 1: Presentar a más tardar el 30 de abril el plan de preparación para la acreditación aprobado por la vicepresidente comercial, que contemple actividades como la comunicación y sensibilización de las áreas claves del FNG involucradas en este proceso. (Peso: 30%). Entregable: Acta firmada por la Vicepresidente Comercial que contiene el plan de preparación detallado, incluyendo cronograma, responsables y actividades de sensibilización.Actividad 2: Realizar a más tardar al 30 de julio el proceso de contratación para formalizar el acuerdo con la entidad prestadora del servicio y garantizar las condiciones administrativas y operativas necesarias para la ejecución del proyecto. (Peso: 30%). Entregable: Minuta contrato firmada por las partes.Actividad 3:A más tardar el 30 de septiembre obtener el informe con el resultado de la acreditación y asegurar la entrega de los resultados por parte del proveedor y que el Roadmap propuesto sea viable y alineado con los objetivos estratégicos del FNG (Peso: 40%) Entregable: Informe con el resultado de la acreditación.Los entregables se encontrarán en la siguiente ruta:P:\Objetivos\2025\Vicepresidencia Comercial\Luz Patricia Garzon Almanza</t>
  </si>
  <si>
    <t xml:space="preserve">Realizar a 30 de noviembre de 2025, una herramienta ofimática que permita realizar el arqueo mensual sobre el portafolio de inversiones validando las condiciones faciales de los títulos valores en cada uno de los custodios Deceval – DCV y Dialogo con el fin de automatizar el proceso manual a cierre de mes.
CRITERIO DE MEDICION;Cumple o no cumple
ENTREGABLES / EVIDENCIA: Entrega de la herramienta ofimática a través de un correo electrónico a la Presidencia,informando la ruta en la cual queda:;
•	 La herramienta en funcionamiento Peso 50%
•	 Pruebas integrales Peso 30%                 
•	 Actualización de la documentación y publicación en Isolucion al 30 de septiembre de 2025   Peso 20%                       
</t>
  </si>
  <si>
    <t>A 31/08/25 realizar y certificar pruebas integrales de los servicios expuestos en el canal digital (Apertura de Cupo, Reserva, Registro Garantía Tradicional, Registro Garantía Global, Cancelación de Reservas, Modificación Cupos) una vez configurados en la plataforma Integration Suite, por parte de la VP de TD e innovación CRITERIOS DE MEDICIÓNEl objetivo será medible;así:Pruebas integrales a satisfacción: 100% - Cumple / no cumple   ENTREGABLES / EVIDENCIA La evidencia de cumplimiento será el correo electrónico enviado a la Presidencia y/o Vp de TD e Innovación en el que se certifiquen las pruebas integrales realizadas.</t>
  </si>
  <si>
    <t>Antes del 31/12/25 elaborar historia de usuario para el rediseño del proceso de liquidación y cobro de comisiones de productos de garantía del esquema tradicional  CRITERIOS DE MEDICIÓN El objetivo será medible;así:Elaborar y radicar el formato: Solicitud de Requerimientos o Evolutivos de Aplicaciones;: 5% - Cumple / no cumple
Realizar mesas de trabajo con la Subdirección de Aplicaciones SAP para definir la historia de usuario: 25% - Cumple / no cumple Elaborar y radicar historia de usuario: 70% - Cumple / no cumple ENTREGABLES / EVIDENCIA Correo de remisión de la solicitud a la Subdirección de Aplicaciones SAP y/o Vp de TD e Innovación;/ Caso radicado en Aranda con la historia de usuario.</t>
  </si>
  <si>
    <t>A 31/12/25 realizar y certificar pruebas integrales de la modularización;de objetos críticos en los desarrollos asociados a los procesos de reserva, registro, apertura de cupo, liquidación de comisiones, actualización de saldos, reclamación de garantías, devolución de comisiones y reporte general de garantías -ZSD028E- CRITERIOS DE MEDICIÓNEl objetivo será medible;así:Pruebas integrales a satisfacción: 100% - Cumple / no cumple  ENTREGABLES / EVIDENCIALa evidencia de cumplimiento será el correo electrónico enviado a Presidencia y/o Vp de TD e Innovación en el que se certifiquen las pruebas integrales realizadas.</t>
  </si>
  <si>
    <t>Para este objetivo se definen 3 subentregables cada uno con un peso relativo para completar el 100% así:
1 Subentregable peso del 30%  A 30 de septiembre de 2025, generar o actualizar los 20 documentos asociados a la administración del esquema de garantía global (manual, procedimientos, instructivos, formatos), conforme al inventario y cronograma establecidos para tal fin.  CRITERIO DE MEDICIÓNEl objetivo será evaluado en forma proporcional al número de documentos actualizados, siendo necesario un cumplimiento mínimo del 90%. Un cumplimiento inferior al 90%, es decir, 89,99% o menos, será calificado con 0 puntos.  FÓRMULA DE CÁLCULO (Número de documentos actualizados / 20) * 100  ENTREGABLES / EVIDENCIA Documentos actualizados y aprobados en el aplicativo ISOlución o el aplicativo vigente  a la fecha de cargue.
2 Subentregable peso del 35% A 31/12/25 realizar pruebas integrales satisfactorias y solicitar el paso a PRD de los evolutivos pendientes del producto de Garantía Global -Individual en los procesos de apertura, novedades, liquidación de comisiones y del producto de Garantía Global - Cupos, según historia de usuario No. 18180.  CRITERIOS DE MEDICIÓN El objetivo será medible así: Alcance a la historia de usurario:  10% - Cumple/ no cumple Pruebas integrales a satisfacción y solicitud de paso a Productivo:  60% - Cumple / no cumple Modificación y/o ajustes al reglamento de garantías de GG:  30% - Cumple / no cumple  ENTREGABLES / EVIDENCIA La evidencia de cumplimiento será el correo de solicitud de paso a PRD enviado a  presidencia y/o Vp de TD e Innovación y la modificación y/o ajustes al reglamento de garantías de Garantía Global V1
3 Subentregable peso del 35% A 31/12/25 realizar pruebas integrales satisfactorias y solicitar el paso a PRD de los evolutivos del proceso de Reclamación de Garantías y los desarrollos relacionados con la creación y contabilización del nuevo producto de cartera en el módulo CML PGG, según historia de usuario No. 19247.  CRITERIOS DE MEDICIÓN El objetivo será medible así: Pruebas integrales a satisfacción y solicitud de paso a PRD: 100% - Cumple / no cumple  ENTREGABLES / EVIDENCIA La evidencia de cumplimiento será el correo de solicitud enviado a Presidencia y/o Vp de TD e Innovación de solicitud de paso a PRD</t>
  </si>
  <si>
    <t>Realizar y presentar las calibraciones para la metodología de estimación de pérdidas y reservas de la línea empresarial, en un plazo máximo a 30 de noviembre de 2025. Esté objetivo se alinea con el PEI, con el objetivo estratégico "3. Fortalecer la gestión y administración integral del riesgo para generar un adecuado ambiente de control" y con el PAI con el indicador de Cobertura de reservas.
Entregable 1: Realizar y presentar la estimación de los nuevos puntos de Default para las metodología de estimación de pérdidas y reservas de la línea empresarial ante el Comité SIAR, en un plazo máximo a 31 de Agosto de 2025.Evidencia: Presentación de resultados al Comité SIARPorcentaje: 
Entregable 2: Realizar y presentar la estimación de los limites de suficiencia por asimilable y global para la línea empresarial ante el Comité de SIAR, en un plazo máximo a 31 de Agosto de 2025.Evidencia: Presentación de resultados al Comité SIAR Porcentaje: 10%
Entregable 3: Realizar la calibración de los modelos prospectivos para la línea empresarial. Se debe presentar en el Comité de SIAR, en un plazo máximo a 30 de Septiembre de 2025. Evidencia: Presentación de resultados al Comité SIAR Porcentaje: 15% 
Entregable 4: Desarrollar una propuesta para la proyección de Siniestros. La propuesta deberá ser socializada a mas tardar el 30 de septiembre de 2025, la propuesta deberá ser discutida en el Comité SIAR. Evidencia: Presentación de la propuesta al Comité SIAR Porcentaje: 10% 
Entregable 5: Incluir en el proceso de Calibración del componente prospectivo variables extranjeras relevantes. Estas variables deberán ser incluidas en la base de variables Macroeconómicas y deberán ser consideradas en el proceso de Calibración semestral, en un plazo máximo a 30 de Noviembre de 2025. Evidencia: Base actualizada de variables Macroeconómicas Porcentaje: 10% 
Entregable 6: Desarrollar una propuesta para la proyección de Coberturas de Reservas. La propuesta deberá ser socializada a mas tardar el 30 de noviembre de 2025, la propuesta deberá ser discutida en el Comité SIAR.Porcentaje: 10% Entregable 7: Presentación de la propuesta recogiendo todos los cambios a la JD en Noviembre de 2025. Porcentaje: 35%
Medición: Suma de porcentaje de cumplimiento de los entregables.</t>
  </si>
  <si>
    <t>A 31 de diciembre de 2025 dar cumplimiento al plan de trabajo establecido para el diseño de la herramienta interna para la gestión de SARO y presentar el primer tablero.Este objetivo se vincula al objetivo estratégico número 5 "Promover el mejoramiento continuo a través del Sistema de Gestión Integral del FNG", vinculado a la estrategia 5.2. "Búsqueda de mejores prácticas de gestión y cumplimiento normativo" a través de la apuesta estratégica 2025: Fortalecimiento de los componentes asociados a los controles de la matriz de riesgos y controles de la Entidad.
Entregable 1: Acta de la reunión de la URO correspondiente al mes de junio de 2025 donde se presenta el plan de trabajo y el avance a la fecha. Peso 25%&amp;  Entregable 2: Actas mensuales (julio, agosto y septiembre de 2025) de la reunión de la URO donde se presenta el cumplimiento de las actividades planeadas para el mes correspondiente. Peso 25% 
Entregable 3: Actas mensuales (octubre, noviembre y diciembre) de la reunión de la URO donde se presenta el cumplimiento de las actividades planeadas para el mes correspondiente. Peso: 25% 
Entregable 4: Primera versión del tablero con semáforo de criticidad presentado a Q4 en comité SIAR. Peso: 25% Medición: # de actividades ejecutadas para el periodo evaluado / # de actividades planeadas para el periodo evaluado</t>
  </si>
  <si>
    <t>Actualizar y presentar ante la Junta Directiva, a mas tardar el 30 de Junio de 2025, los cálculos de la metodología para la estimación de tarifas a nivel deudor para el producto Multipropósito que permita cuantificar el valor de la tarifa cobrada y que incorpore el score crediticio de las centrales de información. Esté objetivo se alinea con el objetivo estratégico "1. Promover la generación de créditos garantizados y reducir las barreras de acceso a la inclusión financiera, impactando favorablemente el tejido social y productivo del país" del PAI con la estrategia 1.1 Fortalecimiento del portafolio de productos y servicios del FNG, bajo la apuesta Mejorar el esquema de tarifación.
Entregable 1: Actualizar y presentar ante el comité SIAR, a mas tardar el 30 de Junio de 2025, los cálculos de la metodología para la estimación de tarifas a nivel deudor para el producto Multipropósito que permita cuantificar el valor de la tarifa cobrada y que incorpore el score crediticio de las centrales de información. Evidencia: Presentación de la propuesta a la Junta Directiva
Porcentaje: 100%Medición: Suma de porcentaje de cumplimiento de los entregables</t>
  </si>
  <si>
    <t>Diseñar y presentar al Comité de Riesgos de Junta Directiva, antes del 31 de diciembre de 2025, un modelo actualizado del Valor Máximo Discrecional (VMD) empresarial para intermediarios vigilados por la Superintendencia Financiera de Colombia, que incluya un componente prospectivo basado en variables macroeconómicas y tendencias sectoriales, con el fin de fortalecer la evaluación del Indicador Financiero (IF). Este objetivo se vincula con el PEI en el Objetivo Estratégico 3: Fortalecer la gestión y administración integral del riesgo para generar un adecuado ambiente de control, y a su vez, contribuir a la estrategia 3.1: Consolidar la gestión integral de Riesgos en cuanto a la apuesta estratégica " Aplicación de modelos prospectivos transversales a los sistemas de riesgos". 
Entregable: Presentación de la propuesta al comité de Riesgo de Junta Directiva a más tardar en Q4.
Evidencia: Presentación de la propuesta al Comité SIAR. Peso: 100%.Medición: 100% si cumple. 0% si no se cumple.</t>
  </si>
  <si>
    <t>Proponer durante el 2025 alternativas de modificación del límite de inversiones clasificadas hasta el vencimiento y ajustar las políticas y procedimientos para el seguimiento del cumplimiento de los límites.Q3. Presentar ante Comité SIAR el análisis para modificar el Límite de Clasificación de Inversiones Hasta el Vencimiento que contenga la propuesta de ajuste de limites y condiciones operativas para el seguimiento de los limites. Q3. Documentar la propuesta del proceso operativo para el seguimiento de los límites de clasificación del portafolio a partir de las líneas de defensa del control de riesgos.
De acuerdo con el PAI 2025, este proyecto se vincula al objetivo estratégico 2. Asegurar la sostenibilidad financiera del FNG que contribuya con el crecimiento de la operación, específicamente en el subnumeral 2.1. Optimización Financiera (Optimización del Portafolio de Inversiones) 
Entregable 1: Acta Comité SIAR y presentación ante la JD de la propuesta de modificación del límite de clasificación de Inversiones a Q3.Porcentaje: 70% Entregable 2: Publicación en Isolución del Procedimiento operativo para el control del seguimiento de los limites de riesgo a Q3.Porcentaje: 30%
Medición: # de actividades ejecutadas para el periodo evaluado / # de actividades planeadas para el periodo evaluado</t>
  </si>
  <si>
    <t>Gestionar durante el 2025 los desarrollos y/o configuraciones de los sistemas de información que soporten la gestión de nuevos productos y servicios, como: Factoring Q2- Gran empresa Q3- Unificación de Anexos 14 y 21 Q4- Garantía Global Q4 
Indicador o Formula con la que se va a Realizar la Medición:
Cumplimiento Q2 (30%) Desarrollo de Factoring
Cumplimiento Q3 (30%) Desarrollo Gran empresa
Cumplimiento Q4 (40%) Desarrollo Unificación de Anexos 14 y 21 y Garantía Global
Entregables:RFC aprobado en Comité de Cambios de cada uno de los desarrollos en el trimestre correspondiente.</t>
  </si>
  <si>
    <t>Contribuir durante el 2025 a la automatización y digitalización de tres procesos institucionales mediante el diseño, desarrollo e implementación de aplicaciones, utilizando las herramientas tecnológicas definidas por la entidad. Los procesos priorizados para automatizar y digitalizar son:
- Automatización del cruce de listas restrictivas para optimizar el proceso de gestión de Sarlaft. Q2-Q4
- Automatización de la consolidación de las bases de información de Reservas del FNG, para el análisis de las cifras insumo para la elaboración de la provisión de renta del FNG.Q2-Q4
- Digitalización y automatización de información de potenciales clientes en el marco de el proceso de generación de demanda. Q2-Q4
Las automatizaciones dependerán de los requerimientos funcionales definidos y aprobados en las historias de usuario
Indicador o Formula con la que se va a Realizar la Medición:(# automatizaciones finalizadas / Total automatizaciones planificadas 2025) * 100
Total automatizaciones planificadas 2025 = 3
Entregables:
Q2- Documento de diseño técnico y estimación de las automatizaciones para cruce en Listas Restrictivas remitido a la Oficina de Cumplimiento.- Documento de diseño técnico y estimación de la Automatización de información de Reservas remitido al Departamento Financiero.- Aprobación de pruebas integrales por parte de la Vicepresidencia Comercial / Dirección de Microfinanzas y RFC aprobado en Comité de Cambios para la puesta en producción de digitalización y automatización de información de potenciales clientes del proceso de generación de demanda.
Q3- Despliegue (orden de transporte) de la solución en QA para pruebas integrales para cruce en Listas Restrictivas.- Aprobación de Pruebas integrales para digitalización y Automatización de información de Reservas por parte de la Vicepresidencia Comercial / Dirección de Microfinanzas.
Q4- RFC aprobado en Comité de Cambios para la puesta en producción de cruce en Listas Restrictivas- Documento RFC de la Automatización de información de Reservas presentado y aprobado en Comité de Cambios</t>
  </si>
  <si>
    <t>Desarrollar durante el 2025 el menos una iniciativa para el fortalecimiento de las capacidades de innovación en el FNG a nivel organizacional y/o como aporte a la digitalización de procesos que generen valor para el negocio. Las potenciales iniciativas para desarrollar son:- Innovalab- Agente AI- Onboarding digital de clientes- Innospark 2.0Indicador o Formula con la que se va a Realizar la Medición:1 iniciativa desarrollada: 100%Entregables:Q2Informe de avance (número de iniciativas completadas hasta la fecha).Q3Informe de avance intermedio (número de iniciativas en fase final).Q4Informe de finalización de iniciativas de innovación 2025.</t>
  </si>
  <si>
    <t>Lograr durante el 2025 un 100% de cumplimiento en la ejecución y finalización de los proyectos estratégicos de tecnologías de la información que han sido ejecutados y finalizados según la hoja de ruta del Plan Estratégico de Tecnologías de la Información (PETI) del FNG programados para el año 2025, de acuerdo con el alcance, cronogramas y resultados esperados.
Indicador o Formula con la que se va a Realizar la Medición:(# Proyectos finalizados / Total proyectos programados para finalizar en el 2025) * 100
Total proyectos programados 2025 = 9
Entregables:
Q2• Informe de avance (número de proyectos completados hasta la fecha).
Q3• Informe de avance intermedio (número de proyectos en fase final).
Q4• Informe de finalización de todos los proyectos del PETI 2025.</t>
  </si>
  <si>
    <t>Continuar durante el 2025 con el proceso de modernización de la infraestructura tecnológica y de equipos de comunicaciones para soportar procesos de negocio como son la gestión de inversiones en la mesa de dinero, y la gestión administrativa mediante la dotación de nuevos recursos tecnológicos en ambientes de trabajo en el FNG. Incluye las pruebas de concepto, adquisiciones e instalaciones de:- Pruebas de concepto y/o implementación de Torretas en la mesa de dinero. (según valoración del área Financiera) Q3-Q4
- Instalación de equipos de videoconferencia en las salas de las Vicepresidencias. Q2-Q3
-Dotación de equipos especializados para diseño e impresión y monitores para puestos de trabajo. Q2-Q4
Indicador o Formula con la que se va a Realizar la Medición:(# de actividades ejecutadas / # total de actividades planeadas por ejecutar al 31/12/2025) * 100
Total actividades planificadas 2025 = 10
Entregables:Q2- Contrato los equipos de video- Contrato de equipo de diseño- Contrato compra de monitores
Q3- Informe de Instalación los equipos de video- Acta de recibo de equipo de diseño- Contrato de compra de impresora
Q4- Informe de POC de acuerdo con lo evaluado por la Vicepresidencia Financiera o Compra e Instalación torretas a cargo de la Vicepresidencia de TD e Innovación 
Q4- Informe de POC o Instalación torretas- Acta de entrega de impresora- Acta de recibo de monitores.</t>
  </si>
  <si>
    <t>Fortalecer durante el 2025 la capacidad de respuesta y atención en Ciberseguridad del FNG, mediante la implementación de las siguientes soluciones:1.Protección de Marca: Implementación de herramientas para la detección y mitigación de suplantaciones de identidad, fraudes digitales y usos indebidos de la imagen institucional en canales externos.2. Advance Report (GoAnywhere): Integración de una solución avanzada para la gestión segura de transferencias de archivos, con trazabilidad, control de accesos y generación de reportes automatizados.3. Control de Acceso a la Red (NAC): Despliegue de una solución de Network Access Control que permita identificar, autenticar y autorizar dispositivos conectados a la red del FNG, garantizando un entorno más seguro y controlado.
Indicador o Formula con la que se va a Realizar la Medición:(# de actividades ejecutadas / # total de actividades planeadas por ejecutar al 31/12/2025) * 100Total actividades planificadas 2025 = 6
Entregables:
1. Documento contractual (Contrato Protección de Marca) Q2
2. Informe de implementación (Protección de Marca) Q3
3. Documento contractual (GoAnyWhere) Q3
4. Informe de implementación módulo Advance Report (GoAnyWhere) Q2
5. Documento contractual (Contrato NAC) Q3
6. Informe de implementación (NAC) Q4</t>
  </si>
  <si>
    <t>Al 30 de noviembre de 2025, garantizar la operatividad y paso a producción en el aplicativo de inversiones Dialogo, de tal forma que se puedan registrar en el sistema operaciones del mercado monetario "Simultaneas Activas", para el portafolio del FNG.CRITERIO DE MEDICION: Cumple o no cumpleENTREGABLES / EVIDENCIA: Entrega a través de un correo electrónico a Presidencia informando la ruta en la cual queda:
•	 Pruebas exitosas y configuraciones realizadas en el aplicativo de inversiones Dialogo Peso 70%
• 	Actualización de la documentación y publicación en Isolucion al 30 de septiembre de 2025.;Peso 30%
Las evidencias se guardarán en la carpeta de público designada para tal fin.</t>
  </si>
  <si>
    <t>Administrar y custodiar durante el 2025 el 100% de los consecutivos de resoluciones y circulares tanto internas como externas, así como las normativas e informativas que se expidan al interior de la entidad y trasladar a gestión documental para su respectiva disposición;
Indicador o Formula con la que se va a Realizar la Medición.: Entrega de resoluciones del primer semestre 2025 a la subdirección de servicios administrativos a más tardar el 30 de julio de 2025,Evidencia: archivo cargado en mercurio y correo electrónico de la Subdirección de servicios administrativos.Peso 40%Q3: 
Entrega de resoluciones del tercer trimestre 2025 a la subdirección de servicios administrativos a más tardar el 15 de octubre de 2025Evidencia: archivo cargado en mercurio y correo electrónico de la Subdirección de servicios administrativos.Peso 30%Q4: 
Entrega de resoluciones del cuarto trimestre 2025 a la subdirección de servicios administrativos a más tardar el 20 de enero de 2026Evidencia: archivo cargado en mercurio y correo electrónico de la Subdirección de servicios administrativos.Peso 30%;
Entregables.archivos de las circulares y resoluciones</t>
  </si>
  <si>
    <t>Lograr a 31-12-2025 la puesta en producción y apropiación por parte de las áreas correspondientes de los módulos ISOTOOLs, asegurando el cumplimiento y entrega del 100% de los modulos planificados, de la siguiente manera:
Módulo de Gestión Documental: peso 20% - Entrega en Q3
Módulo de Indicadores: peso 20% - Entrega en Q3
Módulo de Auditoría: peso 20% - Entrega en Q4
Módulo de Mejora Continua: peso 20% - Entrega en Q4
Módulo de Proyectos: peso 20% - Entrega en Q4
Indicador o Formula con la que se va a Realizar la Medición.Su evaluación será proporcional a la suma de los porcentajes relacionados a cada entregable completado a satisfacción
Entregables:Acta de recibido a satisfacción de cada uno de los módulos ISOTOOLS para entrega del Q3 y del Q4 respectivamente.</t>
  </si>
  <si>
    <t>Definir, implementar y ejecutar durante el 2025 el plan de comunicaciones estratégicas que contribuyan a reforzar el posicionamiento del FNG, el cual debe incluir:
- Plan de relacionamiento con medios
- Plan de pauta en medios
Indicador o Formula con la que se va a Realizar la Medición.
Q2 (50%): plan de comunicaciones estratégicas aprobado que incluya plan de relacionamiento con medios y;plan de pauta en medios
Q4 (50%): informe de la implementación y ejecución del plan
Entregables:
Q2: Plan de comunicaciones estrategias aprobado
Q4: Informe de avance de ejecución del Plan de pautas en medios aprobado</t>
  </si>
  <si>
    <t>Proponer a más tardar el 31 de agosto de 2025 alternativas de estructura de inversiones al vencimiento por duración, flujos contractuales de liquidez y desviación vs mercado .
Indicador: Informe de evaluación de alternativas de estructura de inversiones al vencimiento por duración, flujos contractuales de liquidez y desviación vs mercado en alineación con la Vicepresidencia de Riesgos presentado en el Comité SIAR.
Hasta el 31 de Agosto de 2025 Peso 100%
Entregable:Presentar en el Comité SIAR al 31 de agosto y acta de la sesión. Peso 100%
Ubicación:P:\Objetivos\2025\Vicepresidencia Financiera\Luis Enrique Ramirez Montoya(Este indicador corresponde al PAI - Objetivo Estratégico 2. Asegurar la sostenibilidad financiera del FNG que contribuya con el crecimiento de la operación: Optimización del Portafolio de Inversiones)</t>
  </si>
  <si>
    <t>Desarrollar durante el año 2025 la actualización de la evaluación del perfil de riesgo LA/FT/PADM de acuerdo con la metodología relacionada en el Manual de Prevención y Control LAFT/FPADM:
1. Documentación del resultado de la aplicación metodológica para la actualización del perfil de riesgos LA/FT/FPADM. Entregable Informe con el resultado de la aplicación metodológica para la actualización del perfil de riesgos LA/FT/FPADM, fecha límite 31 de diciembre de 2025. Peso 70%
2. Socializar con las áreas focalizadas de interés de la matriz LA/FT/FPADM resultado de la actualización del perfil de riesgos, consolidar las observaciones y ajustar el documento de ser pertinente. El entregable será el soporte de socialización a las áreas identificadas, el cual se debe remitir antes del 31 de diciembre de 2025. Peso: 30%
Indicador o Formula con la que se va a Realizar la Medición.Cumplimiento de acuerdo al peso de cada entregable.
Entregables
1. Aplicación del análisis de contexto de la organización para la actualización del perfil de riesgos LA/FT/FPADM. Entregable: Informe preliminar de contexto con fecha límite 15 de septiembre de 2025. Peso 20%
2. Actualización de las variables de medición inherente para el perfil de riesgo LA/FT/FPADM de la Entidad. Entregable: Informe preliminar de medición inherente de perfil de riesgo con fecha límite 31 de octubre de 2025. Peso 15%
3. Actualización de los controles y variables de medición residual para el perfil de riesgo LA/FT/PADM de la Entidad. Entregable: Informe preliminar de medición residual de perfil de riesgo con fecha límite 15 de noviembre de 2025. Peso 15%
4. Análisis comparativo de perfil de riesgo inherente y residual de la Entidad y resultado de la aplicación metodológica para la actualización del perfil de riesgos LA/FT/FPADM. Entregable: Informe con el resultado de la aplicación metodológica para la actualización del perfil de riesgos LA/FT/FPADM, fecha límite 31 de diciembre de 2025. Peso 20%
5. Socializar con las áreas focalizadas de interés de la matriz LA/FT/FPADM resultado de la actualización del perfil de riesgos, consolidar las observaciones y ajustar el documento de ser pertinente. El entregable será el soporte de envío o socialización a las áreas identificadas, el cual se debe remitir antes del 31 de diciembre de 2025. Peso: 30%</t>
  </si>
  <si>
    <t>Diseñar durante el 2025 la primera versión de la estrategia de sostenibilidad del FNG, con apoyo externo especializado, que contenga el análisis de materialidad.
Indicador o Formula con la que se va a Realizar la Medición.Q1: 15% Q3: 35% Q4: 50%Entregables
Entregable 1: Extracto del Acta del Comité de Gobierno Corporativo de enero de 2025. 15%
Entregable 2: Análisis de materialidad aprobado. 35%Entregable 
3: Documento de la estrategia presentado a la alta gerencia. 50%</t>
  </si>
  <si>
    <t>Ejecutar durante el 2025 las actividades descritas en el Plan de Carrera y Sucesión
Indicador o Formula con la que se va a Realizar la Medición.La medición será la sumatoria total de los porcentajes establecidos para cada entregable.
De no cumplir con un entregable su calificación será cero en ese entregable
Entregables
Q3: Peso: 70%
1. Peso 30%: Lanzamiento del Plan Carrera y Sucesión para los colaboradores en cargos críticos y plan de sucesión del FNG.Entregable: lista de asistencia.
2. Peso 30%: Aplicación de las pruebas psicotécnicas y Aplicación de la Ficha Técnica - Plan de CarreraEntregable: resultados de las pruebas y fichas técnicas
3. Peso 30%:Actualización Modelo de CompetenciasEntregable: Modelo de Competencias actualizado publicado en Isolucion
4. Peso 10%:Socialización y Assessment de las pruebas psicotécnicas y plan de trabajoEntregable: Citación por teams y correo electrónico con el envio de los resultados de la prueba psicotécnica
Q4: Peso: 30%
1. Peso 70%: Aplicación de encuesta a todos los colaboradores en plan de carrera y sucesión para medir la satisfacción del plan.Entregable: Informe de resultados de la encuesta. Se entregará durante los primeros 15 días del mes de enero de 2026.
2. Peso 30%: informe avances Plan de Carrera y Sucesión. Entregable: Correo electrónico dirigido al Vicepresidente Ejecutivo con el informe de los avances del plan de carrera y sucesión con corte al 30 de diciembre. Se entregara los primeros días del mes de enero de 2026.</t>
  </si>
  <si>
    <t>Implementar a 30 de noviembre de 2025 en el aplicativo (Dialogo Producción) las simultáneas activas como una alternativa adicional para la gestión de liquidez del Portafolio de Inversiones del FNG
.Indicador:*Informe entregado en tiempo 
Entregables:Entrega a través de un correo electrónico a Presidencia informando la ruta en la cual queda:
• Pruebas exitosas y configuraciones realizadas en el aplicativo de inversiones Dialogo Peso 100%Ubicación:P:\Objetivos\2025\Vicepresidencia Financiera\Luis Enrique Ramirez Montoya(Este indicador corresponde al PAI - Objetivo Estratégico 2. Asegurar la sostenibilidad financiera del FNG que contribuya con el crecimiento de la operación: Operación de mercado monetario)</t>
  </si>
  <si>
    <t>Implementar en el 2025 un dashboard en Power BI que permita visualizar información actualizada del área de inversiones, con el fin de facilitar la generación de reportes y el análisis eficiente de los datos para la toma de decisiones estratégicas.
Indicador:Dos informes entregados al Presidente en términoEntregables:
*Módelo del diseño Power BI a implementar.Informe al Presidente por correo electrónicoHasta 15 de agosto de 2025 50%
*Presentación Power BI del Comite Financiero de Junta DirectivaInforme al Presidente por correo electrónicoHasta el 10 de Noviembre de 2025 50%
Ubicación:P:\Objetivos\2025\Vicepresidencia Financiera\Luis Enrique Ramirez Montoya</t>
  </si>
  <si>
    <t>Diagnosticar y actualizar a más tardar el 30 de septiembre el modelo para proyección del presupuesto del año siguiente.
Indicador:* Presentación al Presidente de Propuesta del modelo del presupuesto financiero
*Presentación al Presidente con la versión Final del modelo del presupuesto financiero
Entregables:* Presentación al Presidente de la propuesta del modelo del presupuesto financieroHasta el 31 de agosto 2025 50%
* Presentación al Presidente con la versión Final del modelo del presupuesto financiero Hasta el 30 de septiembre de 2025 (Balance, Estados de resultados y Flujo de caja, Solvencia) 50%
Evidencias:P:\Objetivos\2025\Vicepresidencia Financiera\Luis Enrique Ramirez Montoya. 
Este indicador, (PAI - Objetivo Estratégico2. Asegurar la sostenibilidad financiera del FNG que contribuya con el crecimiento de la operación: Fortalecimiento de modelo de proyección y planeación financiera)</t>
  </si>
  <si>
    <t>Descripción: Realizar a partir del mes de Julio mínimo 95 auditorías mensuales a las respuestas generadas desde la Dirección de Soluciones y Soporte Comercial.Auditorías mensuales: Si se realizan 5 auditorías menos de la meta establecida, el resultado mensual será: 100%.Si se realizan 10 auditorías menos de la meta establecida, el resultado mensual será: 85%.Si se realizan 15 auditorías menos de la meta establecida, el resultado mensual será: 75%.Si se realizan 20 auditorías menos de la meta establecida, el resultado mensual será: 0% ;Nota: En caso de presentarse novedades como vacaciones o calamidades durante un mes específico, la cantidad de auditorías a realizar será ajustada de manera proporcional a los días efectivamente laborados. Esto significa que el número total de auditorías esperadas se recalculará considerando únicamente los días hábiles del mes en cuestión, manteniendo la equidad en la medición del cumplimientoFrecuencia del monitoreo: MensualIndicador o formula con la que se va a realizar la medición: En diciembre 2025 se tomará el promedio desde julio hasta diciembre para obtener el resultado definitivo.Fecha inicio-fin dd/mm/aa: 01-07-25 al 31-12-25Entregables: Informe mensual de calidad a partir del mes de julio entregado y aprobado a la directora del área mediante correo electrónico dentro de los diez (10) días hábiles siguientes a la terminación del mes (mes vencido). Ruta: P:\Objetivos\2025\Dirección de Soluciones y Soporte Comercial\Johanna Carolina Puentes Ramirez</t>
  </si>
  <si>
    <t>Descripción: Resolver oportunamente el 100% de los casos de PQRS atendidos en el 2025 en la entidad, de conformidad con los plazos legales.Frecuencia del monitoreo:Anual Indicador o formula con la que se va a realizar la medición: La Tabla equivalente respecto al resultado anual del indicador de nivel de oportunidad en las respuestas a PQRS.Mínimo el 98% donde menos de 98% obtendrá un puntaje de 0. Se medirá de acuerdo a la tabla equitativa: Donde al sacar un puntaje del 98% el puntaje será 98% y así hasta llegar a 100%.Nota: el resultado del año, se obtiene sobre el promedio de los meses medidos en Isolucion en 2025.Fecha inicio-fin dd/mm/aa:01-01-2025 / 31-12-2025Entregables: Reporte de indicador "Nivel de oportunidad en las respuestas a PQRS" mensual en Isolución.Nota: el resultado del año se obtiene sobre el promedio de los meses medidos en Isolucion en 2025.</t>
  </si>
  <si>
    <t>Descripción: Recuperar la información de los 708 casos sin información en CRM, gestionados entre al año 2020 y el 2024. Frecuencia del monitoreo:Mensual Indicador o formula con la que se va a realizar la medición:  Formula de medición = (casos recuperados validados) /(Casos totales) x100  Entre el 90% y el 100% de los casos recuperados, la calificación será del 100%  Inferior al 90% de los casos recuperados, la calificación será del el % obtenido  Inferior al 80% de los casos recuperados, la calificación será 0. Fecha inicio-fin dd/mm/aa:2/05/2025 al 30/08/2025 Entregables: Primer entregable: 10 días hábiles siguientes al cierre del mes de junio, reunión de socialización y presentación de avance de casos recuperados   Segundo entregable:&amp;nbsp;10 días hábiles siguientes al cierre del mes de julio, reunión de socialización y presentación de avance de casos recuperados  Tercer entregable:0 días hábiles siguientes al cierre del mes de agosto, reunión de socialización y presentación del total de casos recuperados</t>
  </si>
  <si>
    <t>Descripción: Evaluación de Capacitación y Conocimiento.Frecuencia del monitoreo:Bimestral.Indicador o formula con la que se va a realizar la medición: Promedio de la evaluación bimestral de conocimiento en donde: Entre 90% y 100% de calificación equivale a 100 puntos.  Entre el 70% y 89% se tomará como resultado el valor de la nota obtenida para el promedio.  En caso de ser inferior al 70%, de la calificación será 0.Fecha inicio-fin dd/mm/aa:1/05/2025 al 31/12/2025.Entregables: Primer entregable: Soporte de resultado de la evaluación enviado por correo electrónico los 10 primeros días hábiles a cierre del mes de junio a la directora y/o subdirectora del área de soluciones y soporte.  Segundo entregable: Soporte de resultado de la evaluación enviado por correo electrónico los 10 primeros días hábiles a cierre del mes&amp;nbsp;de agosto a la directora&amp;nbsp;y/o subdirectora del área de soluciones y soporte.  Tercer entregable: Soporte de resultado de la evaluación enviado por correo electrónico los 10 primeros días hábiles a cierre del mes&amp;nbsp;de octubre a la directora y/o subdirectora del área de soluciones y soporte.  Cuarto entregable: Soporte de resultado de la evaluación enviado por correo electrónico los 10 primeros días hábiles a cierre del mes de diciembre a la directora y/o subdirectora del área de soluciones y soporte.</t>
  </si>
  <si>
    <t>Descripción: Mantener actualizada la estructura organizacional de los usuarios creados en CRM que incluye funcionarios de FNG, Centro de Experiencia y Fondos regionales.Frecuencia del monitoreo:TrimestralIndicador o formula con la que se va a realizar la medición:  Documento de validación entre información entregada por el Departamento de Felicidad y la estructura de los usuarios activos en CRM del FNG a la directora y/o subdirectora del área mediante correo electrónico dentro de los diez (10) días hábiles siguientes al cierre de trimestre: la calificación será 100%  Documento de validación entre información entregada por el Departamento de Felicidad y la estructura de los usuarios activos en CRM del FNG a la directora y subdirectora del área mediante correo electrónico dentro de los quince (15) días hábiles siguientes al cierre de trimestre: la calificación será 70%  Documento de validación entre información entregada por el Departamento de Felicidad y la estructura de los usuarios activos en CRM del FNG a la directora y subdirectora del área mediante correo electrónico fuera de los quince (15) días hábiles siguientes al cierre de trimestre: la calificación será 0%  Nota: Si dentro de la validación realizada por la directora y subdirectora del área se encuentra inconsistencia en la información se realizará una penalización del 10% sobre el porcentaje de entrega.Fecha inicio-fin dd/mm/aa:&amp;nbsp;1/04/2024 al 31/12/24Entregables: Primer entregable: Documento información de estructura entregado por el Departamento de Felicidad y Documento de estado actual de estructura de usuarios de CRM que pertenecen al FNG presentados y aprobados dentro de los diez (10) días hábiles siguientes al cierre de cada Q2, mediante correo electrónico enviado a la directora y/o subdirectora del área.  Segundo entregable: Documento información de estructura entregado por el Departamento de Felicidad y Documento de estado actual de estructura de usuarios de CRM que pertenecen al FNG presentados y aprobados dentro de los diez (10) días hábiles siguientes al cierre de cada Q3, mediante correo electrónico enviado a la directora y/o subdirectora del área.  Tercer entregable: Documento información de estructura entregado por el Departamento de Felicidad y Documento de estado actual de estructura de usuarios de CRM que pertenecen al FNG presentados y aprobados dentro de los diez (10) días hábiles siguientes al cierre de cada Q4, mediante correo electrónico enviado a la directora y/o subdirectora del área.</t>
  </si>
  <si>
    <t>Descripción: Crear, optimizar, probar y desplegar a producción el flujograma de integración de canales de WhatsApp y Chatbot fase III, logrando que el 90% de los casos de uso definidos sean validados y funcionales. A cierre de 15 diciembre de 2025.
Nota: Casos de uso corresponden, a las opciones definidas para Chatbot fase III del canal WhatsApp y chat de la página web, delimitados en el flujograma entregado.
Frecuencia del monitoreo:Trimestra
Indicador o formula con la que se va a realizar la medición: Formula de medición = (Casos de uso validados / total de casos de uso definidos) × 100.  Entre el 90% y el 100% de los casos de uso validados, la calificación será del 100%  Entre el 89% y el 70% de los casos de uso validados, la calificación será del él % obtenido  Inferior al 70% de los casos de uso validados, la calificación será 0.
Fecha inicio-fin dd/mm/aa:2/06/2025 al 15/12/25
Entregables: Primer entregable: Flujograma con los casos de uso a implementar en la fase III del canal de WhatsApp y chat de la página web; presentadas y aprobados a más tardar el 15 de julio mediante correo electrónico enviado a la directora y/o subdirectora del área. Peso: 40 puntos
Segundo entregable: Presentación del Flujograma documentado y desplegado a producción de la fase III del canal de WhatsApp y chat de la página web, presentado y aprobados a más tardar el 15 de diciembre mediante correo electrónico enviado a la directora y/o subdirectora del área. Peso: 60 puntos</t>
  </si>
  <si>
    <t>Implementar durante el 2025 la gestión de activos fijos del FNG integrados entre los procesos y la información financiera mediante el módulo AF de SAP
Indicador: Informe de ejecución de pruebas exitosas de las Direcciones de Contabilidad y Prespuesto y Tributario
Entregables:Entrega por las Direcciones de Contabilidad y Tributaria del Informe de definición de Reglas de Negocio 33% Q3 
Entrega por las Direcciones de Contabilidad y Tributaria del Informe de Definición de Datos Maestros 33% Q4
Entrega por las Direcciones de Contabilidad y Tributaria del Informe de Ejecución de Pruebas 34% Q4
Evidencias:P:\Objetivos\2025\Vicepresidencia Financiera\Luis Enrique Ramirez Montoya</t>
  </si>
  <si>
    <t>Generar una utilidad del portafolio (PyG) para el año 2025 correspondiente a una TIR del 8%Indicador:=8% = 100
=7.5%; 8%= 90
=7%;7.5% = 80
=6.5%;7%= 70
=6%;6.5% = 60
=5.5%;6%= 50
=5%;5.5% = 40
=4.5%;5%= 30
=3.5%;4.5% = 20
=3%;3.5% = 10
3%= 0
Entregables:Informe presentado al Comité Financiero en el mes de enero de 2026 y acta de esta sesión
Evidencias:P:\Objetivos\2025\Vicepresidencia Financiera\Luis Enrique Ramirez Montoya</t>
  </si>
  <si>
    <t>OBJETIVO: Lograr que a partir de 1 de agosto de 2025 se realice la revisión del 90% de los instrumentos contractuales para la adquisición de bienes y servicios exceptuados del manual de contratación “Core de Negocio” por parte de la Dirección de Contratación, en menores tiempos a los establecidos, así: 
1) La revisión del documento de justificación se realizará en máximo en 24 horas corrientes siguientes a su radicación; 
2) la revisión de la minuta de contrato u otrosí se realizará en máximo 48 horas corrientes a su radicación (con la completitud documental) por parte de las áreas usuarias. (Las horas corrientes se contarán entre días que sean hábiles)ENTREGABLES: Este objetivo tendrá los siguientes hitos y entregables:
Etapa 1: A 30 de junio, elaborar el Instructivo dirigido a las áreas sobre las pautas y soportes que deben allegar para adelantar la revisión de los instrumentos contractuales para medición de cumplimiento. Peso 20%·
Etapa 2: A 15 de julio, socializar a las áreas de interés el instructivo elaborado. Peso 20%·
Etapa 3: A partir del 1 de agosto, implementar la estrategia y los instrumentos para controlar los tiempos de respuesta. Peso 60%.
La evaluación de la ETAPA No. 3 tendrá un rango de cumplimiento, así: 
Se obtendrá un 100% del porcentaje del peso del entregable de la Etapa 3 si se cumple la revisión del 90% de los instrumentos contractuales objeto de revisión entre el periodo 1º de agosto al 31 de diciembre de 2025. 
Se obtendrá una calificación proporcional del peso del entregable de la Etapa 3, si se cumple por debajo del 90% de la revisión de instrumentos contractuales, de acuerdo con la siguiente tabla: 
Cumplimiento del Entregable (Etapa 3) Ponderación de Cumplimiento 
Menor a 90% y hasta el 80% 75%   
Menor al 80% y hasta el 70%  50%  
 Menor al 70% y hasta el 60% 25%   
Menor al 60% 0%  
EVIDENCIAS DE CUMPLIMIENTO: Lo siguiente serán las evidencias de cumplimiento: 
1.Etapa 1.: Instructivo e instrumento de control presentado al Vicepresidente Jurídico vía correo electrónico.
2.Etapa 2.: Citación y desarrollo de la reunión donde se realiza la socialización del instructivo.
3.Etapa 3.: Informe presentado por la Directora de Contratación al Vicepresidente Jurídico con el cumplimiento de los tiempos. 
La Directora de Contratación guardará los correos electrónicos de entrada y salida de la revisión de los instrumentos contractuales como soporte del informe. 
EVALUACIÓN: El porcentaje de cumplimiento del objetivo será la sumatoria del peso asignado a cada hito, que se cumpla al 100%.</t>
  </si>
  <si>
    <t>OBJETIVO: A 31 de diciembre de 2025, realizar un estudio de factibilidad y viabilidad que concluya si es conveniente realizar el pago de las garantías reclamadas bajo el esquema tradicional de reclamación con recuperación de cartera de manera anticipada con una acreditación de los soportes jurídicos de pago (mandamiento de pago y/o auto de graduación y calificación de crédito) con posterioridad al pago de la garantía al intermediario financiero. 
ENTREGABLES: Este objetivo tendrá los siguientes hitos y entregables: a) A 15 de julio de 2025, presentar al Comité Directivo un esquema de pros y contras inicial del estudio de viabilidad. Se requiere entrevistas con las áreas de cartera, financiera, riesgos y comercial. Peso: 20%
b)A 31 de agosto 2025, presentar al Comité de Recuperación de Cartera y Comité Directivo el análisis del impacto operativo de realizar el pago de garantías anticipado obteniendo el mandamiento de pago posteriormente. Peso: 20%
c)A 30 de septiembre de 2025, presentar al Comité de Recuperación de Cartera el análisis de riesgos enfocado a la siniestralidad, con la propuesta del pago de garantías anticipado obteniendo el mandamiento de pago posteriormente (artículos a modificar en el reglamento de garantías). Peso: 20%
d)A 31 de octubre 2025, presentar al Comité de Recuperación de Cartera las conclusiones del informe de factibilidad y viabilidad de la propuesta del pago de garantías anticipado obteniendo el mandamiento de pago posteriormente. Evidencia: informe de factibilidad y viabilidad. Peso: 20%
e)A 30 de noviembre de 2025, presentar al Comité Directivo las conclusiones del informe de factibilidad y viabilidad de la propuesta del pago de garantías anticipado. Peso 20%
EVIDENCIAS DE CUMPLIMIENTO: Actas de los comités de recuperación de cartera y directivo con la presentación de los informes propuestos.EVALUACIÓN: &amp;nbsp;el porcentaje de cumplimiento del objetivo será la sumatoria del peso asignado a cada hito, que se cumpla al 100%.</t>
  </si>
  <si>
    <t>OBJETIVO: Desarrollar durante el año 2025 una campaña de formalización institucional en el FNG que facilite el uso de las marcas institucionales que gozan de registro y protección marcaria por parte de la Superintendencia de Industria y Comercio y así permita contribuir con el objeto de posicionamiento de marca del FNG en el mercado local. 
ENTREGABLES: Este objetivo tendrá los siguientes hitos y entregables:
1.Al 30 de junio de 2025 realizar un levantamiento de Inventario de Marcas registradas y las que se encuentran en proceso de registro marcario por parte del FNG ante la SIC.;Peso 10%
2. Al 30 de julio de 2025 se deber realizar una presentación ante el Comité Directivo del FNG del Inventario realizado. Peso 20%.
3. Al 30 de agosto de 2025 se deberá realizar una capacitación Interna dirigida a la Vicepresidencia Ejecutiva y la Vicepresidencia Comercial, que tendrá como objetivo sensibilizar a los colaboradores sobre la relevancia de las marcas y lemas comerciales en el contexto actual, los riesgos asociados a su uso inadecuado o desuso, y las recomendaciones específicas para su correcta aplicación. Peso 20%  
4. Entre el 1º de septiembre al 31 de diciembre, realizar un informe mensual de monitoreo del uso de la marca en redes sociales y página web. Peso 20% 
5.Al 30 de noviembre realizar una presentación al Comité Directivo del FNG sobre el reporte de uso de las marcas registradas y emitir recomendaciones. Peso 10% 
6.Entre los meses de septiembre a diciembre, realizar una socialización mensual en pantallas del FNG y/o en la intranet que tenga por objetivo sensibilizar a las áreas sobre la importancia del uso de las marcas registradas en el FNG. Peso 20%
EVIDENCIAS DE CUMPLIMIENTO: Lo siguiente serán las evidencias de cumplimiento: 
1.Inventario presentado al Vicepresidente Jurídico por parte del Director Jurídico y/o la Subdirección Jurídica del Negocio 
2. Acta del Comité Directivo donde conste la presentación del inventario
3. Evidencia del proceso de capacitación a las áreas. 
4. Informe mensual de monitoreo presentado al Vicepresidente Jurídico por parte del Director Jurídico y/o la Subdirección Jurídica del Negocio vía correo electrónico. 
5.Acta del Comité Directivo donde se evidencie el reporte del uso de las marcas del FNG
6.Las evidencias fotográficas con fecha de las campañas de sensibilización mensual. Informe remitido por el Jurídico por parte del Director Jurídico y/o la Subdirección Jurídica del Negocio al Vicepresidente Jurídico.
EVALUACIÓN: El porcentaje de cumplimiento del objetivo será la sumatoria del peso asignado a cada hito, que se cumpla al 100%. El entregable No. 4 (informe mensual de monitoreo), tendrá un peso del 5% por cada mes de reporte. El entregable No. 6 (sensibilización a las áreas en pantallas e intranet) tendrá un peso del 5% sobre cada mes de socialización.</t>
  </si>
  <si>
    <t>OBJETIVO: Generar ingresos por concepto de recuperación y venta de cartera derivado del pago de garantías con recuperación de cartera por la suma de $88,642 millones, correspondiente al valor contemplado en el presupuesto de ingresos aprobado por Junta Directiva para el año 2025. (Este valor contempla ingresos derivados de la meta de recuperación de cartera asignada a los FRGs, reintegros y reactivaciones, recuperación por anexo 13 (IF), ingresos por ventas de cartera y compartición del precio de la enajenación de la cartera de los IF.) 
ENTREGABLE: Correo enviado por la Directora/Subdirectora de Cartera los primeros días del año 2026, informando los resultados definitivos de la recuperación de cartera durante la vigencia 2025. 
EVIDENCIA DE CUMPLIMIENTO: Correo electrónico remito por la Directora/Subdirectora de Cartera los primeros días del año 2026, informando los resultados definitivos de la recuperación de cartera durante la vigencia 2025. 
EVALUACIÓN: Se obtendrá calificación a partir del cumplimiento del 90% ($79,778 millones) de la meta: donde el 89,9% da 0% y proporcional entre el 90% y 100%.</t>
  </si>
  <si>
    <t>OBJETIVO: A 31 de diciembre de 2025, estructurar una propuesta de un modelo de cobranza que permita estandarizar la experiencia y satisfacción de los deudores de la cartera especial en este proceso de la gestión de cobranza de los 4 operadores de recuperación de cartera (FRG). 
ENTREGABLE: Este objetivo tendrá los siguientes hitos y entregables: a) A 31 de Julio 2025, presentar al Comité de Recuperación de Cartera, el objetivo del proyecto y cronograma de actividades del plan de trabajo. Evidencia: Informe y cronograma. Peso: 20%
b) A 31 de Agosto 2025, presentar un informe al Comité de Recuperación de Cartera sobre el primer avance del diagnóstico preliminar del modelo de cobranza actual de los FRG. Este informe debe contener como mínimo: Organigrama del equipo de trabajo de cada FRG, experiencia de los gestores, infraestructura y protocolos de cobranza actuales y estudio inicial de habilidades blandas de los gestores. 
Evidencia: Informe. Peso: 20%
c)A 30 de septiembre presentar un informe de avance del desarrollo del objetivo al Comité Directivo. Peso: 10%
d)A 31 de octubre 2025, presentar un informe al Comité de Recuperación de Cartera que contenga una propuesta de la estandarización de los protocolos de atención en la cobranza determinados por el FNG. 
Evidencia: Informe. Peso: 20%
e) A 30 de noviembre presentar un informe de avance del desarrollo del objetivo al Comité Directivo. Peso: 10%
f) A 31 de diciembre 2025, socializar con los FRG los protocolos de cobranza estandarizados a través de capacitaciones a los gestores. Evidencia: Actas de reunión. Peso: 20%
EVIDENCIAS DE CUMPLIMIENTO: Actas de los comités de recuperación de cartera y directivo con la presentación de los informes propuestos, así como actas de reunión de la socialización de capacitaciones.
EVALUACIÓN: el porcentaje de cumplimiento del objetivo será la sumatoria del peso asignado a cada hito, que se cumpla al 100%.</t>
  </si>
  <si>
    <t>A 31/08/25 realizar y certificar pruebas integrales de los servicios expuestos en el canal digital (Apertura de Cupo, Reserva, Registro Gtia tradicional, Regsitro Gtia Global, Cancelación de Reservas, Modificación Cupos ) una vez configurados en la plataforma Integration Suite , por parte de la VP de TD e innovaciónCRITERIOS DE MEDICIÓNEl objetivo será medibleasí:Pruebas integrales a satisfacción: 100% - Cumple / no cumpleENTREGABLES / EVIDENCIALa evidencia de cumplimiento será el correo enviado a la Vp de Operaciones y/o Vp de TD e Innovación en el que se certifiquen las pruebas integrales realizadas</t>
  </si>
  <si>
    <t>Durante el 2025 contribuir a desarrollar el menos una (1) iniciativa para el fortalecimiento de las capacidades de innovación en el FNG a nivel organizacional y/o como aporte a la digitalización de procesos que generen valor para el negocio. Las potenciales iniciativas para desarrolar son:- IT033 Innospark 2.0- IT034 Innovalab- IT036 Onboarding digital de clientesEntregables:Q3: 50% Informe IT033 de conclusiones y back log de iniciativas Innospark 1, Propuesta IT034 de modelo gobierno innovalab, Plan de gestión de proyecto IT036Q4:50% Informe de avance IT033 del programa Innospark 2.0, Informe de avance IT034 del programa Innovalab, Informe de avance del proyecto IT036</t>
  </si>
  <si>
    <t>En el marco del PAI 2025, y con el propósito de abordar el Objetivo Estratégico 5: Promover el mejoramiento continuo a través del Sistema de Gestión Integral del FNG, y a su vez, contribuir a la estrategia 5.2: Búsqueda de mejores prácticas de gestión y cumplimiento normativo en cuanto a la apuesta estratégica " Fortalecimiento de los componentes asociados a los controles de la matriz de riesgos y controles de la entidad", la Dirección de Riesgo de Garantías establece el siguiente objetivo:Presentar ante el vicepresidente de Riesgos o el Comité de Garantías del FNG las evaluaciones de los intermediarios financieros para la asignación o renovación de cuposdeValor Máximo Discrecional y Garantía Global, garantizandola calidad de la información. Para ello, se medirá un indicador de devolucionesoriginadas por deficiencias en la información, el cual tendrá un umbral de cumplimiento del10%sobre el total de evaluaciones presentadasEntregable Q2: Definición y aceptación por la Vicepresidencia de Riesgos del indicador de devolución para la dirección de riesgos de garantías por medio de correo electrónico. Peso: 40%Entregable Q3: primer Informe de evaluación del tercer trimestre del 2025 sobre el indicador de calidad. En este informe se determina si el equipo cumplió con el indicador teniendo el umbral definido en Q2 y se evaluará en el mes de octubre. Evidencia: Correo de decisiones de la Vicepresidencia de riesgos o Acta del Comité Garantías. Peso: 30%Entregable Q4: segundo Informe de evaluación del tercer trimestre del 2025 sobre el indicador de calidad. En este informe se determina si el equipo cumplió con el indicador teniendo el umbral definido en Q2 y se evaluará en el mes de enero 2026. Evidencia: Correo de decisiones de la Vicepresidencia de riesgos o Acta del Comité Garantías. Peso: 30%</t>
  </si>
  <si>
    <t>En el marco del PAI 2025, y con el propósito de abordar el Objetivo Estratégico 1: Promover la generación de créditos garantizados y reducir las barreras de acceso a la inclusión financiera, impactando favorablemente el tejido social y productivo del país, y a su vez, contribuir a la estrategia 1.1: Fortalecimiento del portafolio de productos y servicios del FNG en cuanto a la apuesta estratégica " Creación de modelo de apoyo y análisis del riesgo de productos nuevos", la Dirección de Riesgo de Garantías establece el siguiente objetivo:Desarrollar el perfilamiento y la tarifa de nuevos productos solicitados a lo largo del año, utilizando metodologías de riesgo alternativas a las tradicionales, que capturen de manera más precisa el riesgo, y permitan realizar comparaciones con las metodologías convencionales. Esto con el fin de ajustar las comisiones y optimizar la suficiencia tarifaria.Entregable Q2: Script de R para el cálculo de la probabilidad de incumplimiento del producto de empresas del sector energético. Correo con la tarifa de productos no tradicionales. Peso: 40%Entregable Q3: Correo con la tarifa de productos no tradicionales solicitados. Comparación de los resultados de los modelos generados en una presentación para la Vicepresidencia de Riesgos en una reunión. Peso: 20%Entregable Q4: Seguimiento de los productos nuevos generados a través de las cosechas para evaluar la pérdida esperada a través de una presentación realizada al comité de Garantías. Peso: 20%</t>
  </si>
  <si>
    <t>Promedio del resultado de los meses evaluados (indicador "calidad en las respuestas de PQRFSD de la Dirección de Soluciones y Soporte Comercial")Frecuencia: AnualIndicador y entregable:Promedio del resultado de los meses evaluados (indicador "calidad en las respuestas de PQRFSD de la Dirección de Soluciones y Soporte Comercial")Si el resultado es entre 85% y 100%: la calificación será 100 puntosSi el indicador es menor al 85%se medirá de la siguiente forma: (indicador /85)*100Nota: el resultado del año, se obtiene sobre el promedio de los meses medidos en Isolucion en 2025.Fecha inicio y fin:01-01-25 al 31-12-25Ruta: Los entregables se encontrarán en la siguiente ruta: P:\Objetivos\2025\Dirección de Soluciones y Soporte Comercial\Carolina Botero Ossa</t>
  </si>
  <si>
    <t>Resolver oportunamente el 100% de los casos de PQRS atendidos en el 2025 en la entidad, de conformidad con los plazos legales.Medición o formula: Mínimo el 98% donde menos de 98% obtendrá un puntaje de 0. Se medirá de acuerdo a la tabla equitativa: Donde al sacar un puntaje del 98% el puntaje será 98% y así hasta llegar a 100%.La Tabla equivalente respecto al resultado anual del indicador de nivel de oportunidad en las respuestas a PQRS.Frecuencia: AnualFecha de inicio: 01-01-2025 / 31-12-2025Entregable: Reporte de indicador "Nivel de oportunidad en las respuestas a PQRS" mensual en IsoluciónNota: el resultado del año, se obtiene sobre el promedio de los meses medidos en Isolucion en 2025.</t>
  </si>
  <si>
    <t>Lograr la disminución en el tiempo de respuesta de quince (15) días hábiles a diez (10) días hábiles, en el 50% de los casos excepcionales radicados por el portal transaccional por los intermediarios Financieros.Frecuencia:AnualMedición:La fórmula a utilizar es la siguiente: No. De casos atendidos dentro de los 10 días hábiles / total de casos atendidos al mesFecha inicio y fin:01-06-2025 / 31-12-2025Entregable:Q3 y Q4: Informe CRM con la medición del Q, revisado y aprobado  por correo electrónico por parte de la Vicepresidente Comercial, dentro los 10 días hábiles siguientes a la terminación de cada Q.Ruta del entregable:P:\Objetivos\2025\Dirección de Soluciones y Soporte Comercial\Carolina Botero Ossa</t>
  </si>
  <si>
    <t>A 31 de diciembre de 2025 cumplir con las actividades definidas para la FASE I del plan de mejoras al ciclo operativo de la garantía para las cooperativas. El objetivo se cumple al 100% con la ejecución de todas las actividades. El resultado final corresponderá a la suma de los porcentajes de cumplimiento de cada actividad ejecutada y debidamente soportada, las cuales corresponden a las siguientes:1.Definición de las actividades a realizar para el plan de mejoras dentro de los 10 días hábiles siguientes a la terminación del Q2. (Peso 20%)Entregable: Presentación enviada y aprobada por correo electrónico a la Vicepresidente Comercial con la definición de las actividades.2.Ejecución de las actividades definidas al Q4. Se medirá de la siguiente manera:(# de actividades ejecutadas / # total de actividades definidas)*100 (Peso 80%)Entregable: Informe presentado y aprobado a la Vicepresidente comercial dentro de los 10 días hábiles siguientes a la terminación del Q4.Fecha inicio y fin:01-01-2025 / 31-12-2025Los entregables se encontrarán en la siguiente ruta: P:\Objetivos\2025\Dirección de Soluciones y Soporte Comercial\Carolina Botero Ossa</t>
  </si>
  <si>
    <t>Lograr al 31 de diciembre de 2025, el cumplimiento del porcentaje establecido como meta para los indicadores relacionados a continuación, los cuales integran el Índice de Eficiencia Operativa - IEO para la Dirección de Tesorería así:GESTION PARTIDAS CONCILIATORIAS: Meta 95%Evaluación: de acuerdo con la siguiente tabla métrica, con base en el porcentaje de cumplimiento de cada indicador:Gestión Partidas conciliatorias &amp;gt;=95,00% = 100%entre el 84,99% y el 94,99% = 70%&amp;lt; 84,98% = 0%CRITERIO DE MEDICION:El objetivo será calificable de acuerdo con la tabla métrica.ENTREGABLES / EVIDENCIA: Resultado de los indicadores, publicados en Isolución o aplicativo vigente.</t>
  </si>
  <si>
    <t>Realizar a 30 de septiembre de 2025 la entrega del instructivo donde describa cada uno de lostipos de pagos que se realizan en la Dirección de Tesorería. (Proveedores - Nómina - Garantias - Devolucion de Comisiones - Servicios Publicos - Desembolso Credito Funcionarios - Vacaciones - Impuestos, etc). Este documento reemplazará el procedimiento PD-GFN-038 Control de Egresos.EVALUACIÓN: Cumple o no cumpleEVIDENCIA: Publicación del documento en Isolucion  o aplicativo vigente.Las evidencias se guardarán en la carpeta de público designada para tal fin.</t>
  </si>
  <si>
    <t>Realizar a 30 de noviembre de 2025, una herramienta ofimática que permita realizar el arqueo mensual sobre el portafolio de inversiones, validando las condiciones faciales de los títulos valores en cada uno de los custodios Deceval – DCV y Dialogo con el fin de automatizar el proceso manual a cierre de mes.CRITERIO DE MEDICIONCumple o no cumpleENTREGABLES / EVIDENCIA: Entrega de la herramienta ofimática a través de un correo electrónico al Vicepresidente de Operaciones,informando la ruta en la cual queda:•	 La herramienta en funcionamiento Peso 50%•	 Pruebas integrales Peso 30%•	 Actualización de la documentación y publicación en Isolucion o aplicativo vigente al 30 de septiembre de 2025 Peso 20%</t>
  </si>
  <si>
    <t>Realizar a 30 de septiembre de 2025, la revisión general y automatización del cierre diario y generación del flujo de caja, en lo correspondiente a lainformación que se incorpora en el mismo, con base en los movimientos de ingresos y egresos (gastos bancarios), reflejados en las consultas bancarias y registrados en SAP.EVALUACIÓN: Cumple o no cumpleEVIDENCIA: Actualización documental del instructivo IN-GFN-010	Elaboración Flujo de Caja Diario en Isolución o aplicativo vigente.</t>
  </si>
  <si>
    <t>Al 30 de noviembre de 2025, garantizar la operatividad y paso a producción en el aplicativo de inversiones Dialogo, de tal forma que se puedan registrar en el sistema operaciones del mercado monetario "Simultaneas Activas", para el portafolio del FNG.CRITERIO DE MEDICION: Cumple o no cumpleENTREGABLES / EVIDENCIA: Entrega a través de un correo electrónicoal Vicepresidente de Operaciones informando la ruta en la cual queda:•	 Pruebas exitosas y configuraciones realizadas en el aplicativo de inversiones Dialogo Peso 70%• 	Actualización de la documentación y publicación en Isolucion o aplicativo vigente al 30 de septiembre de 2025.Peso 30%Las evidencias se guardarán en la carpeta de público designada para tal fin.</t>
  </si>
  <si>
    <t>A 30 de septiembre de 2025, actualizar los 87 documentos asociados a la Dirección de Tesorería (manual, procedimientos, instructivos y formatos),conforme al inventario generado para tal fin.CRITERIO DE MEDICIÓNEl objetivo será evaluado en forma proporcional al número de documentos actualizados, siendo necesario un cumplimiento mínimo del 90%. Un cumplimiento inferior al 90%, es decir, 89,99% o menos, será calificado con 0 puntos.FÓRMULA DE CÁLCULO(Número de documentos actualizados / 87) * 100ENTREGABLES / EVIDENCIADocumentos actualizados y aprobados en el aplicativo ISOlución o aplicativo vigente.</t>
  </si>
  <si>
    <t>Ejecutar al 31 de diciembre de 2025 el proyecto de automatización del proceso de vinculación en la Fase I. Medición: El objetivo se cumple al 100% con la ejecución de todas las actividades, siempre y cuando se cuente con la nueva funcionalidad mediante un botón en la página web para vincular nuevos clientes potenciales, el resultado final corresponderá a la suma de los porcentajes de cumplimiento de cada actividad ejecutada y debidamente evidenciada. Entregable 1 - Q2: Al 30 de junio de 2025, Historia de Usuario radicada en la herramienta ARANDA en donde se evidencia el número del caso generado. Entregable 2 - Q3: Al 30 de septiembre de 2025, presentar el informe de actividades ejecutadas que contenga el avance en el desarrollo de la solución, identificación de ajustes y pruebas, si es aplicable. Este informe será presentado por la Dirección de Vinculación en la reunión de seguimiento del proyecto de automatización.Entregable 3 - Q4: Al 31 de diciembre de 2025, presentar el informe de actividades ejecutadas en el cual se incluya la nueva funcionalidad mediante un botón en la página web para vincular nuevos clientes potenciales. Este informe será presentado por la Dirección de Vinculación en la reunión de seguimiento del proyecto de automatización.Los entregables se encontrarán en la siguiente ruta: P:\Objetivos\2025\Dirección de Vinculación, Aseguramiento y Calidad\Lucy LeyvaIndicador: Total de entregables a tiempo/ Total de entregables definidos *100 y la solución se encuentre en la página web o el sitio definido técnicamente.</t>
  </si>
  <si>
    <t>Rediseño del proceso de aseguramiento – ASEGURA+ (20%)Redefinir, antes del 31 de diciembre de 2025, el proceso de aseguramiento de calidad del FNG, partiendo de un diagnóstico estructurado del proceso actual (AS-IS) y finalizando con el diseño de la versión futura (TO-BE), orientada a su automatización.Medición: El objetivo se cumple al 100% con la ejecución de todas las actividades, el resultado final corresponderá a la suma de los porcentajes de cumplimiento de cada actividad ejecutada y debidamente soportada, las cuales corresponden a las siguientes:Entregable 1 (35%) – Al 31 de julio de 2025, presentar a la Vicepresidencia Comercial el diagnóstico del proceso actual (AS-IS) para su validación, el cual incluya:Flujograma actual del proceso, tiempo de ciclo, identificación de actividades con y sin valor agregado, causas-raíz de la problemática y sondeo con los intermediarios financieros sobre la viabilidad de consultar las garantías objeto de aseguramiento en el portal transaccional.Entregable acta de la sesión con conclusiones, recomendaciones o sugerencias.Entregable 2 (35%) – Al 30 de septiembre de 2025, con el resultado del diagnóstico desarrollar el prototipo del rediseño del proceso de aseguramiento de calidad (TO-BE) y presentar a la Vicepresidencia Comercial para su validación, el cual incluya:Flujograma del proceso rediseñado, identificación de posibles integraciones requeridas, batería de indicadores, riesgos asociados, propuesta de cronograma y fases de implementación sugeridas del proyecto de automatización para 2026 (sí aplica).Presentación del BusinessCase (sí aplica). Identificación y solicitud de necesidades de presupuesto y contratación (sí aplica).Entregable acta de la sesión con conclusiones, recomendaciones o sugerencias.Entregable 3 (30%) – Al 30 de noviembre de 2025, presentar en una mesa de trabajo con la Dirección de Planeación, el alcance de Historia de Usuario – HU que contenga el prototipo de rediseño del proceso de aseguramiento de calidad, denominado “Asegura+” (si se considera viable en el resultado del entregable 2), para que se realice la evaluación y se determine la viabilidad de automatizar el proceso de aseguramiento en 2026.Entregable: acta de la sesión con conclusiones, recomendaciones o sugerencias junto con correo electrónico remitido al área solicitando su concepto de viabilidad.Los entregables se encontrarán en la siguiente ruta: P:\Objetivos\2025\Dirección de Vinculación, Aseguramiento y Calidad\Lucy Leyva</t>
  </si>
  <si>
    <t>Rediseñar, antes del 31 de diciembre de 2025, la metodología del modelo de certificación de calidad del FNG, iniciando con la identificación de brechas y oportunidades de mejora en la metodología actual y finalizando con la implementación de una nueva metodología aprobada, documentada y socializada con las áreas involucradas.Medición: El objetivo se cumple al 100% con la ejecución de todas las actividades, el resultado final corresponderá a la suma de los porcentajes de cumplimiento de cada actividad ejecutada y debidamente soportada, las cuales corresponden a las siguientes:Entregable 1 (25%): Al 30 de junio de 2025, presentar el prototipo desarrollado (PPT) que consolide los resultados de las mesas de trabajo realizadas con las áreas involucradas. La evidencia será la presentación en PPT y la sesión grabada en teams.Entregable 2 (25%): Al 31 de julio de 2025, presentar por la parte de la Dirección de Vinculación, Aseguramiento y Calidad la versión final de rediseño del modelo de certificación a Comité Evaluador para su correspondiente aprobación, evidencia acta de la sesión.Entregable 3 (30%): Al 30 de agosto de 2025, presentar por la Dirección de Vinculación, Aseguramiento y Calidad o Vicepresidencia Comercial la versión final de rediseño del modelo de certificación a la instancia que corresponda (Comité de Garantías o Comité de Integrado de Riesgos (Comité SIAR de Garantías o Junta Directiva) para su correspondiente decisión, evidencia acta de la sesión.Entregable 4 (Peso 20%): Al 19 de diciembre de 2025, actualizar en ISOLUCION la documentación los siguientes documentos relacionados con el procesoMA-AGA-010 Manual de políticas proceso de certificación de calidadIN-AGA-113 Instructivo evaluación calificación certificación intermediariosFR-AGA-069 Evaluación y calificación del intermediario objeto de certificaciónLos entregables se encontrarán en la siguiente ruta: P:\Objetivos\2025\Dirección de Vinculación, Aseguramiento y Calidad\Lucy Leyva</t>
  </si>
  <si>
    <t>Rediseñar, antes del 31 de diciembre de 2025, la metodología actual de muestreo periódico del proceso de aseguramiento de calidad.Medición: El objetivo se cumple al 100% con la ejecución de todas las actividades, el resultado final corresponderá a la suma de los porcentajes de cumplimiento de cada actividad ejecutada y debidamente soportada, las cuales corresponden a las siguientes:Entregable 1 (Peso 20%): Al 30 de mayo de 2025, entrega de insumo que contiene el diagnóstico y propuesta de modelo híbrido con la solicitud formal de revisión de la propuesta y rediseño del modelo actual. Esta solicitud se realiza por correo electrónico a la Dirección de modelos técnicos desde el correo de la Subdirección de Vinculación, Aseguramiento y Calidad.Entregable 2 (Peso 30%): Al 30 de agosto de 2025, en una sesión con los equipos de la Vicepresidencia de Riesgos y Vicepresidencia Comercial, incluidos la Dirección de Modelos Técnicos y Dirección de Vinculación, Aseguramiento y Calidad, revisar la propuesta de rediseño de la metodología y como evidencia se registrará un acta de la sesión.Entregable 3 (Peso 30%): Al 30 de octubre de 2025, presentar para aprobación la versión final de la metodología del modelo de muestreo periódico a la instancia que corresponda (Comité de Garantías o Comité de Integrado de Riesgos (Comité SIAR de Garantías o Junta Directiva) como evidencia se tendrá la presentación ante el Comité y el acta correspondiente.Entregable 4 (Peso 20%): Al 19 de diciembre de 2025, entregar el insumo a la Dirección de Modelos Técnicos para la actualización documental de la metodología en el proceso de aseguramiento de calidad que se encuentra en el manual MA-GRI-005 Manual Unificado del Sistema de Administración del Riesgo de Garantías, numeral 11. Derechos de inspección.Los entregables se encontrarán en la siguiente ruta: P:\Objetivos\2025\Dirección de Vinculación, Aseguramiento y Calidad\Lucy Leyva</t>
  </si>
  <si>
    <t>Al 31 de diciembre de 2025, ejecutar el cierre del proceso de Aseguramiento de Calidad correspondiente a las 641 garantías para revisión, conforme al cronograma de trabajo definido para el segundo semestre de 2025. El nivel de cumplimiento se evaluará con base en el porcentaje de cierre efectivo de dichas garantías, de acuerdo con la siguiente escala proporcional:=&amp;gt; 95% de cierre: cumplimiento del 100%= 80 y &amp;lt; 95%: será proporcional al cumplimiento alcanzado&amp;lt; 80: el cumplimiento será 0%MediciónNúmero total garantías cerradas*/Número total de garantías a cerrar* en el período.*Garantías en estado: conforme, no conforme u otroEvidenciaLa gestión de las garantías será registrada en los Formularios de revisión de garantías y la evidencia serán los informes de gestión emitidos por la Subdirección del área y que se encuentran en la siguiente ruta: P:\Vice_Comercial\Dir_Aseguramiento_Calidad\DI_Informes\Informes_Gestion\2025Los entregables se encontrarán en la siguiente ruta: P:\Objetivos\2025\Dirección de Vinculación, Aseguramiento y Calidad\Lucy Leyva</t>
  </si>
  <si>
    <t>DescripciónA 31 de diciembre de 2025, llevar a cabo las actividades definidas para mejorar la calificación de madurez del Plan de Continuidad de Negocio (PCN) por lo menos en 6% respecto a la medición del año 2024 que fue de 3.4Este objetivo se vincula al objetivo estratégico número 5 "Promover el mejoramiento continuo a través del Sistema de Gestión Integral del FNG", vinculado a la estrategia 5.2. "Búsqueda de mejores prácticas de gestión y cumplimiento normativo" a través de la apuesta estratégica 2025: Fortalecimiento de los componentes asociados a los controles de la matriz de riesgos y controles de la EntidadFórmula medición:# de actividades ejecutadas para el periodo evaluado / # de actividades planeadas para el periodo evaluadoEntregables:Q2: Plan de trabajo aprobado por el Vicepresidente de Riesgos y acta de la reunión de la URO correspondiente al mes de Junio donde se presenta el plan de trabajo.Peso: 20%Q3: Actas mensuales (julio, agosto y septiembre) de la reunión de la URO donde se presenta el cumplimiento de las actividades planeadas para el mes correspondientePeso: 40%Q4 Actas mensuales (octubre, noviembre y diciembre) de la reunión de la URO donde se presenta el cumplimiento de las actividades planeadas para el mes correspondientePeso: 40%</t>
  </si>
  <si>
    <t>DescripciónEvaluar el marco preliminar de implementación del Sistema de Administración de Riesgos Ambientales y Sociales y el Sistema de Administración del Riesgo de Conductas (SARCO) para definir su relación con el SIAR.Q3. Hacer seguimiento a la publicación de las circulares que regulan el Sistema de Administración de Riesgos Ambientales y Sociales y el Sistema de Administración del Riesgo de Conductas (SARCO) y analizar el proceso de implementación en relación con el SIAR.Q4. Presentar al Comité SIAR la implementación preliminar del Sistema de Administración de Riesgos Ambientales y Sociales y el Sistema de Administración del Riesgo de Conductas (SARCO) en relación con su articulación con el Sistema Integral de Administración de Riesgos (SIAR), que incluya el plan de implementación y los requerimientos necesarios para el cumplimiento de la normatividad.De acuerdo con el PAI 2025, este proyecto se vincula al objetivo estratégico 5. Promover el mejoramiento continuo a través del Sistema de Gestión Integral del FNG, específicamente en el subnumeral 5.2. Búsqueda de mejores prácticas de gestión y cumplimiento normativo (Monitoreo a la implementación y actualización normativa (Normativas jurídicas)EntregablesQ3. Enviar a los miembros del Comité SIAR un informe que relacione el análisis de entendimiento y el impacto de las circulares publicadas por la SFC en relación con el Sistema de Administración de Riesgos Ambientales y Sociales y el Sistema de Administración del Riesgo de Conductas (SARCO) en relación con la gestión actual del SIAR.Q4. Acta de Comité SIAR donde conste la presentación del informe técnico que contenga el plan de implementación del Sistema de Administración de Riesgos Ambientales y Sociales, articulado con el SIAR, incluyendo los requerimientos normativos y las acciones necesarias para su cumplimiento.</t>
  </si>
  <si>
    <t>DescripciónAnalizar el marco de aplicación de la normatividad referente a las Grandes Exposiciones de las que trata la Circular Externa 003 de 2024 de la SFC y aplicar medidas de seguimiento para el cumplimiento de la normatividad.Q1. Enviar a la SFC el análisis de la aplicación de la Circular Externa 003 de 2024 en el Fondo Nacional de Garantías donde se identifiquen las fuentes de riesgo de las Grandes Exposiciones en la situación FinancieraQ3. Presentar ante Comité SIAR la propuesta para el seguimiento de las Grandes Exposiciones donde se evalúen las posibles modificaciones de las políticas y metodologías de riesgo de contraparte y composición de portafolio.De acuerdo con el PAI 2025, este proyecto se vincula al objetivo estratégico 5. Promover el mejoramiento continuo a través del Sistema de Gestión Integral del FNG, especificamente en el subnumeral 5.2. Búsqueda de mejores prácticas de gestión y cumplimiento normativo (Monitoreo a la implementación y actualización normativa (Normativas jurídicas)ENTREGABLEQ1. Comunicación oficial enviada a la SFC donde se expone el ámbito de aplicación de la Circular Externa 003 de 2024 en el FNG con sus fuentes de riesgo identificadas.Q3. Acta Comité SIAR con la propuesta del mecanismo de seguimiento de las grandes exposiciones y el análisis de los ajustes documentales de políticas y metodologías.</t>
  </si>
  <si>
    <t>DescripciónProponer alternativas de modificación del límite de inversiones clasificadas hasta el vencimiento y ajustar las políticas y procedimientos para el seguimiento del cumplimiento de los límites.Q3. Presentar ante Comité SIAR el análisis para modificar el Límite de Clasificación de Inversiones Hasta el Vencimiento que contenga la propuesta de ajuste de limites y condiciones operativas para el seguimiento de los limites.Q3. Documentar la propuesta del proceso operativo para el seguimiento de los límites de clasificación del portafolio a partir de las líneas de defensa del control de riesgos.De acuerdo con el PAI 2025, este proyecto se vincula al objetivo estratégico 2. Asegurar la sostenibilidad financiera del FNG que contribuya con el crecimiento de la operación, específicamente en el subnumeral 2.1. Optimización Financiera (Optimización del Portafolio de Inversiones)ENTREGABLESEntregable 1: Acta Comité SIAR y presentación ante la JD de la propuesta de modificación del límite de clasificación de Inversiones a Q3.Entregable 2: Publicación en Isolución del Procedimiento operativo para el control del seguimiento de los limites de riesgo a Q3.</t>
  </si>
  <si>
    <t>DescripciónA 31 de diciembre de 2025 dar cumplimiento al plan de trabajo establecido para el diseño de la herramienta interna para la gestión de SAROEste objetivo se vincula al objetivo estratégico número 5 "Promover el mejoramiento continuo a través del Sistema de Gestión Integral del FNG", vinculado a la estrategia 5.2. "Búsqueda de mejores prácticas de gestión y cumplimiento normativo" a través de la apuesta estratégica 2025: Fortalecimiento de los componentes asociados a los controles de la matriz de riesgos y controles de la EntidadEntregables:Entregable 1: Acta de la reunión de la URO correspondiente al mes de junio de 2025 donde se presenta el plan de trabajo y el avance a la fecha. Peso 25%Entregable 2: Actas mensuales (julio, agosto y septiembre de 2025) de la reunión de la URO donde se presenta el cumplimiento de las actividades planeadas para el mes correspondiente. Peso 25%Entregable 3: Actas mensuales (octubre, noviembre y diciembre) de la reunión de la URO donde se presenta el cumplimiento de las actividades planeadas para el mes correspondiente. Peso: 25%Entregable 4: Primera versión del tablero con semáforo de criticidad presentado a Q4 en comité SIAR. Peso: 25%</t>
  </si>
  <si>
    <t>DescripciónA 31 de diciembre de 2025, realizar la actualización de políticas, lineamientos y metodología para la gestión de Riesgos Fiscales en el FNG según corresponda a partir de la actualización de la Guía para la administración del riesgo y el diseño de controles en entidades públicas del Departamento Administrativo de la Función Pública DAFP esperada para junio de 2025.Nota: El desarrollo de este objetivo podría estar sujeto a ajustes, ya que depende principalmente de la publicación de la guía del DAFP, la cual constituye el insumo principal para la estandarización de la metodologíaEste objetivo se vincula al objetivo estratégico número 5 "Promover el mejoramiento continuo a través del Sistema de Gestión Integral del FNG", vinculado a la estrategia 5.2. "Búsqueda de mejores prácticas de gestión y cumplimiento normativo" a través de las siguientes apuestas estratégicas 2025:- Fortalecimiento de los componentes asociados a los controles de la matriz de riesgos y controles de la Entidad- Monitoreo a la implementación y actualización normativa (Normativas jurídicas)Indicador/Formula de medición:# de actividades ejecutadas para el periodo evaluado / # de actividades planeadas para el periodo evaluadoEntregables:Q2: Plan de trabajo aprobado por el Vicepresidente de Riesgos y acta de la reunión de la URO correspondiente al mes de Junio donde se presenta el plan de trabajo.Peso 20%Q3: Actas mensuales (julio, agosto y septiembre) de la reunión de la URO donde se presenta el cumplimiento de las actividades planeadas para el mes correspondiente.Peso 40%Q4: Actas mensuales (octubre, noviembre y diciembre) de la reunión de la URO donde se presenta el cumplimiento de las actividades planeadas para el mes correspondientePeso: 40%</t>
  </si>
  <si>
    <t>Diseñar y documentar la estructura normativa y operativa del área, actualizando la matriz de riesgos con controles específicos, adaptada a la creación de la Dirección Financiera.Indicador:a) Procedimientos cargados en la herramienta Isolución a 30 de Junio / Procedimientos planificados. 90%b) N° de riesgos con control en la Matriz de Riesgos/N° de riesgos incluidos en la matriz. 10%&amp;lt;=80% =0&amp;lt;80 y &amp;lt;=90 = 90%&amp;gt;=90% = 100%Entregables:Instructivo actualización y seguimiento del flujo de caja proyectado cargado en Isolución - 11 de abril de 2025Instructivo seguimiento de Movilización, tarifas e ingresos por comisiones cargado en Isolución - 6 de mayo de 2025Instructivo Calculo y Medición de Indicadores de Gestión Financiera cargado en Isolución - 14 de Mayo de 2025Procedimiento Modelo Presupuesto Financiero cargado en Isolución - 6 de junio de 2025Procedimiento Determinación de tarifas de operación cargado en Isolución- 25 de junio de 2025Procedimiento Diagnóstico financiero nuevos productos cargado en Isolución - 30 de junio de 2025Correo del área de Riesgos indicando la actualización de la Matriz con 100% de riesgos con controles - 30 de Agosto de 2025​Evidencia:﻿ P:\Objetivos\2025\Dirección Financiera\Laura Mercedes Peña Rodríguez</t>
  </si>
  <si>
    <t>Optimizar y mejorar los modelos financieros clave, incluyendo flujo de caja, informe interno de comisiones y movilización de garantías, Diseño e implementación de Tarifación Operativa.Indicador:Modelos y/o Metodologías entregadas de manera oportuna / Meta.Entregables:  1) Correo electrónico enviado al Vicepresidente Financiero con la Nota Técnica Tarifa Operativa 40% - Hasta el 30 de junio de 2025 2) Correo electrónico enviado al Vicepresidente Financiero conel Flujo de Caja Mejorado 30% - Hasta 31 de julio de 2025 3) Correo electrónico enviado al Vicepresidente Financiero con el Informe de Seguimiento de Movilización e Ingresos 30% - Hasta el 31 de octubre de 2025Evidencia:﻿ P:\Objetivos\2025\Dirección Financiera\Laura Mercedes Peña Rodríguez</t>
  </si>
  <si>
    <t>OBJETIVO: A 30 de noviembre de 2025, diseñar e implementar un plan piloto institucional que combine los lineamientos jurídicos del modelo de Open Finance con el desarrollo de una API básica —previo concepto de su factibilidad técnica—, en articulación con las áreas de analítica de datos y tecnología, para definir la estructura de los datos a exponer y la arquitectura tecnológica necesaria. La API estará orientada al acceso controlado y con consentimiento informado de datos financieros no sensibles, bajo los estándares de seguridad y protección de datos personales establecidos por la Superintendencia Financiera de Colombia.ENTREGABLES: Este objetivo tendrá los siguientes hitos y entregables:a)Al 31 de agosto de 2025 elaborar un diagnóstico normativo sobre la implementación del modelo de Open Finance al interior del FNG, e incluir un análisis preliminar con el área de analítica de datos para identificar el tipo y estructura general de los datos susceptibles de ser compartidos en el piloto. Asimismo, realizar la validación técnica de factibilidad para el desarrollo de una API con el área de Tecnología. Peso 20%b)Al 30 de septiembre de 2025 informe al Comité Directivo del FNG del diagnóstico inicial realizado sobre la implementación del modelo de Open Finance al interior del FNG conforme con la información reportada desde la Dirección Jurídica, el área de Tecnología y el Subdirector de Arquitectura de Datos. Peso 10%c)A 31 de octubre de 2025, elaborar un protocolo jurídico para el acceso de la información a terceros, en el cual se contemplen criterios generales de implementación del modelo, así como aspectos como el consentimiento informado, uso limitado de datos personales, trazabilidad y sanciones relacionadas con su tratamiento. Este protocolo deberá guardar coherencia con las definiciones técnicas y estructurales del flujo de datos identificados por las áreas de analítica y tecnología. Peso 30%d)A 30 de noviembre de 2025, realizar la actualización de la política de tratamiento de datos personales ajustándola a los criterios identificados para la implementación del modelo de Open Finance. Peso 30%e)A 15 de diciembre de 2025, informe al Comité Directivo del FNG de los resultados obtenidos de la implementación del plan piloto para el modelo de Open Finance. Peso 10%EVIDENCIAS DE CUMPLIMIENTO:a)Documento diagnóstico en materia normativa y tecnológica que permitan identificar la viabilidad de la implementación del modelo de Open Finance teniendo en cuenta la estructura tecnológica.b)Protocolo jurídico donde se contemplen los criterios generales de la implementación del Open Finance al interior del FNGc)Actualización de la política de tratamiento de datos personales ajustándola a los criterios identificados para la implementación del modelo de Open Finance.EVALUACIÓN: El porcentaje de cumplimiento del objetivo será la sumatoria del peso asignado a cada hito/etapa, que se cumpla al 100%. En caso de depender del área de Tecnología para etapas críticas, se aceptará como cumplido el hito si la Dirección Jurídica entrega oportunamente los insumos, hace seguimiento formal y evidencia la gestión, aun si la ejecución técnica se encuentra en curso por causas ajenas a la Dirección. El objetivo se cumplirá con la sumatoria de mínimo el 90%.</t>
  </si>
  <si>
    <t>OBJETIVO: Desarrollar durante el año 2025 una campaña de formalización institucional en el FNG que facilite el uso de las marcas institucionales que gozan de registro y protección marcaria por parte de la Superintendencia de Industria y Comercio y así permita contribuir con el objeto de posicionamiento de marca del FNG en el mercado local. ENTREGABLES: Este objetivo tendrá los siguientes hitos y entregables: 1.Al 30 de junio de 2025 realizar un levantamiento de Inventario de Marcas registradas y las que se encuentran en proceso de registro marcario por parte del FNG ante la SIC.Peso 10%2.Al 30 de julio de 2025 se deber realizar una presentación ante el Comité Directivo del FNG del Inventario realizado. Peso 20%.3.Al 30 de agosto de 2025 se deberá realizar una capacitación Interna dirigida a la Vicepresidencia Ejecutiva y la Vicepresidencia Comercial, que tendrá como objetivo sensibilizar a los colaboradores sobre la relevancia de las marcas y lemas comerciales en el contexto actual, los riesgos asociados a su uso inadecuado o desuso, y las recomendaciones específicas para su correcta aplicación. Peso 20% 4.Entre el 1º de septiembre al 31 de diciembre, realizar un informe mensual de monitoreo del uso de la marca en redes sociales y página web. Peso 20% 5.Al 30 de noviembre realizar una presentación al Comité Directivo del FNG sobre el reporte de uso de las marcas registradas y emitir recomendaciones. Peso 10% 6.Entre los meses de septiembre a diciembre, realizar una socialización mensual en pantallas del FNG y/o en la intranet que tenga por objetivo sensibilizar a las áreas sobre la importancia del uso de las marcas registradas en el FNG. Peso 20%EVIDENCIAS DE CUMPLIMIENTO: Lo siguiente serán las evidencias de cumplimiento: 1.Inventario presentado al Vicepresidente Jurídico por parte del Director Jurídico y/o la Subdirección Jurídica del Negocio 2.Acta del Comité Directivo donde conste la presentación del inventario3.Evidencia del proceso de capacitación a las áreas. 4.Informe mensual de monitoreo presentado al Vicepresidente Jurídico por parte del Director Jurídico y/o la Subdirección Jurídica del Negocio vía correo electrónico. 5.Acta del Comité Directivo donde se evidencie el reporte del uso de las marcas del FNG6.Las evidencias fotográficas con fecha de las campañas de sensibilización mensual. Informe remitido por el Jurídico por parte del Director Jurídico y/o la Subdirección Jurídica del Negocio al Vicepresidente Jurídico.EVALUACIÓN: el porcentaje de cumplimiento del objetivo será la sumatoria del peso asignado a cada hito, que se cumpla al 100%. El entregable No. 4 (informe mensual de monitoreo), tendrá un peso del 5% por cada mes de reporte. El entregable No. 6 (sensibilización a las áreas en pantallas e intranet) tendrá un peso del 5% sobre cada mes de socialización.</t>
  </si>
  <si>
    <t>Contratar un desarrollador externo para que diseñe e implemente durante el segundo semestre de 2025, en coordinación con la Dirección Jurídica, un motor de búsqueda inteligente basado en inteligencia artificial (ChatGPT, Copilot, etc.), que se integre para usos prácticos con el repositorio interno de documentación legal (conceptos jurídicos internos o emitidos por asesores externos, respuesta a consultas, contratos, MOU’s, NDA’s, Boletines jurídicos y expedientes de procesos judiciales entre otros) con el fin de mantener organizada la memoria documental del FNG, automatizar procesos, mejorar la eficiencia, trazabilidad y precisión en las consultas sobre la información generada por la Dirección Jurídica. El prototipo de Wiki Jurídica deberá estar diseñado al 30 de noviembre de 2025. ENTREGABLES:-Etapa 1:A 18 de julio de 2025, presentar a la Vicepresidencia Jurídica el estudio de mercado realizado con las ofertas obtenidas por parte de los potenciales contratistas. Peso 20% -Etapa 2:A 16 de agosto de 2025, haber finalizado el proceso de contratación del desarrollador externo, previamente elegido con la Vicepresidencia Jurídica. Peso 30%-Etapa 3:Al 30 de agosto de 2025, presentar a la Vicepresidencia Jurídica el repositorio jurídico actualizado desde el 1° de enero de 2024 a 30 de junio de 2025, ubicado en la herramienta público. Peso: 30%-Etapa 4Al 30 de noviembre de 2025, entregar el prototipo de motor de búsqueda, el cual servirá para mejorar eficiencia, trazabilidad y memoria documental de la Dirección jurídica del FNG. Peso 20%-EVIDENCIAS DE CUMPLIMIENTO:1.Sondeo de mercado (ofertas)2.Repositorio actualizado3.Contrato4.Prototipo motor de búsqueda EVALUACIÓN:El porcentaje de cumplimiento del objetivo será la sumatoria del peso asignado a cada hito/etapa, que se cumpla al 100%.</t>
  </si>
  <si>
    <t>OBJETIVO:Realizar al 30 de noviembre de 2025, un ejercicio de exploración e innovación en los departamentos legales de entidades financieras, que podrán ser intermediarios financieros vinculados al FNG, mediante visitas presenciales, o reuniones virtuales, con el fin de identificar, analizar y documentar las mejores prácticas de innovación legal, que podrán incluir el uso de herramientas de tecnología aplicadas al desarrollo y ejecución de su objeto social y/o cumplimiento de obligaciones dado su rol en el sistema financiero. A partir de este análisis, se busca evaluar su viabilidad al interior del FNG y diseñar una hoja de ruta que permita identificar aquellas prácticas que puedan resultar aplicables en la VP Jurídica. ENTREGABLES:-Etapa 1.Al 31 de julio de 2025, presentar a la Vicepresidencia Jurídica una base de datos en formato Excel que contenga el cronograma de entidades con las cuales se llevará a cabo el ejercicio de exploración e innovación en sus Departamentos legales durante el segundo semestre de 2025. -Etapa 2. Al 01 de septiembre de 2025, presentar a la Vicepresidencia Jurídica una base de datos en formato Excel que contenga un resumen de las visitas realizadas a la fecha, incluyendo: ·Nombre de la entidad financiera·Persona que la atendió·Descripción de las herramientas innovadoras y/o tecnológicas observadas.·Establecer los beneficios que representaría su adopción para la gestión jurídica. ·Identificar los principales retos técnicos, jurídicos, financieros y operativos.·Posibilidad de aplicación en la VP Jurídica -Etapa 3.Al 30 de noviembre de 2025, presentar a la Vicepresidencia Jurídica un informe final en formato Word que, con base en las visitas realizadas a dicho corte, donde se identifique y analice las herramientas tecnológicas observadas, evaluando su aplicabilidad en el entorno jurídico del FNG. En todo caso, el informe final deberá contener, además de los criterios establecidos en la etapa 2:·La priorización de aquellas herramientas con mayor potencial de implementación.·Incluir recomendaciones estratégicas para su adopción futura. EVIDENCIAS DE CUMPLIMIENTO:·Base de datos en formato Excel.·Informe en formato Word. ·El soporte de la presentación de cada etapa será la remisión de un correo electrónico dirigido al VP jurídico.EVALUACIÓN:El porcentaje de cumplimiento del objetivo será el cumplimiento de las 3 etapas, lo cual dará una calificación del 100% En caso de depender de factores o actores externos ajenos a la Dirección Jurídica, tales como disponibilidad de las entidades financieros, acceso a información confidencial, o restricciones operativas, dichos aspectos deberán ser documentados en el informe final. Se entenderá cumplido la etapa/hito si la Dirección Jurídica lo justifica debidamente en los informes.</t>
  </si>
  <si>
    <t>OBJETIVO: Diseñar e implementar, a 31 de octubre de 2025, un recorrido de atención legal, que permita mapear y optimizar la experiencia de las áreas del FNG frente a la atención de sus consultas legales.  Se propiciaran espacios de consulta y/o mesas de trabajo con las diferentes dependencias del FNG, que buscará identificar puntos de fricción, oportunidades de mejora y momentos clave de valor en la interacción jurídica, con el fin de abordar proactivamente las inquietudes jurídicas de manera clara, oportuna y alineada con la misión institucional; visibilizar el rol estratégico de la Dirección Jurídica como aliada en la toma de decisiones; incorporar criterios de priorización, complejidad y urgencia que permitan ajustar los tiempos de respuesta bajo un enfoque de servicio con ANS.La ruta legal contendrá varias etapas, incluyendo una franja mensual destinada a la atención y resolución de consultas jurídicas formuladas por las distintas áreas del FNG, con el fin de abordar de manera oportuna las inquietudes relacionadas con el objeto social y funcionamiento del FNG. Así mismo, la ruta legal se apoyará en datos que sean recopilados en los espacios de consulta y/o mesas de trabajo, así como en la retroalimentación continua de las diferentes áreas (cliente interno) para fortalecer el relacionamiento, identificar patrones de consulta y anticipar necesidades.ENTREGABLES: ·Etapa 1:Al 31 de julio de 2025, realizar mesas de trabajo con las diferentes áreas del FNG, las cuales se han identificado como consultantes recurrentes en la Dirección Jurídica. Peso 30%·Etapa 2:Al 30 de septiembre de 2025, presentar a la Vicepresidencia Jurídica un borrador de modelo de atención al cliente, teniendo en cuenta el insumo recolectado en las mesas de trabajo.Peso: 30%·Etapa 3: Al 31 de octubre, presentar la documentación que soporte la versión final ruta legal, debidamente aprobada por la Vicepresidencia Jurídica, el cual será formalizado en la Plataforma ISolución, y socializado con las diferentes áreas para su correcta aplicación y ejecución. Peso: 40%EVIDENCIAS DE CUMPLIMIENTO:1.Evidencia soporte reuniones de mesas de trabajo, con las conclusiones de cada sesión de las mesas de trabajo.2.Correo electrónico con la evidencia de la entrega del borrador de modelo 3.Soporte documental de la versión final del proceso de modelo de atención al cliente / ruta legal.EVALUACIÓN:El porcentaje de cumplimiento del objetivo será la sumatoria del peso asignado a cada hito/etapa, que se cumpla al 100%.</t>
  </si>
  <si>
    <t>Diseñar e implementar, en articulación con el área de Tecnología, un módulo de gestión jurídica interna dentro de la plataforma “Aranda” que permita el registro, seguimiento en tiempo real y trazabilidad de las solicitudes jurídicas presentadas por las áreas del FNG (cliente interno en materia de solicitudes de créditos y atención al área comercial) a la Dirección Jurídica, incorporando, entre otros, mecanismos de control de ANS en la atención a las respuestas, visualización de carga operativa, justificación de demoras y generación de reportes ejecutivos diferenciados por área solicitante, con acceso especial para usuarios solicitantes, responsables jurídicos y directivos de cada área. El módulo de aranda deberá estar al 6 de octubre de 2025.ENTREGABLES:-Etapa 1:Al 21 de julio de 2025, presentar a la Vicepresidencia Jurídica el documento de requerimientos funcionales, flujos de proceso, formatos estandarizados de las solicitudes con un lenguaje amigable transformando la experiencia de las diferentes áreas al momento de solicitar los servicios jurídicos.Peso: 45%-Etapa 2:Al 4 de agosto de 2025 entregar al área de Tecnología el proyecto completo con la información requerida, para implementar la función/módulo de gestión jurídica interna en la plataforma Aranda. Peso: 45%-Etapa 3A 6 de octubre de 2025, realizar el correspondiente lanzamiento del módulo jurídico en la plataforma Aranda para uso institucional. Peso: 10%El cumplimiento del cronograma e implementación total del módulo depende de la disponibilidad técnica y priorización de recursos por parte del área de Tecnología. EVIDENCIAS DE CUMPLIMIENTO:-Actas mesas de trabajo-Documento de requerimientos funcionales -Flujos de proceso-Formatos estandarizados de las solicitudes-Cronograma y plan de desarrollo concertado por la Dirección Jurídica y el área de Tecnología-Documento de historia de usuario EVALUACIÓN:El porcentaje de cumplimiento del objetivo será la sumatoria del peso asignado a cada hito/etapa, que se cumpla al 100%. En caso de depender del área de Tecnología para etapas críticas, se aceptará como cumplido el hito si la Dirección Jurídica entrega oportunamente los insumos, hace seguimiento formal y evidencia la gestión, aun si la ejecución técnica se encuentra en curso por causas ajenas a la Dirección. El objetivo se cumplirá con la sumatoria de mínimo el 90%.</t>
  </si>
  <si>
    <t>Descripción del Objetivo:A noviembre 30 actualizar en la página Web del FNG las 3 capacitaciones para personas naturales y jurídicas en impuesto de renta e IVA por la comisiónIndicador o Formula con la que se va a Realizar la Medición:% de cumplimiento oportuno del entregableCantidad de publicaciones actualizadas / 3 publicaciones a actualizarTres publicaciones actualizadas oportunamente = 100%Dos publicaciones actualizadas oportunamente = 29%Una publicación actualizada oportunamente = 14%Publicación(nes) extemporánea(s) y/o no realizada(s) = 0%Entregables:﻿Correo electrónico enviado al Vicepresidente Financiero con indicación de:- La Publicación de las actualizaciones en la página web en fecha oportuna- Archivo en PDF que permita apreciar el contenido de las actualizaciones- Link de acceso a las actualizaciones en la página web del FNGEvidencias:﻿ P:\Objetivos\2025\Dirección Tributaria\Liliana Yaneth Avellaneda Barbosa</t>
  </si>
  <si>
    <t>Descripción del Objetivo:A noviembre 28 publicar en la página Web del FNG un folleto que describa el perfil tributario del FNG en materia de impuestos nacionales y territoriales.Indicador o Formula con la que se va a Realizar la Medición:% de cumplimiento oportuno del entregablePublicación oportuna del folleto = 100%Publicación extemporánea o no realizada = 0%Entregables:Correo electrónico enviado al Vicepresidente Financiero con indicación de:- La Publicación en la página web en fecha oportuna- Archivo en PDF que permita apreciar el contenido del folleto publicado- Link de acceso al folleto publicado en la página web del FNGEvidencias: P:\Objetivos\2025\Dirección Tributaria\Liliana Yaneth Avellaneda Barbosa</t>
  </si>
  <si>
    <t>Descripción del Objetivo:A octubre 31 de 2025 publicar en Isolucion la documentación de los 7 controles que a corte 30 de abril de 2025 se encuentran en el calificativo "Sin documentar" en la matriz de riesgos y controles de la Dirección Tributaria.Los siguientes son los códigos de los controles que actualmente se encuentran en estado de "Sin documentar": 12, 105, 969, 1013, 1014, 1040 y 1041.Indicador o Formula con la que se va a Realizar la Medición:% de cumplimiento oportuno documentación de los controlesformalizada en IsolucionCantidad de controles documentados / 7 controles que requieren documentación Siete controles documentados = 100% Seis controles documentados = 80 %Cinco controles documentados = 50%Cuatro controles documentados = 57%Tres controles documentados = 43% Dos controles documentados = 0%Un control documentado = 0%Ningún control documentado = 0%Entregables:Documentos del proceso, ya sea manuales, procedimientos, flujogramas o cualquier otro documento propio del proceso que estén formalizados en Isolución y que permitan ajustar la calificación de 7 controles no documentos a controles documentados.Evidencia:﻿ P:\Objetivos\2025\Dirección Tributaria\Liliana Yaneth Avellaneda Barbosa</t>
  </si>
  <si>
    <t>Descripción del Objetivo:Por los meses comprendidos entre febrero y noviembre de 2025, proporcionar máximo el día 13 del siguiente mes, el papel de trabajo y anexos con la estimación de la provisión del impuesto de renta mensual. Si el día 13 no es un día hábil, se anticipará al día hábil anterior.La primera entrega corresponde a la provisión del mes de febrero que se estima y registra en marzo; la última corresponde a la del mes de noviembre que se estima y registra en diciembre.Indicador o Formula con la que se va a Realizar la Medición:10 entregas oportunas = 100%9 entregas oportunas = 90%8 entregas oportunas = 70%7 entregas oportunas = 50%6 entregas oportunas = 20%5 entregas oportunas = 0%4 entregas oportunas = 0%3 entregas oportunas = 0%2 entregas oportunas = 0%1 entrega oportuna = 0%Ninguna entrega oportuna = 0%Entregables:﻿Correo electrónico enviado al Vicepresidente Financiero con indicación de:- El cierre de la estimación y las cifras y/o resultados obtenidos en cuentas de balance y P&amp;amp;G por el mes objeto de estimación de la renta- Indicación de la dirección en público donde se aloja el papel de trabajo en Excel con la estimación de la renta mensualEvidencia:﻿ P:\Objetivos\2025\Dirección Tributaria\Liliana Yaneth Avellaneda Barbosa</t>
  </si>
  <si>
    <t>Elaborar Plan Comercial para el año 2026 a más tardar el 31 de diciembre de 2025. La calificación será del 100% si se entrega el plan comercial a satisfacción o del 0% si no se entrega. 
Evidencia: Correo con el plan comercial aprobado por la VP Comercial.</t>
  </si>
  <si>
    <t>Realizar propuestas para evaluar durante el año 2025 los esquemas de atención comercial, teniendo en cuenta la finalización de los contratos de Agencia Comercial en las 6 regionales .La presentación de los esquemas debe presentarse al Comíté Directivo a mas tardar el 31 de octubre de 2025. 
Entregable: acta de Comité Directivo con la presetnación del esquema para tomar la decisión.</t>
  </si>
  <si>
    <t>Lograr una movilizaicón de $1,5 billones a 31 de diciembre de 2025 en clientes del sector agro. Mínimo $1,14 billones. 
Calificación proporcional entre $1,5 billones y $1,14 billones *(Donde menor a $1,14 billones es 0 puntos y $1,5 billones o más es 100 puntos)
 La fórmula de medición del Rango: = (Resultado Indicador – Cumplimiento Mínimo) / (Meta – Cumplimiento Mínimo) x 100. 
Evidencia: informe enviado por el área de Estrategia Comercial.</t>
  </si>
  <si>
    <t>Lograr desembolsos de 800.000 créditos a 31 de diciembre de 2025. Calificación proporcional entre 800.000 y 725.000 *(Donde menor a 725.000 es 0 puntos y 800.000 es 100 puntos) 
La fórmula de medición del Rango: = (Resultado Indicador / Metax 100. 
Evidencia: informe enviado por el área de Estrategia Comercial.</t>
  </si>
  <si>
    <t>Correo Electrónico</t>
  </si>
  <si>
    <t>Metas cargadas</t>
  </si>
  <si>
    <t xml:space="preserve">Metas aprobadas </t>
  </si>
  <si>
    <t>javier.mondragon@fng.gov.co</t>
  </si>
  <si>
    <t>5</t>
  </si>
  <si>
    <t>ivan.parra@fng.gov.co</t>
  </si>
  <si>
    <t>6</t>
  </si>
  <si>
    <t>maria.perez@fng.gov.co</t>
  </si>
  <si>
    <t>karen.roncancio@fng.gov.co</t>
  </si>
  <si>
    <t>8</t>
  </si>
  <si>
    <t>deisy.archila@fng.gov.co</t>
  </si>
  <si>
    <t>laura.gutierrez@fng.gov.co</t>
  </si>
  <si>
    <t>yesica.oviedo@fng.gov.co</t>
  </si>
  <si>
    <t>4</t>
  </si>
  <si>
    <t>karen.cristiano@fng.gov.co</t>
  </si>
  <si>
    <t>7</t>
  </si>
  <si>
    <t>1010069744</t>
  </si>
  <si>
    <t>Angie Tatiana Aguilar Forero</t>
  </si>
  <si>
    <t>angie.aguilar@fng.gov.co</t>
  </si>
  <si>
    <t>0</t>
  </si>
  <si>
    <t>ana.noriega@fng.gov.co</t>
  </si>
  <si>
    <t>juan.reinoso@fng.gov.co</t>
  </si>
  <si>
    <t>juan.rubio@fng.gov.co</t>
  </si>
  <si>
    <t>monica.aguirre@fng.gov.co</t>
  </si>
  <si>
    <t>1010235016</t>
  </si>
  <si>
    <t>Maria Paula Quevedo Laverde</t>
  </si>
  <si>
    <t>maria.quevedo@fng.gov.co</t>
  </si>
  <si>
    <t>Secretaria Privada de Presidencia</t>
  </si>
  <si>
    <t>cesar.garcia@fng.gov.co</t>
  </si>
  <si>
    <t>daniela.rivera@fng.gov.co</t>
  </si>
  <si>
    <t>sandra.galindo@fng.gov.co</t>
  </si>
  <si>
    <t>gina.hernandez@fng.gov.co</t>
  </si>
  <si>
    <t>natalia.acosta@fng.gov.co</t>
  </si>
  <si>
    <t>9</t>
  </si>
  <si>
    <t>julian.hernandez@fng.gov.co</t>
  </si>
  <si>
    <t>yulieth.calderon@fng.gov.co</t>
  </si>
  <si>
    <t>jose.hernandez@fng.gov.co</t>
  </si>
  <si>
    <t>janeth.tibocha@fng.gov.co</t>
  </si>
  <si>
    <t>andres.sosa@fng.gov.co</t>
  </si>
  <si>
    <t>veronica.espejo@fng.gov.co</t>
  </si>
  <si>
    <t>laura.sanchez@fng.gov.co</t>
  </si>
  <si>
    <t>manuel.lucero@fng.gov.co</t>
  </si>
  <si>
    <t>johan.cortes@fng.gov.co</t>
  </si>
  <si>
    <t>kevin.gil@fng.gov.co</t>
  </si>
  <si>
    <t>luis.joya@fng.gov.co</t>
  </si>
  <si>
    <t>nataly.vera@fng.gov.co</t>
  </si>
  <si>
    <t>manuel.basto@fng.gov.co</t>
  </si>
  <si>
    <t>brayan.ruiz@fng.gov.co</t>
  </si>
  <si>
    <t>cindy.hernandez@fng.gov.co</t>
  </si>
  <si>
    <t>3</t>
  </si>
  <si>
    <t>daniel.aleman@fng.gov.co</t>
  </si>
  <si>
    <t>vanessa.garay@fng.gov.co</t>
  </si>
  <si>
    <t>daniel.suarez@fng.gov.co</t>
  </si>
  <si>
    <t>11</t>
  </si>
  <si>
    <t>leidy.galindo@fng.gov.co</t>
  </si>
  <si>
    <t>ronald.sanchez@fng.gov.co</t>
  </si>
  <si>
    <t>12</t>
  </si>
  <si>
    <t>andres.morales@fng.gov.co</t>
  </si>
  <si>
    <t>iveth.roa@fng.gov.co</t>
  </si>
  <si>
    <t>carmen.quitian@fng.gov.co</t>
  </si>
  <si>
    <t>jairo.baez@fng.gov.co</t>
  </si>
  <si>
    <t>miguel.jaramillo@fng.gov.co</t>
  </si>
  <si>
    <t>juan.holguin@fng.gov.co</t>
  </si>
  <si>
    <t>ivan.norena@fng.gov.co</t>
  </si>
  <si>
    <t>angie.ospina@fng.gov.co</t>
  </si>
  <si>
    <t>julian.garzon@fng.gov.co</t>
  </si>
  <si>
    <t>juan.londono@fng.gov.co</t>
  </si>
  <si>
    <t>1019020926</t>
  </si>
  <si>
    <t>Sonia Milena Hernandez Nariño</t>
  </si>
  <si>
    <t>sonia.hernandez@fng.gov.co</t>
  </si>
  <si>
    <t>Profesional de Supervision Contractual</t>
  </si>
  <si>
    <t>john.vaca@fng.gov.co</t>
  </si>
  <si>
    <t>eduardo.deoro@fng.gov.co</t>
  </si>
  <si>
    <t>virginia.rosado@fng.gov.co</t>
  </si>
  <si>
    <t>laura.santana@fng.gov.co</t>
  </si>
  <si>
    <t>leidy.velandia@fng.gov.co</t>
  </si>
  <si>
    <t>marielena.rojas@fng.gov.co</t>
  </si>
  <si>
    <t>jennifer.fuentes@fng.gov.co</t>
  </si>
  <si>
    <t>anyi.barreto@fng.gov.co</t>
  </si>
  <si>
    <t>edna.alba@fng.gov.co</t>
  </si>
  <si>
    <t>camilo.jimenez@fng.gov.co</t>
  </si>
  <si>
    <t>paloma.molano@fng.gov.co</t>
  </si>
  <si>
    <t>angelica.duarte@fng.gov.co</t>
  </si>
  <si>
    <t>maria.cano@fng.gov.co</t>
  </si>
  <si>
    <t>maria.buitrago@fng.gov.co</t>
  </si>
  <si>
    <t>jonathan.sanchez@fng.gov.co</t>
  </si>
  <si>
    <t>daniel.rodriguez@fng.gov.co</t>
  </si>
  <si>
    <t>valentina.duran@fng.gov.co</t>
  </si>
  <si>
    <t>liliana.zorro@fng.gov.co</t>
  </si>
  <si>
    <t>nathalie.bareno@fng.gov.co</t>
  </si>
  <si>
    <t>ibonne.quiroga@fng.gov.co</t>
  </si>
  <si>
    <t>sergio.sotelo@fng.gov.co</t>
  </si>
  <si>
    <t>jhan.ortiz@fng.gov.co</t>
  </si>
  <si>
    <t>lorena.torres@fng.gov.co</t>
  </si>
  <si>
    <t>wendy.pena@fng.gov.co</t>
  </si>
  <si>
    <t>lina.cortes@fng.gov.co</t>
  </si>
  <si>
    <t>xiomara.sierra@fng.gov.co</t>
  </si>
  <si>
    <t>oscar.farfan@fng.gov.co</t>
  </si>
  <si>
    <t>laura.herrera@fng.gov.co</t>
  </si>
  <si>
    <t>wilson.ferraro@fng.gov.co</t>
  </si>
  <si>
    <t>sandra.serrato@fng.gov.co</t>
  </si>
  <si>
    <t>allyne.castro@fng.gov.co</t>
  </si>
  <si>
    <t>cristian.herrera@fng.gov.co</t>
  </si>
  <si>
    <t>julieth.bocanegra@fng.gov.co</t>
  </si>
  <si>
    <t>sergio.martinez@fng.gov.co</t>
  </si>
  <si>
    <t>erbin.bayona@fng.gov.co</t>
  </si>
  <si>
    <t>nathaly.granada@fng.gov.co</t>
  </si>
  <si>
    <t>yuri.rubiano@fng.gov.co</t>
  </si>
  <si>
    <t>1026269804</t>
  </si>
  <si>
    <t>Jaiber Ricardo Diaz Mahecha</t>
  </si>
  <si>
    <t>ricardo.diaz@fng.gov.co</t>
  </si>
  <si>
    <t>Profesional Atención a Ciudadanos</t>
  </si>
  <si>
    <t>hernan.ramirez@fng.gov.co</t>
  </si>
  <si>
    <t>laura.franco@fng.gov.co</t>
  </si>
  <si>
    <t>camila.ceballos@fng.gov.co</t>
  </si>
  <si>
    <t>johan.duque@fng.gov.co</t>
  </si>
  <si>
    <t>milton.carranza@fng.gov.co</t>
  </si>
  <si>
    <t>cesar.sanchez@fng.gov.co</t>
  </si>
  <si>
    <t>carlos.rodriguez@fng.gov.co</t>
  </si>
  <si>
    <t>sergio.cuesta@fng.gov.co</t>
  </si>
  <si>
    <t>1030555911</t>
  </si>
  <si>
    <t>Karen Yiset Gutierrez Rojas</t>
  </si>
  <si>
    <t>karen.gutierrez@fng.gov.co</t>
  </si>
  <si>
    <t>Subdirector de Gestión Contractual</t>
  </si>
  <si>
    <t>manuel.ramirez@fng.gov.co</t>
  </si>
  <si>
    <t>julieth.castiblanco@fng.gov.co</t>
  </si>
  <si>
    <t>merlin.castro@fng.gov.co</t>
  </si>
  <si>
    <t>hamilton.galindo@fng.gov.co</t>
  </si>
  <si>
    <t>10</t>
  </si>
  <si>
    <t>angie.contreras@fng.gov.co</t>
  </si>
  <si>
    <t>yulder.valencia@fng.gov.co</t>
  </si>
  <si>
    <t>oscar.guana@fng.gov.co</t>
  </si>
  <si>
    <t>jhon.raba@fng.gov.co</t>
  </si>
  <si>
    <t>luis.fernandez@fng.gov.co</t>
  </si>
  <si>
    <t>dominik.cifuentes@fng.gov.co</t>
  </si>
  <si>
    <t>lilibeth.duran@fng.gov.co</t>
  </si>
  <si>
    <t>lina.garcia@fng.gov.co</t>
  </si>
  <si>
    <t>jenny.amaya@fng.gov.co</t>
  </si>
  <si>
    <t>yuly.lopez@fng.gov.co</t>
  </si>
  <si>
    <t>paola.riano@fng.gov.co</t>
  </si>
  <si>
    <t>juan.manrique@fng.gov.co</t>
  </si>
  <si>
    <t>oscar.lara@fng.gov.co</t>
  </si>
  <si>
    <t>alejandro.rangel@fng.gov.co</t>
  </si>
  <si>
    <t>karen.ariza@fng.gov.co</t>
  </si>
  <si>
    <t>angie.arguello@fng.gov.co</t>
  </si>
  <si>
    <t>brian.gonzalez@fng.gov.co</t>
  </si>
  <si>
    <t>viviana.gomez@fng.gov.co</t>
  </si>
  <si>
    <t>lina.sarmiento@fng.gov.co</t>
  </si>
  <si>
    <t>laura.moreno@fng.gov.co</t>
  </si>
  <si>
    <t>karen.fonseca@fng.gov.co</t>
  </si>
  <si>
    <t>linda.vanegas@fng.gov.co</t>
  </si>
  <si>
    <t>yennyfer.rodriguez@fng.gov.co</t>
  </si>
  <si>
    <t>omar.perez@fng.gov.co</t>
  </si>
  <si>
    <t>laura.gomez@fng.gov.co</t>
  </si>
  <si>
    <t>hector.bermudez@fng.gov.co</t>
  </si>
  <si>
    <t>anderson.chaparro@fng.gov.co</t>
  </si>
  <si>
    <t>maria.camargo@fng.gov.co</t>
  </si>
  <si>
    <t>fainorys.rueda@fng.gov.co</t>
  </si>
  <si>
    <t>alexa.sanchez@fng.gov.co</t>
  </si>
  <si>
    <t>sandra.arroyo@fng.gov.co</t>
  </si>
  <si>
    <t>angel.torres@fng.gov.co</t>
  </si>
  <si>
    <t>jhon.alvarez@fng.gov.co</t>
  </si>
  <si>
    <t>redinson.rios@fng.gov.co</t>
  </si>
  <si>
    <t>maria.rojas@fng.gov.co</t>
  </si>
  <si>
    <t>heimy.prieto@fng.gov.co</t>
  </si>
  <si>
    <t>heidy.trivino@fng.gov.co</t>
  </si>
  <si>
    <t>yeinseen.mora@fng.gov.co</t>
  </si>
  <si>
    <t>andres.hernandez@fng.gov.co</t>
  </si>
  <si>
    <t>diana.monroy@fng.gov.co</t>
  </si>
  <si>
    <t>laura.pardo@fng.gov.co</t>
  </si>
  <si>
    <t>carolina.ocana@fng.gov.co</t>
  </si>
  <si>
    <t>karla.javela@fng.gov.co</t>
  </si>
  <si>
    <t>valentina.oliveros@fng.gov.co</t>
  </si>
  <si>
    <t>natalia.perez@fng.gov.co</t>
  </si>
  <si>
    <t>hector.cortes@fng.gov.co</t>
  </si>
  <si>
    <t>zomer.lara@fng.gov.co</t>
  </si>
  <si>
    <t>sebastian.diaz@fng.gov.co</t>
  </si>
  <si>
    <t>daniel.vasquez@fng.gov.co</t>
  </si>
  <si>
    <t>paola.perez@fng.gov.co</t>
  </si>
  <si>
    <t>juan.gama@fng.gov.co</t>
  </si>
  <si>
    <t>elsa.reyes@fng.gov.co</t>
  </si>
  <si>
    <t>deisy.ariza@fng.gov.co</t>
  </si>
  <si>
    <t>luis.guzman@fng.gov.co</t>
  </si>
  <si>
    <t>juan.oviedo@fng.gov.co</t>
  </si>
  <si>
    <t>daniel.ramirez@fng.gov.co</t>
  </si>
  <si>
    <t>sebastian.sanchez@fng.gov.co</t>
  </si>
  <si>
    <t>michael.lopez@fng.gov.co</t>
  </si>
  <si>
    <t>jenifer.usma@fng.gov.co</t>
  </si>
  <si>
    <t>diego.castillo@fng.gov.co</t>
  </si>
  <si>
    <t>juan.sanchez@fng.gov.co</t>
  </si>
  <si>
    <t>manuel.fierro@fng.gov.co</t>
  </si>
  <si>
    <t>anderson.hernandez@fng.gov.co</t>
  </si>
  <si>
    <t>daniel.betancur@fng.gov.co</t>
  </si>
  <si>
    <t>andres.jaimes@fng.gov.co</t>
  </si>
  <si>
    <t>alejandra.marin@fng.gov.co</t>
  </si>
  <si>
    <t>javier.gonzalez@fng.gov.co</t>
  </si>
  <si>
    <t>eleonora.mejia@fng.gov.co</t>
  </si>
  <si>
    <t>maria.neira@fng.gov.co</t>
  </si>
  <si>
    <t>cristian.montoya@fng.gov.co</t>
  </si>
  <si>
    <t>jesus.rincon@fng.gov.co</t>
  </si>
  <si>
    <t>alex.zambrano@fng.gov.co</t>
  </si>
  <si>
    <t>marilyn.avendano@fng.gov.co</t>
  </si>
  <si>
    <t>sandra.nunez@fng.gov.co</t>
  </si>
  <si>
    <t>carolina.botero@fng.gov.co</t>
  </si>
  <si>
    <t>manuel.avalos@fng.gov.co</t>
  </si>
  <si>
    <t>ruth.guzman@fng.gov.co</t>
  </si>
  <si>
    <t>katty.eljach@fng.gov.co</t>
  </si>
  <si>
    <t>alexandra.vasquez@fng.gov.co</t>
  </si>
  <si>
    <t>john.calderon@fng.gov.co</t>
  </si>
  <si>
    <t>yurany.hernandez@fng.gov.co</t>
  </si>
  <si>
    <t>piedad.munoz@fng.gov.co</t>
  </si>
  <si>
    <t>Presidente de Entidad Descentralizada (E)</t>
  </si>
  <si>
    <t>sylvia.daza@fng.gov.co</t>
  </si>
  <si>
    <t>dory.rodriguez@fng.gov.co</t>
  </si>
  <si>
    <t>elizabeth.martin@fng.gov.co</t>
  </si>
  <si>
    <t>lina.bueno@fng.gov.co</t>
  </si>
  <si>
    <t>claudia.tafur@fng.gov.co</t>
  </si>
  <si>
    <t>rosa.romero@fng.gov.co</t>
  </si>
  <si>
    <t>nancy.olivera@fng.gov.co</t>
  </si>
  <si>
    <t>nelson.medina@fng.gov.co</t>
  </si>
  <si>
    <t>olga.zuluaga@fng.gov.co</t>
  </si>
  <si>
    <t>monica.henao@fng.gov.co</t>
  </si>
  <si>
    <t>ana.hernandez@fng.gov.co</t>
  </si>
  <si>
    <t>luz.gonzalez@fng.gov.co</t>
  </si>
  <si>
    <t>sandra.amaya@fng.gov.co</t>
  </si>
  <si>
    <t>maria.gonzalez@fng.gov.co</t>
  </si>
  <si>
    <t>lucy.leyva@fng.gov.co</t>
  </si>
  <si>
    <t>patricia.rojas@fng.gov.co</t>
  </si>
  <si>
    <t>esther.hernandez@fng.gov.co</t>
  </si>
  <si>
    <t>nidia.castillo@fng.gov.co</t>
  </si>
  <si>
    <t>cecilia.gomez@fng.gov.co</t>
  </si>
  <si>
    <t>luz.camacho@fng.gov.co</t>
  </si>
  <si>
    <t>luz.velasquez@fng.gov.co</t>
  </si>
  <si>
    <t>angela.rodriguez@fng.gov.co</t>
  </si>
  <si>
    <t>diana.pineda@fng.gov.co</t>
  </si>
  <si>
    <t>viviana.castro@fng.gov.co</t>
  </si>
  <si>
    <t>johanna.puentes@fng.gov.co</t>
  </si>
  <si>
    <t>maria.hernandez@fng.gov.co</t>
  </si>
  <si>
    <t>laura.pena@fng.gov.co</t>
  </si>
  <si>
    <t>claudia.quintero@fng.gov.co</t>
  </si>
  <si>
    <t>patricia.garzon@fng.gov.co</t>
  </si>
  <si>
    <t>monica.martinez@fng.gov.co</t>
  </si>
  <si>
    <t>sandra.olarte@fng.gov.co</t>
  </si>
  <si>
    <t>sonia.monrroy@fng.gov.co</t>
  </si>
  <si>
    <t>maria.bulla@fng.gov.co</t>
  </si>
  <si>
    <t>liliana.avellaneda@fng.gov.co</t>
  </si>
  <si>
    <t>luz.cuevas@fng.gov.co</t>
  </si>
  <si>
    <t>paola.yate@fng.gov.co</t>
  </si>
  <si>
    <t>angelly.rojas@fng.gov.co</t>
  </si>
  <si>
    <t>yenny.ochoa@fng.gov.co</t>
  </si>
  <si>
    <t>sandra.ospina@fng.gov.co</t>
  </si>
  <si>
    <t>julieth.riveros@fng.gov.co</t>
  </si>
  <si>
    <t>alexandra.albornoz@fng.gov.co</t>
  </si>
  <si>
    <t>diana.sanchez@fng.gov.co</t>
  </si>
  <si>
    <t>mariana.orozco@fng.gov.co</t>
  </si>
  <si>
    <t>luz.loaiza@fng.gov.co</t>
  </si>
  <si>
    <t>maria.lucena@fng.gov.co</t>
  </si>
  <si>
    <t>adriana.agudelo@fng.gov.co</t>
  </si>
  <si>
    <t>laura.quimbay@fng.gov.co</t>
  </si>
  <si>
    <t>angela.chica@fng.gov.co</t>
  </si>
  <si>
    <t>aidee.osuna@fng.gov.co</t>
  </si>
  <si>
    <t>lenda.avila@fng.gov.co</t>
  </si>
  <si>
    <t>andres.senior@fng.gov.co</t>
  </si>
  <si>
    <t>alvaro.castiblanco@fng.gov.co</t>
  </si>
  <si>
    <t>carlos.luna@fng.gov.co</t>
  </si>
  <si>
    <t>fernando.arciniegas@fng.gov.co</t>
  </si>
  <si>
    <t>juan.romero@fng.gov.co</t>
  </si>
  <si>
    <t>javier.manrique@fng.gov.co</t>
  </si>
  <si>
    <t>daniel.porras@fng.gov.co</t>
  </si>
  <si>
    <t>martin.ospina@fng.gov.co</t>
  </si>
  <si>
    <t>leonardo.castiblanco@fng.gov.co</t>
  </si>
  <si>
    <t>alex.lopez@fng.gov.co</t>
  </si>
  <si>
    <t>Jefe de Oficina de Control Interno</t>
  </si>
  <si>
    <t>luis.ramirez@fng.gov.co</t>
  </si>
  <si>
    <t>gabriel.briceno@fng.gov.co</t>
  </si>
  <si>
    <t>nelson.jimenez@fng.gov.co</t>
  </si>
  <si>
    <t>79834783</t>
  </si>
  <si>
    <t>Luis Carlos Real Mendez</t>
  </si>
  <si>
    <t>luis.real@fng.gov.co</t>
  </si>
  <si>
    <t>Profesional de Información de Cartera</t>
  </si>
  <si>
    <t>hector.gonzalez@fng.gov.co</t>
  </si>
  <si>
    <t>javier.vargas@fng.gov.co</t>
  </si>
  <si>
    <t>hector.paramo@fng.gov.co</t>
  </si>
  <si>
    <t>juan.parada@fng.gov.co</t>
  </si>
  <si>
    <t>jose.romero@fng.gov.co</t>
  </si>
  <si>
    <t>oscar.reyes@fng.gov.co</t>
  </si>
  <si>
    <t>jair.figueredo@fng.gov.co</t>
  </si>
  <si>
    <t>manuel.renteria@fng.gov.co</t>
  </si>
  <si>
    <t>adrian.gomez@fng.gov.co</t>
  </si>
  <si>
    <t>diego.cubillos@fng.gov.co</t>
  </si>
  <si>
    <t>andres.yaguez@fng.gov.co</t>
  </si>
  <si>
    <t>diego.toazura@fng.gov.co</t>
  </si>
  <si>
    <t>jairo.vasquez@fng.gov.co</t>
  </si>
  <si>
    <t>omar.buitrago@fng.gov.co</t>
  </si>
  <si>
    <t>80424921</t>
  </si>
  <si>
    <t>Wilfredo Jimenez Ladino</t>
  </si>
  <si>
    <t>wilfredo.jimenez@fng.gov.co</t>
  </si>
  <si>
    <t>ANALISTA ADMINISTRATIVO Y DE SERVICIOS GENERALES</t>
  </si>
  <si>
    <t>alejandro.moreno@fng.gov.co</t>
  </si>
  <si>
    <t>jesus.alarcon@fng.gov.co</t>
  </si>
  <si>
    <t>javier.moncada@fng.gov.co</t>
  </si>
  <si>
    <t>hector.salgar@fng.gov.co</t>
  </si>
  <si>
    <t>paul.haddad@fng.gov.co</t>
  </si>
  <si>
    <t>jhohan.bustos@fng.gov.co</t>
  </si>
  <si>
    <t>alirio.mendez@fng.gov.co</t>
  </si>
  <si>
    <t>oscar.sanchez@fng.gov.co</t>
  </si>
  <si>
    <t>juan.rodriguez@fng.gov.co</t>
  </si>
  <si>
    <t>jhon.parra@fng.gov.co</t>
  </si>
  <si>
    <t>jorge.arevalo@fng.gov.co</t>
  </si>
  <si>
    <t>andres.pineda@fng.gov.co</t>
  </si>
  <si>
    <t>ivan.ruiz@fng.gov.co</t>
  </si>
  <si>
    <t>Diseñar durante el 2025 la primera versión de la estrategia de sostenibilidad del FNG, con apoyo externo especializado, que contenga el análisis de materialidad.
Indicador o fórmula: Porcentaje de cumplimiento al 100% Q1: 15% Q3: 35% Q4: 50%
Actividades y Entregables: Actividad 1: Q1 presentar el estado actual en materia de sostenibilidad del FNG ante el Comité de Gobierno Corporativo de enero de 2025.
Entregable 1: Extracto del Acta del Comité de Gobierno Corporativo de enero de 2025 15%. 
Actividad 2: Q3 diseñar el análisis de materialidad presentado al Vicepresidente Ejecutivo.Entregable 2: Análisis de materialidad aprobado por el Vicepresidente Ejecutivo 35%. 
Actividad 3: Q4 diseñar la estrategia de sostenibilidad.Entregable 3: Documento de la estrategia presentado a la alta gerencia 50%.</t>
  </si>
  <si>
    <t>Formalizar durante el 2025 el lineamiento de alianzas estratégicas y cooperación internacional del FNG con su caja de herramientas.
Indicador o fórmula: Porcentaje de cumplimiento al 100% Q3: 85% Q4: 15%
Actividades y Entregables: Actividad 1: Q3 actualizar el lineamiento y su caja de herramientas.Entregable 1: Documento actualizado del lineamiento de alianzas estratégicas y cooperación internacional del FNG con su caja de herramientas presentado al Vicepresidente Ejecutivo 50%. 
Actividad 2: Q3 socializar y validar el documento y su caja de herramientas con la Vicepresidencia Comercial y Vicepresidencia Ejecutiva.Entregable 2: Constancia de la reunión de socialización del documento y su caja de herramientas con la Vicepresidencia Comercial y Vicepresidencia Ejecutiva 35%. 
Actividad 3: Q4 formalizar el documento actualizado y validado en la herramienta definida por la entidad para su formalización.Entregable 3: Cargue del documento actualizado en la herramienta dispuesta por la entidad para su formalización 15%.</t>
  </si>
  <si>
    <t>Implementar durante 2025 las actividades definidas en el Plan de Seguridad y Privacidad de la Información GIT_008_D612_010 y Plan de Tratamiento de Riesgos de Seguridad y Privacidad de la Información GIT_008_D612_009.
Indicador o fórmula:Porcentaje de cumplimiento 100%Q1:14%Q2:7%Q3:40%Q4:39%
Actividades y Entregables:
Actividad 1: Q1formalizar el Manual del Sistema de Gestión de Seguridad de la Información.Entregable 1: Cargue del Manual en la herramienta dispuesta por la entidad para su formalización (10%). 
Actividad 2: Q1 a Q4 ejecutar los 22 controles que están definidos en la matriz de riesgos y controles del FNG y que están a cargo de Seguridad de la Información. Entregable 2: Informe ejecutivo remitido vía correo electrónico al Vicepresidente Ejecutivo con el resultado de las validaciones efectuadas (15%). 
Actividad 3: Q2 a Q4 realizar una capacitación de sensibilización en Seguridad de la Información dirigida a los colaboradores del FNG y enviar 8 cápsulas informativas por los canales de comunicación definidos por el fondo.Entregable 3: Presentación de la capacitación de sensibilización realizada y listado de asistentes a la capacitación. 8 cápsulas de información envidas por los canales de comunicación del FNG (10%). 
Actividad 4: Q3 a Q4 elaborar y evaluar 4 matrices de roles y perfiles para sistemas de información (10%). Se obtendrá un 100% del peso de este entregable si se levantan las cuatro matrices. Si se elaboran 3 matrices se obtendrá una calificación del 75% del peso de este entregable. Si se elaboran 2 o menos matrices, la calificación sera de 0%.Entregable 4: Correo electrónico emitido por el administrador funcional del sistema objeto de evaluación, en el que se evidencie la aprobación de cada una de las matrices de roles y perfiles elaboradas. 
Actividad 5: Q3 a Q4 elaborar la matriz de activos de información del FNG.Entregable 5: Matriz de activos de información publicada en la página web del FNG antes del 31 de diciembre de 2025 (15%). Actividad 6: Q3 a Q4 realizar dos pruebas de gestión de incidentes de seguridad de la información (10%). Si se realizan las dos pruebas, se tendrá una calificación del 100% del peso de este entregable. Si se realiza una prueba, se tendrá una calificación del 50% del peso de este entregable.Entregable 6: Informes con los resultados de las pruebas ejecutadas, entregados al Vicepresidente Ejecutivo y a la Vicepresidenta de Transformación Digital e Innovación vía correo electrónico.
Actividad 7: Q3 a Q4 realizar un análisis de vulnerabilidades y ethical hacking sobre la infraestructura tecnológica del FNG. Entregable 7: Informe de test del análisis de vulnerabilidades y ethical hacking, entregado al Vicepresidente Ejecutivo y a la Vicepresidenta de Transformación Digital e Innovación vía correo electrónico (15%). 
Actividad 8: Q4 finalizar el entrenamiento, clasificación y etiquetado de la información del FNG.Entregable 8: Informe ejecutivo remitido vía correo electrónico al Vicepresidente Ejecutivo con el resultado de la clasificación y etiquetado de la información del FNG (15%).</t>
  </si>
  <si>
    <t>Gestionar la anticipación normativa del FNG en 2025, a través de la identificación de normas de interés y la incidencia, por medio de la actualización de la matriz y la presentación de informes.
Indicador o fórmula:Porcentaje de cumplimiento al 100% Q1: 20% Q2: 30% Q3: 20% Q4: 30%
Actividades y Entregables: 
Actividad 1: Q1 a Q4 identificar la normativa de interés, compartir la normativa de interés con las áreas competentes y proponer comentarios, cuando se identifique que es necesario. .Entregable 1: Matriz normativa de interés identificada con acciones realizadas 80%. 
Actividad 2: Q2 y Q4 presentar informes de gestión normativa e incidencia al Vicepresidente Ejecutivo, uno en cada semestre.Entregable 2: Informes semestrales de la gestión normativa (2 informes) presentados al Vicepresidente Ejecutivo 20%.</t>
  </si>
  <si>
    <t>Diseñar durante el 2025 el Manual de Gobierno Corporativo para incluir las principales actividades de la Entidad en esta materia. El Manual deberá contar con su objetivo general y lineamientos en la materia.
Indicador o fórmula:  Porcentaje de cumplimiento al 100% Q3: 85% Q4: 15%
Actividades y Entregables: 
Actividad 1: Q3 diseñar el manual con su objetivo y lineamientos. Entregable 1: Documento Manual de Gobierno Corporativo presentado al Vicepresidente Ejecutivo 85%. 
Actividad 2: Q4 formalizar el documento en la herramienta definida por la entidad para su formalización.Entregable 2: Cargue del documento en la herramienta definida por la entidad 15%.</t>
  </si>
  <si>
    <t>Gestionar el funcionamiento de la Junta Directiva durante el 2025, promover la comunicación activa con sus miembros y diseñar el protocolo de expedición de extractos y certificados de la Junta Directiva. Además, diseñar la autoevaluación de la Junta Directiva, conforme la Política aprobada por la Junta (revisar lineamientos de Grupo Bicentenario).
Indicador o fórmula:Porcentaje de cumplimiento al 100%Q1: 14%Q2: 14%Q3: 49%Q4: 23%
Actividades y Entregables: 
Actividad 1: Q1 a Q4 cumplir el cronograma de actividades aprobado por la junta directiva. Entregable 1: Cronograma de la Junta Directiva, actas de las sesiones de la Junta Directiva y comprobante de pago de honorarios 40%.
Actividad 2: Q1 a Q4 hacer seguimiento de los compromisos con la Junta Directiva. A medida que se vayan adelantando las sesiones de juntas, se van adquiriendo nuevos compromisos.Entregable 2: Matriz de compromisos de la Junta Directiva y su estado de cumplimiento remitida por correo electrónico al Vicepresidente Ejecutivo 15%.
Actividad 3: Q3 diseñar el protocolo de expedición de extractos y certificados de la Junta Directiva.Entregable 3: Protocolo de expedición de extractos y certificados de la Junta Directiva presentado al Vicepresidente Ejecutivo 35%.
Actividad 4: Q4 diseñar el cuestionario de autoevaluación de la Junta Directiva (revisar lineamientos de Grupo Bicentenario).Entregable 4: Cuestionario de autoevaluación presentado al Vicepresidente Ejecutivo 10%.</t>
  </si>
  <si>
    <t>Realizar el envío de la información con destino a Grupo Bicentenario un día antes de las fechas establecidas en la "Circular 01_Cierres Trimestrales 2025", esto para los trimestres 2 y 3 del año 2025
Indicador:• Informe con corte a junio 2025.50%
• Informe con corte a septiembre 2025.50%
Entregables:Correos electrónicos remitidos a la administración de Grupo Bicentenario con la información solicitada.
Evidencias:P:\Objetivos\2025\Dirección de Contabilidad y Presupuesto\Diana Janeth Pineda Mendoza</t>
  </si>
  <si>
    <t>Realizar mensualmente la conciliación contable vs presupuesto y el informe de ejecución presupuestal, el día de la transmisión del respectivo corte a la SFC, desde el corte del mes de mayo hasta el corte del mes de noviembre de 2025.
Indicador: Cantidad de informes remitidos dentro de las fechas establecidas / Total de informes del año
Entregables: Correos remitidos al Vicepresidente Financiero con indicación de la ruta de los informes.
Evidencias: P:\Objetivos\2025\Dirección de Contabilidad y Presupuesto\Diana Janeth Pineda Mendoza</t>
  </si>
  <si>
    <t>A 31 diciembre de 2025 lograr como mínimo el cumplimiento del 90% de las acciones formuladas durante la vigencia en los planes de acción y mejoramiento relacionados con las auditorias realizadas por la OCI, SFC, Revisoria Fiscal y CGR en las actividades relacionadas con la Dirección de Contabilidad y Presupuesto.
Indicador:Cantidad de actividades de planes de mejoramiento cumplidas (# acciones ejecutadas) / # total de acciones incluidas en los planes a ser ejecutados al 31/12/2025
Entregables:Correo electrónico enviado en el cual se informe a la Oficina de control Interno - OCI el cumplimiento de las acciones, la modificación de fechas o entregables acordados, a este correo deben adjuntarse los soportes de evidencias que correspondan en cada caso.
Evidencias:P:\Objetivos\2025\Dirección de Contabilidad y Presupuesto\Diana Janeth Pineda Mendoza</t>
  </si>
  <si>
    <t>Realizar el cierre y la transmisión del PUC financiero mensual a la SFC un día hábil antes del vencimiento del plazo formal para transmitir, iniciando con la transmisión a realizarse en el mes de enero de 2025 hasta la transmisión a realizarse en el mes de diciembre de 2025.
Indicador:(Cantidad de informes reportados con un día de antelación al vencimiento legal / Total de reportes en el año)
Entregables:Se evaluará por cada mes con el cumplimiento del Calendario Financiero 2025.Evidencias: P:\Objetivos\2025\Dirección de Contabilidad y Presupuesto\Diana Janeth Pineda Mendoza</t>
  </si>
  <si>
    <t>Al 31 de diciembre de 2025 realizar las etapas requeridas del área de Contabilidad, para la implementación del módulo de activos fijos.Indicador: * Documento con la definición de reglas de negocio (Bussines Blue Print) 31 de agosto 30% * Definición de datos contables maestros 31 de diciembre 30% * Informe de ejecución de pruebas 31 de diciembre 40%
Entregables: *Correo electrónico remitido al Vicepresidente Financiero con el Informe definición de reglas de negocio (Bussines Blue Print) 31 de Agosto 30% *Correo electrónico remitido al Vicepresidente Financiero con el informe de definición de datos contables maestros 31 de diciembre. 30% * Correo electrónico remitido al Vicepresidente Financiero con el Informe de ejecución de pruebas. 31 de diciembre 40%
Evidencias: P:\Objetivos\2025\Dirección de Contabilidad y Presupuesto\Diana Janeth Pineda Mendoza</t>
  </si>
  <si>
    <t>Diseñar un un informe del presupuesto ejecutado de los contratos que se encuentran en el Plan Anual de Adquisiciones.
Indicador:
• Modelo del diseño del informe de presupuesto de ejecución contractualde los contratos del PACJulio de 2025:25%
• Generación de primer informe de pruebaAgosto 2025:25%
• Envío informe con corte a septiembre 2025 hasta el 31 de octubre:25%
• Envío informe con corte a noviembre 2025 hasta el 31 de diciembre:25%
Entregables:
•Correo remitido al Vicepresidente Financiero con el Modelo del diseño del informe de presupuesto de ejecución contractualde los contratos del PACJulio de 2025:25%
• Correo remitido al Vicepresidente Financiera con el primer informe de pruebaAgosto 2025:25%
• Correo remitido a las areas con el envío del informe con corte a septiembre 2025 hasta el 31 de octubre:25%
•Correo remitido a las areas con el envío del informe con corte a noviembre 2025 hasta el 31 de diciembre:25%
Evidencias:P:\Objetivos\2025\Dirección de Contabilidad y Presupuesto\Diana Janeth Pineda Mendoza</t>
  </si>
  <si>
    <t>Presentarlos informes a la CGN de los cortes de marzo, junio y septiembre de 2025 un día antes del vencimiento establecido, de acuerdo con la normatividad aplicable.
Indicador:(Cantidad de informes reportados dentro de las fechas establecidas / Total de reportes en el año) 
Entregables:Se evaluará por cada trimestre con el cumplimiento del Calendario Financiero 2025.
Evidencias: P:\Objetivos\2025\Dirección de Contabilidad y Presupuesto\Diana Janeth Pineda Mendoza</t>
  </si>
  <si>
    <t>OBJETIVO: 
A 1 de octubre de 2025, implementar las notificaciones automáticas de finalización de contratos dirigidas a los supervisores, con el propósito de dar inicio a la etapa postcontractual, en los términos establecidos en el Manual de Contratación. 
Etapa 1 (10%): máximo 01 de julio, elaboración y radicación de caso Aranda para atención al requerimiento de notificación automática; Etapa 2 (30%):. máximo a 15 de agosto de 2025, actualizar la base ACCES con todos los registros de contratos suscritos y vigentes a esa fecha de corte; 
Etapa 3 (10%): máximo 19 de septiembre. Socialización dirigida a los supervisores de contratos. 
Etapa 4 (50%): A 30 de septiembre de 2025. Implementación de notificaciones automáticas.
ENTREGABLE:
1. Actualización de la base ACCES y número de registros realizados.
2. Caso Aranda – requerimiento de automatización.
3. Cierre de caso y disponibilidad de la solución.
4. Soporte de socialización - notificaciones automáticas dirigida a supervisores.
EVIDENCIA DE CUMPLIMIENTO:
1. Correo electrónico dirigido al Vicepresidente Jurídico informando la actualización de la base y número de registros realizados.
2. Correo electrónico dirigido al Vicepresidente Jurídico informando el consecutivo Caso Aranda.
3. Correo electrónico de notificación de cierre de caso y disponibilidad de la solución,
4. Soporte de socialización - notificaciones automáticas dirigida a supervisores.
EVALUACIÓN: Se obtendrá un 100% del cumplimiento del indicador si se cumplen las actividades mínimo al 95%. Se obtendrá calificación a partir del 85% de la meta: donde 84,9% da cero puntos y proporcional entre el 85% y 95%.
Fórmula de Medición: Sumatoria de las etapas por su peso. Por cada semana de atrasos en el cumplimiento de los entregables, se descontará un 5% del peso de cada entregable﻿
P:\Objetivos\2025\Dirección de Contratación\Veronica Espejo Peña</t>
  </si>
  <si>
    <t>OBJETIVO: Reportar mensualmente a la Vicepresidencia Jurídica el estado de cumplimiento del plan anual de adquisiciones con base en las actividades de seguimiento a cada dependencia sobre las necesidades programadas por estas. A partir de junio de 2025 y hasta diciembre de 2025.
ENTREGABLES: Tablero Power BI que evidencie el estado mensual CONSOLIDADO del PAA.
EVIDENCIA DE CUMPLIMIENTO: Correo electrónico dirigido al Vicepresidente Jurídico en el que se incluya el Tablero Power BI que evidencie el estado mensual CONSOLIDADO del PAA.
EVALUACIÓN: Se obtendrá un 100% del cumplimiento del indicador si se cumplen las actividades mínimo al 90%. se obtendrá calificación a partir del 80% de la meta: donde 79,9% da cero puntos y proporcional entre el 80% y 90%.
Fórmula de medición Sumatoria de las etapas por su peso. Por cada semana de atrasos en el cumplimiento de los entregables, se descontará un 5% del peso de cada entregable.
P:\Objetivos\2025\Dirección de Contratación\Veronica Espejo Peña</t>
  </si>
  <si>
    <t>OBJETIVO: Realizar como mínimo el cierre del 95% de los contratos finalizados entre el 01 de mayo de 2024 y 31 de agosto de 2025, mediante la suscripción de informes finales de supervisión y/o actas de liquidación. Para la medición del indicador se tendrá en cuenta las siguientes etapas:
Etapa 1 - equivalente al 50 %: A 31 de julio de 2025, realizar el cierre de los contratos finalizados y pendientes de liquidación o cierre a 31 de diciembre de 2024. Para la medición de esta etapa, se presentará máximo el 30 de junio de 2025 la línea base de esta primera etapa; y máximo el 15 de agosto de 2025, un informe con el listado definitivo de los contratos objeto de cierre y su estado; 
Etapa 2 - equivalente al 50%: A 15 de diciembre de 2025, realizar el cierre de los contratos finalizados a 31 de agosto de 2025. Para la medición de esta etapa, se presentará máximo el 12 de septiembre de 2025 la línea base de esta segunda etapa; y se presentará máximo el 22 de diciembre de 2025, un informe con el listado de los contratos objeto de cierre y su estado.
ENTREGABLE:1. Informe con el listado definitivo de los contratos objeto de cierre (Etapa 1) y su estado (Liquidados/Cerrados) dirigido al Vicepresidente Jurídico a través de correo electrónico.2. Informe con el listado definitivo de los contratos objeto de cierre (Etapa 2) y su estado (Liquidados/Cerrados) dirigido al Vicepresidente Jurídico a través de correo electrónico.
EVIDENCIA:1. Correo electrónico remitido por la Directora/Subdirectora de Contratos con el Informe definitivo de los contratos Liquidados/Cerrados (Etapa 1)
2. Correo electrónico remitido por la Directora/Subdirectora de Contratos con el Informe definitivo de los contratos Liquidados/Cerrados (Etapa 2)
EVALUACIÓN.Se obtendrá un 100% del cumplimiento del indicador si se cumplen las actividades mínimo al 95%. Se obtendrá calificación a partir del 85% de la meta: donde 84,9% da cero puntos y proporcional entre el 85% y 95%.
Fórmula de Medición Para el cumplimiento de cada etapa:(número de actas o informes realizados)/(número de actas o informes de la línea base)*100Para el resultado final: (sumatoria de los % de cumplimiento de cada vigencia / 2)
P:\Objetivos\2025\Dirección de Contratación\Veronica Espejo Peña</t>
  </si>
  <si>
    <t>Lograr la vinculación y/o reactivación durante el año2025, de nueve (9) intermediarios financieros en la Regional Antioquia y Chocó.Se medirá de acuerdo a la formula : # de vinculaciones año 2025 divido 9 y el resultado obtenido será la calificación final del objetivo según la formula, ejemplo: 5 vinculaciones/9 = 55.5%.Evidencia: Correo de Confirmación de suscripción de contrato generado por la Dirección de Vinculación, Aseguramiento y Calidad</t>
  </si>
  <si>
    <t>OBJETIVO: A 30 de noviembre de 2025, realizar curso de formación contractual dirigido los supervisores de contratos y personal de apoyo, que permita fortalecer los conocimientos relacionados con las actividades de seguimiento y control de la ejecución contractual en el FNG.Para desarrollar este objetivo, se tendrán en cuenta las siguientes etapas:
Etapa 1 -máximo 30 de julio de 2025 (10%): Concertar propuesta educativa más viable. 
Etapa 2 - máximo a 19 de agosto de 2025 (40%): Adelantar las acciones administrativas y contractuales que se requieran para la realización del curso. 
Etapa 3- máximo a 15 de noviembre (50%) desarrollar el programa
ENTREGABLE
1. Correo electrónico con la selección de propuesta educativa.
2. Correo electrónico con las evidencias de las acciones administrativas o contractual realizadas para el desarrollo del curso.3. Documentos que acrediten la participación en el curso por parte de los supervisores del contrato y personal de apoyo.
EVIDENCIA DE CUMPLIMIENTO:
1. Correo electrónico con la selección de propuesta educativa.
2. Correo electrónico con las evidencias de las acciones administrativas o contractual realizadas para el desarrollo del curso.
3. Documentos que acrediten la participación en el curso por parte de los supervisores del contrato y personal de apoyo.EVALUACIÓN: Sumatoria de las etapas por su peso. Por cada semana de atrasos en el cumplimiento de los entregables, se descontará un 5% del peso de cada entregable.Fórmula de Medición(Número de capacitaciones realizadas / Número total de capacitaciones programadas) * 100
P:\Objetivos\2025\Dirección de Contratación\Veronica Espejo Peña</t>
  </si>
  <si>
    <t>OBJETIVO: 
A 31 de diciembre de 2025, lograr la completitud de expedientes contractuales en su etapa de ejecución con corte a 30 de noviembre de 2025. Para el cumplimiento de este objetivo, a partir de junio de 2025, se socializará ante el Comité de Adquisición de Bienes y Servicios los resultados obtenidos de la revisión adelantada sobre el muestreo aleatorio bimensual de los contratos vigentes a la fecha de cada corte, con el fin de verificar la completitud de los expedientes seleccionados, específicamente de soportes de ejecución, tanto en MERCURIO, como su publicidad en SECOP II o TVEC.
Para efectos de la medición, se tendrá en cuenta los siguientes porcentajes y cortes bimensuales que serán socializados en el CABS en el mes siguiente, así:25% = Corte - 31 de mayo (Socialización: junio);25% = Corte - 31 de Julio (Socialización: agosto);25% = Corte - 30 de septiembre (Socialización: Octubre);25% = Corte - 30 noviembre (Socialización: diciembre).
ENTREGABLE: Socialización ante el CABS, en cada mes programado
EVIDENCIA DE CUMPLIMIENTO: Correo electrónico dirigido al Vicepresidente Jurídico con las evidencias de Socialización ante el CABS, en cada mes programado
EVALUACIÓN: Sumatoria de las etapas por su peso. Por cada semana de atrasos en el cumplimiento de los entregables, se descontará un 10% del peso de cada entregable. Se obtendrá un 100% del cumplimiento del indicador si se cumplen las actividades mínimo al 90%. Se obtendrá calificación a partir del 80% de la meta: donde 79,9% da cero puntos y proporcional entre el 80% y 90%.
Fórmula de Medición. Sumatoria de las etapas por su peso. Por cada semana de atrasos en el cumplimiento de los entregables, se descontará un 5% del peso de cada entregable
P:\Objetivos\2025\Dirección de Contratación\Veronica Espejo Peña</t>
  </si>
  <si>
    <t>OBJETIVO: Lograr que a partir de 1 de agosto de 2025 se realice la revisión del 90% de los instrumentos contractuales para la adquisición de bienes y servicios exceptuados del manual de contratación “Core de Negocio” por parte de la Dirección de Contratación, en menores tiempos a los establecidos, así: 
1) La revisión del documento de justificación se realizará en máximo en 24 horas corrientes siguientes a su radicación; 
2) la revisión de la minuta de contrato u otrosí se realizará en máximo 48 horas corrientes a su radicación (con la completitud documental) por parte de las áreas usuarias.
ENTREGABLES: Este objetivo tendrá los siguientes hitos y entregables:
·Etapa 1: A 30 de junio, elaborar el Instructivo dirigido a las áreas sobre las pautas y soportes que deben allegar para adelantar la revisión de los instrumentos contractuales para medición de cumplimiento. Peso 20%
·Etapa 2: A 15 de julio, socializar a las áreas de interés el instructivo elaborado. Peso 20%
·Etapa 3: A partir del 1 de agosto, implementar la estrategia y los instrumentos para controlar los tiempos de respuesta. Peso 60%.
La evaluación de la ETAPA No. 3 tendrá un rango de cumplimiento, así: Se obtendrá un 100% del porcentaje del peso del entregable de la Etapa 3 si se cumple la revisión del 90% de los instrumentos contractuales objeto de revisión entre el periodo 1º de agosto al 31 de diciembre de 2025. Se obtendrá una calificación proporcional del peso del entregable de la Etapa 3, si se cumple por debajo del 90% de la revisión de instrumentos contractuales, de acuerdo con la siguiente tabla:Cumplimiento del Entregable (Etapa 3 
)Ponderación de Cumplimiento Menor a 90% y hasta el 80% 75% 
Menor al 80% y hasta el 70%  50% Menor al 70% y hasta el 60% 25% 
Menor al 60% 0% 
EVIDENCIAS DE CUMPLIMIENTO: Lo siguiente serán las evidencias de cumplimiento:
1.Etapa 1.: Instructivo e instrumento de control presentado al Vicepresidente Jurídico vía correo electrónico.
2.Etapa 2.: Citación y desarrollo de la reunión donde se realiza la socialización del instructivo.
3.Etapa 3.: Informe presentado por la Directora de Contratación al Vicepresidente Jurídico con el cumplimiento de los tiempos. 
La Directora de Contratación guardará los correos electrónicos de entrada y salida de la revisión de los instrumentos contractuales como soporte del informe.
EVALUACIÓN: el porcentaje de cumplimiento del objetivo será la sumatoria del peso asignado a cada hito, que se cumpla al 100%.
P:\Objetivos\2025\Dirección de Contratación\Veronica Espejo Peña</t>
  </si>
  <si>
    <t>Desarrollar durante el año 2025 la actualización de la evaluación del perfil de riesgo LA/FT/PADM de acuerdo con la metodología relacionada en el Manual de Prevención y Control LAFTFPADM:
1.Aplicación del análisis de contexto de la organización para la actualización del perfil de riesgos LA/FT/FPADM. Entregable: Informe preliminar de contexto con fecha límite 15 de septiembre de 2025. Peso 20%
2.Actualización de las variables de medición inherente para el perfil de riesgo LA/FT/FPADM de la Entidad. 
Entregable: Informe preliminar de medición inherente de perfil de riesgo con fecha límite 31 de octubre de 2025. Peso 15%
3.Actualización de los controles y variables de medición residual para el perfil de riesgo LA/FT/PADM de la Entidad. Entregable: Informe preliminar de medición residual de perfil de riesgo con fecha límite 15 de noviembre de 2025. Peso 15%
4.Análisis comparativo de perfil de riesgo inherente y residual de la Entidad y resultado de la aplicación metodológica para la actualización del perfil de riesgos LA/FT/FPADM. Entregable: Informe con elresultado de la aplicación metodológica para la actualización del perfil de riesgos LA/FT/FPADM, fecha límite 31 de diciembre de 2025. Peso 20%
5.Socializar con las áreas focalizadas de interés de la matriz LA/FT/FPADM resultado de la actualización del perfil de riesgos, consolidar las observaciones y ajustar el documento de ser pertinente. El entregable será el soporte de envío o socialización a las áreas identificadas, el cual se debe remitir antes del 31 de diciembre de 2025. Peso: 30%
Indicador o Formula con la que se va a Realizar la Medición.Cumplimiento de acuerdo al peso de cada entregable.
Entregables1.Informe con elresultado de la aplicación metodológica para la actualización del perfil de riesgos LA/FT/FPADM fecha límite 31 de diciembre de 2025.2. 
El entregable será el soporte de envío o socialización a las áreas identificadas, el cual se debe remitir antes del 31 de diciembre de 2025</t>
  </si>
  <si>
    <t>Asegurar durante el año 2025 que los casos CRM de la vinculación y actualización de Intermediarios Financieros, proveedores, miembros de Junta y deudores se cumplan con los requisitos establecidos PD-GCU-017 Debida diligencia conocimiento del cliente, dentro del tiempo determinado por ANS, los cuales inician con la radicación en el aplicativo CRM. 
Entregable: Papel de trabajo con la gestión de IF al 31de diciembre de 2025 Peso: 100%
Indicador o Formula con la que se va a Realizar la Medición.Total de Tareas de IF revisadas con calidad y oportunidad / Total de Tareas de IF registradas en CRM.
Entregables1. Papel de trabajo con la gestión de IF al 31de diciembre de 2025 presentado al Vicepresidente Ejecutivo.</t>
  </si>
  <si>
    <t>Determinar durante el año 2025 los sujetos con responsabilidad tributaria internacional de acuerdo con las Resoluciones expedidas por la DIAN respecto de FATCA y CRS.
1. Consolidar informe que relacione actividades y resultados en la aplicación del procedimiento PD-GCU-009 Debida diligencia FATCA y CRS correspondiente a la vigencia fiscal 2024.Peso:100%
Indicador o Formula con la que se va a Realizar la Medición.Informe de Debida Diligencia FATCA y CRS presentado al Vicepresidente Ejecutivo.
Entregables1. Informe que relacione actividades y resultados en la aplicación del procedimiento PD-GCU-009Debida Diligencia FATCA y CRS al 31 de julio de 2025.</t>
  </si>
  <si>
    <t>Desarrollar durante el año 2025 las actividades para administrar adecuadamente los casos de conflicto de interés revelados ante la Dirección de Cumplimiento.
Su evaluación será de la siguiente manera:
1) Generar el informe por cada caso de conflicto de interés reportado de acuerdo con las especificaciones del procedimiento PD-GCU-020 Gestión de conflicto de interés durante la vigencia 2025 (de los casos que se revelen al 30 de noviembre de 2025). 
Entregable Tablero de seguimiento de casos a más tardar el 15 diciembre de 2025. Peso:70%
2) Realizar seguimiento al estado de los casos clasificados de conflicto de interés e identificar si hay materialidaden el proceso de seguimiento. 
Entregable: Tablero de seguimiento de casos a más tardar el 15 diciembre de 2025. Peso:30% Indicador o Formula con la que se va a Realizar la Medición.Cumplimiento de acuerdo al peso de cada entregable.1. Entregable Tablero de seguimiento de casos a más tardar el 15 diciembre de 2025.</t>
  </si>
  <si>
    <t>Implementar durante el año 2025 el PTEP del FNG de conformidad con el Decreto 1122 de 2024:
1. Elaborar el cronograma de transición para la implementación del Programa de Transparencia y Ética Pública.
Entregable: Cronograma de transición. Fecha límite 31 de mayo de 2025.Peso: 20%
2. Documentar la secciones asignadas por cronograma a la Dirección de Cumplimiento
Entregable: Documento con la redacción de las secciones asignadas en el cronograma a la Dirección de Cumplimiento. Fecha límite 31 de mayo de 2025. Peso: 80%
Indicador o Formula con la que se va a Realizar la Medición.% de cumplimiento de las actividades para el objetivo
Entregables
1. Cronograma de transición presentado al Vicepresidente Ejecutivo. Fecha límite 31 de mayo de 2025.
2. Documento con la redacción de las secciones asignadas en el cronograma a la Dirección de Cumplimiento presentadas al Vicepresidente Ejecutivo. Fecha límite 31 demayo de 2025.</t>
  </si>
  <si>
    <t>Implementar durante el año 2025 un Manual de ruta para la aprehensión de Buenas Prácticas en Prevención y Control de Lavado de Activos para las Pymes e Intermediarios Financieros No Vigilados. 
Su evaluación será de la siguiente manera:
1.Gestionar las actividades asignadas en el cronograma de diseño de la guía LA/FT/FPADM. 
Entregable: Q2 y Q3 Papeles de trabajo con avances. Q4 documento definitivo guía. Fecha límite 31 de diciembre 2025. Peso: 70%
2. Socializar con los áreas focalizadas de interés u objeto de uso de la guía la propuesta para consolidar las observaciones y ajustar el documento de acuerdo con la evaluación realizada. El entregable será el documento ajustado, el cual se debe remitir antes del 30 de noviembre de 2025. Peso: 30%
Indicador o Formula con la que se va a Realizar la Medición.% de cumplimiento de las actividades para el objetivo
Entregables
1. Q2 y Q3 Papeles de trabajo con avances. 
Q4 documento definitivo guía presentado al Vicepresidente Ejecutivo.
2. Documento ajustado, el cual se debe remitir antes del 31 de diciembre de 2025 al Vicepresidente Ejecutivo.</t>
  </si>
  <si>
    <t>Garantizar durante el 2025 la adecuada finalización del alcance inicial de la implementación de la AE y dar continuidad para su masificación, atendiendo los siguientes ítems : 
Q2: Dar cierre a las actividades de implementación de la AE en la Vicepresidencia de operaciones y la Vicepresidencia de Transformación Digital e Innovación, haciendo entrega del correspondiente informe del estado de implementación de la AE ; 
Q3: Realizar mesa de trabajo con el equipo de arquitectura que cuenta con credenciales en Abacus con el fin de realizar un informe de monitoreo y actualización de los modelos. 
Q4: Entregar la estructuración del proyecto técnico para el crecimiento de la AE en el FNG al menos para dos Vicepresidencias adicionales.
Entregables:Hitos definidos para 2025:
Q2: Informe de supervisión de la AE implementada.
Q3: Informe de monitoreo y actualización de la AE.
Q4: Proyecto de crecimiento de la AE con la planeación de inclusión de dos procesos estratégicos adicionales para la siguiente vigencia.
Formula:(# de hitos validados y entregados / Total de hitos definidos) * 100
Total de hitos definidos = 3</t>
  </si>
  <si>
    <t>Gestionar durante el 2025 los desarrollos y/o configuraciones de los sistemas de información que soporten la gestión de nuevos productos y servicios, como:
- Factoring Q2
- Gran empresaQ3
- Unificación de Anexos 14 y 21 Q4
- Garantía Global Q4
Formula:Cumplimiento Q2 (30%) Desarrollo de Factoring
Cumplimiento Q3 (30%) Desarrollo Gran empresaCumplimiento Q4 (40%) Desarrollo Unificación de Anexos 14 y 21 y Garantía Global
Entregables:RFC aprobado en Comité de Cambios de cada uno de los desarrollos en el trimestre correspondiente.</t>
  </si>
  <si>
    <t>Lograr durante el 2025 un 100% de cumplimiento en la ejecución y finalización de los proyectos estratégicos de tecnologías de la información que han sido ejecutados y finalizados según la hoja de ruta del Plan Estratégico de Tecnologías de la Información (PETI) del FNG programados para el año 2025, de acuerdo con el alcance, cronogramas y resultados esperados.
Entregable:Q2:• Informe de avance(número de proyectos completados hasta la fecha).
Q3:• Informe de avance intermedio (número de proyectos en fase final).
Q4:• Informe de finalización de todos los proyectos del PETI 2025.
Formula:(# Proyectos finalizados / Total proyectos programados para finalizar en el2025) * 100
Total proyectos programados 2025 = 9</t>
  </si>
  <si>
    <t>Contribuir durante el 2025 a la automatización y digitalización de tres procesos institucionales mediante el diseño, desarrollo e implementación de aplicaciones, utilizando las herramientas tecnológicas definidas por la entidad. 
Los procesos priorizados para automatizar y digitalizar son:
- Automatización del cruce de listas restrictivas para optimizar el proceso de gestión de Sarlaft. Q2-Q4
- Automatización de la consolidación de las bases de información de Reservas del FNG, para el análisis de las cifras insumo para la elaboración de la provisión de renta del FNG.Q2-Q4
- Digitalización y automatización de información de potenciales clientes en el marco de el proceso de generación de demanda. Q2-Q4
Las automatizaciones dependerán de los requerimientos funcionales definidos y aprobados en las historias de usuario.
Formula:(# automatizaciones finalizadas / Total automatizaciones planificadas 2025) * 100
Total automatizaciones planificadas 2025 = 3
Entregables:
Q2- Documento de diseño técnico y estimación de las automatizaciones para cruce en Listas Restrictivas remitido a la Oficina de Cumplimiento.- Documento de diseño técnico y estimación de la Automatización de información de Reservas remitido al Departamento Financiero.- Aprobación de pruebas integrales por parte de la Vicepresidencia Comercial / Dirección de Microfinanzas y RFC aprobado en Comité de Cambios para la puesta en producción de digitalización y automatización de información de potenciales clientes del proceso de generación de demanda
.Q3- Despliegue (orden de transporte) de la solución en QA para pruebas integrales para cruce en Listas Restrictivas.- Aprobación de Pruebas integrales para digitalización y Automatización de información de Reservas por parte de la Vicepresidencia Comercial / Dirección de Microfinanzas.
Q4- RFC aprobado en Comité de Cambios para la puesta en producción decruce en Listas Restrictivas- Documento RFC de la Automatización de información de Reservas presentado y aprobado en Comité de Cambios</t>
  </si>
  <si>
    <t>Durante el 2025, explorar, evaluar y recomendar una herramienta de automatización de pruebas mediante la ejecución de pruebas de concepto (PoC), que permita validar su eficacia, integración con sistemas existentes y aporte a la calidad del software.
Formula(# de herramientas evaluadas / Total de herramientas definidas) * 100
*Se proyecta evaluar 2 soluciones (herramientas)
Entregables
Q2: Informe con el resultado de una solucion evaluada (40%)
Q3 Informe con el resultado de la segunda solucion evaluada (40%)
Q4: Informe final con la recomendación (20%)</t>
  </si>
  <si>
    <t>Promover durante el 2025 la apropiación del proceso de Gestión de la Demanda por parte de las áreas usuarias y equipos técnicos, promoviendo su entendimiento, participación activa y cumplimiento de roles y responsabilidades, con el fin de optimizar la planificación, priorización y ejecución de iniciativas alineadas a los objetivos organizacionales.
Formula(# de áreas capacitadas en el proceso / Total de áreas definidas) * 100
*Se proyectan 22 direcciones a capacitar
EntregablesHitos definidos para 2025:
Q2: Informe de planeación de las capacitaciones y preparación del material (20%).
Q3: Informe de áreas capacitadas según cronograma (40%)
Q4: Informe de áreas capacitadas según cronograma (40%).</t>
  </si>
  <si>
    <t>Diseñar e implementar durante el año 2025 una estrategia integral orientada a fortalecer el relacionamiento con el ecosistema Fintech, con el propósito de incrementar la movilización de la originada por estas entidades originadoras de crédito. Esta estrategia estará fundamentada en la caracterización de la vocación crediticia de las Fintech, en un plan de abordaje estructurado, en una atención personalizada alineada con sus necesidades específicas, en el desarrollo de atributos diferenciadores para el sector, y en un sistema de seguimiento y control que permita monitorear su evolución comercial.
Entregables:
* Primer entregable Q2 - correo en el que se adjunta la presentación del diagnóstico inicial del estado actual del uso de las garantías por parte de las Fintech, el planteamiento de la estrategia y el plan de trabajo a realizar), Peso = 20%. 
Entregable: documento presentado y aprobado por la VP Comercial a más tardar el 15 de julio de 2025
*Segundo entregable Q3 (correo con el informe de avance de la estrategia al final del Q3), Peso = 40% 
Entregable: documento presentado y aprobado por la VP Comercial a más tardar el 15 de octubre de 2025
*Tercer entregable Q4 (correo enviado y aprobado por la VP Comercial, con el informe final de la estrategia y sus resultados finalizando el Q4), Peso = 40% 
Entregable: documento presentado y aprobado por la VP Comercial a más tardar el 23 de enero de 2026</t>
  </si>
  <si>
    <r>
      <t xml:space="preserve">Diseñar, coordinar y ejecutar un evento institucional liderado por el FNG, en alianza con la </t>
    </r>
    <r>
      <rPr>
        <b/>
        <sz val="9"/>
        <color rgb="FFFF0000"/>
        <rFont val="Arial"/>
        <family val="2"/>
      </rPr>
      <t>Superintenedencia</t>
    </r>
    <r>
      <rPr>
        <sz val="9"/>
        <color theme="1"/>
        <rFont val="Arial"/>
        <family val="2"/>
      </rPr>
      <t xml:space="preserve"> de Economía Solidaria, Fecolfin, y Confecoop, dirigido a fortalecer el sector cooperativo, posicionamiento del FNG, como la entidad más idónea para respaldar la </t>
    </r>
    <r>
      <rPr>
        <b/>
        <sz val="9"/>
        <color rgb="FFFF0000"/>
        <rFont val="Arial"/>
        <family val="2"/>
      </rPr>
      <t>caretra</t>
    </r>
    <r>
      <rPr>
        <sz val="9"/>
        <color theme="1"/>
        <rFont val="Arial"/>
        <family val="2"/>
      </rPr>
      <t xml:space="preserve"> cooperativa y promover una mayor utilización de las garantías en el sector solidario, con el fin de que las garantías del FNG, sean un habilitador de acceso a crédito para los asociados del sector solidario.
Entregables:* Primer entregable: Julio 30 de 2025 - Plan detallado del evento, incluyendo el propósito estratégico, actores aliados, público objetivo, cronograma, presupuesto estimado y plan de comunicaciones. Peso 30%                                                                                    * Segundo entregable: Agosto 31 de 2025 - Agenda del evento con enfoque en el posicionamiento institucional. Peso 20%                                                             *Tercer entregable: Noviembre 30 de 2025 Ejecución del evento e informe de resultados, incluyendo nivel de asistencia, percepciones de los asistentes y si es del caso, acuerdos generados</t>
    </r>
  </si>
  <si>
    <r>
      <t xml:space="preserve">Diseñar, coordinar y ejecutar un evento institucional liderado por el FNG, en alianza con la </t>
    </r>
    <r>
      <rPr>
        <b/>
        <sz val="9"/>
        <color rgb="FFFF0000"/>
        <rFont val="Arial"/>
        <family val="2"/>
      </rPr>
      <t>Superintenedencia</t>
    </r>
    <r>
      <rPr>
        <sz val="9"/>
        <color theme="1"/>
        <rFont val="Arial"/>
        <family val="2"/>
      </rPr>
      <t xml:space="preserve"> de Economía Solidaria, Fecolfin, y Confecoop, dirigido a fortalecer el sector cooperativo</t>
    </r>
  </si>
  <si>
    <t>Capacitar operativamente, durante el año 2025, al 90% de los intermediarios financieros vinculados de forma exclusiva al producto "Garantía Global" e intermediarios vinculados para productos tradicionales durante 2025 que hayan alcanzado la condición de formalizados al corte del 30 de noviembre de 2025.
El proceso estará enfocado en garantizar el dominio adecuado de los procedimientos operativos relacionados con el uso del producto, fortaleciendo así la eficiencia en su implementación. 
La base inicial de intermediarios formalizados es de 54 al 31 de mayo de 2025, y se actualizará conforme a las nuevas vinculaciones reportadas por la Dirección de Vinculaciones hasta la fecha de corte.
FORMULA:# de entidades capacitadas / # de entidades formalizadas informadas por la dirección de vinculación a noviembre 30 de 2025
Cumplimiento menor o igual al 40% del número base = 0%
Cumplimiento sobre el 40% y menor o igual al 60% del número base = 40%
Cumplimiento sobre el 60% y menor o igual al 89% del número base = 80%
Cumplimiento mayor o igual al 90% del número base = 100%</t>
  </si>
  <si>
    <t>Diseñar e implementar durante el año 2025 una estrategia integral orientada a incrementar la movilización del producto "Garantía Global". Esta estrategia se basará en la ejecución de jornadas grupales de socialización del producto en alianza con Colombia Fintech y los gremios cooperativos, en el abordaje individual y personalizado de entidades interesadas, y en la atención integral (comercial y operativa) de los clientes vinculados que actualmente operan de manera exclusiva con esta garantía, con el fin de fortalecer su experiencia y fomentar su continuidad y expansión.Entregables:
* Primer entregable Q2 - correo en el que se adjunta la presentación del diagnóstico inicial del estado actual del uso de la Garantía Global, planteamiento de la estrategia y plan de trabajo a realizar. Peso20%. 
Entregable: documento presentado y aprobado por la VP Comercial a más tardar el 15 de julio de 2025
*Segundo entregable Q3 - correo con el informe de avance de la estrategia. Peso40% 
Entregable: documento presentado y aprobado por la VP Comercial a más tardar el 15 de octubre de 2025
*Tercer entregable Q4 - correo enviado y aprobado por la VP Comercial, con el informe final de la estrategia y sus resultados.Peso 40% Entregable: documento presentado y aprobado por la VP Comercial a más tardar el 23 de enero de 2026</t>
  </si>
  <si>
    <t>Realizar, al 31 de diciembre de 2025, una revisión profunda y detallada sobre 36 productos activos del portafolio del FNG, verificando su correcta parametrización y elaborando un análisis sobre el comportamiento de estos, aportando al fortalecimiento de las estrategias comerciales y la calidad de los productos.
Fórmula: (Número de productos revisados / Número de productos planeados a revisar) ×100
Evidencia: 36 Informes en Word por cada producto con el análisis, conclusiones, recomendaciones, plan de trabajo, y verificación de la parametrización. 
Los informes deberán ser aprobados por el Director de Estructuración por correo electrónico. Además se deberán realizar 5 informes mensual ejecutivo en PDF que será enviado por correo electrónico a las áreas interesadas.
Frecuencia de monitoreo: Trimestral
Fecha Inicio 01/04/2025 final 31/12/2025</t>
  </si>
  <si>
    <t>Diseñar el modelo de costeo para la estructuración de productos nuevos a 31 de diciembre 2025, fortaleciendo los procesos de decisión sobre la viabilidad de los productos
Se acordará un cronograma de trabajo presentado a Vicepresidente Comercial.
Indicador: El objetivo se cumple al 100 % con la ejecución de la totalidad de las actividades planteadas en el cronograma. Mínimo se debe cumplir con la ejecución del 80% de las actividades. 
Se medirá mediante tabla equitativa, en la cual alcanzar el 80% de las actividades representará un puntaje de 80 y así respectivamente. Menos del 80% de ejecución el puntaje será de 0.
 Las actividades y sus pesos se encontrarán detalladas en el plan de trabajo asociado al cronograma
Entregable: Cronograma de trabajo y Documento y/o instrumento con el modelo de costeo presentado a vicepresidente comercial.
Frecuencia de medición: 
Anual Fecha de inicio 1/06/2025 final 31/12/2025</t>
  </si>
  <si>
    <t>Investigar, diseñar y proponer al 31 de diciembre 2025, el 100% de una metodología para el diseño e innovación de productos y servicios, que facilite, fortalezca y aporte en la calidad del proceso de diseño y rediseño de productos de garantías existente actualmente.
Indicador: Se propone un cronograma de actividades para cumplir este objetivo. El objetivo se cumple al 100 % con la ejecución de la totalidad de las actividades planteadas en el cronograma. Mínimo se debe cumplir con la ejecución del 90% de las actividades. 
Se medirá mediante tabla equitativa, en la cual alcanzar el 90% de las actividades representará un puntaje de 90 y así respectivamente. Menos del 90% de ejecución el puntaje será de 0. 
Las actividades y sus pesos se encontrarán detallados en el plan de trabajo asociado al cronograma
Evidencia: Documento PDF con el Análisis detallado de metodologías para el diseño e innovación de productos y servicios, y una propuesta metodologíca aplicable para el FNG, el documento será presentado a Vicepresidente Comercial. Y excel con el cronograma de actividades
Frecuencia de monitoreo: Trimestral
Fecha de inicio 01/06/2025 final 31/12/2025</t>
  </si>
  <si>
    <t>Prestar servicios de consultoría empresarial por medio de los servicios disponibles en el programa #DeMenteEmpresarial a 135 empresas al 31 de diciembre de 2025, con el fin de aportar conocimiento clave para la sostenibilidad y fortalecimiento como unidades productivas.
Fórmula: (N°. de empresas terminadas / N°. de empresas a gestionar)*100
Evidencia: Informes de diagnóstico entregados por correo electrónico a cada empresa
Frecuencia de monitoreo: Trimestral
Fecha inicio: 01/01/2025 fecha final 31/12/2025</t>
  </si>
  <si>
    <t>Investigar y diseñar al 31 de diciembre de 2025, en su etapa inicial el proyecto de Subasta inversa para garantías, con el propósito de impulsar el desarrollo económico y fomentar la inclusión financiera. Se contará con un cronograma de actividades formalizado con el equipo de trabajo por correo electrónico. 
Indicador: El objetivo se cumple al 100% con la ejecución de la totalidad de las actividades planteadas. Mínimo se debe cumplir con la ejecución del 80% de las actividades de la etapa inicial. Se medirá mediante tabla equitativa, en la cual alcanzar el 80% de las actividades representará un puntaje de 80 y así respectivamente. Menos del 80% de ejecución el puntaje será de 0. 
Las actividades y sus pesos se encontrarán detallados en el plan de trabajo asociado al cronograma.
Evidencia: Documento PDF que contendrá la investigación y las propuestas de solución de una subasta inversa en formato PDF, y las actividades completadas por cronograma de trabajo en Excel, presentada al equipo de trabajo y formalizada a este mismo equipo por correo electrónico.</t>
  </si>
  <si>
    <t>Al 31 de diciembre del 2025 radicar las respectivas historias de usuario a TI para el desarrollo de la APP móvil para Intermediarios Financieros, teniendo en cuenta lo siguiente:
1. Crear Historia de Usuario (HU) con el ajuste de las BAPIS para la nueva APP de Intermediarios Financieros. Peso: 45%
2. Crear Historia de Usuario (HU) con la mejora de las funcionalidades de la APP móvil para Intermediarios Financieros. Peso: 45%
3. Generar instructivo para los usuarios finales sobre el manejo de la APP Movil. Peso: 10%
Medición: El objetivo se cumplirá con la ejecución de actividades de acuerdo con el porcentaje obtenido.El objetivo se cumple al 100 % con la ejecución de la totalidad de las actividades planteadas. Mínimo se debe cumplir con la ejecución del 90% de las actividades. Menos de 90% el puntaje será de 0.
Entregables: Correo electrónico con el soporte de la radicación de cada historia de usuario para las dos actividades e instructivo enviado a través de correo electrónico a los clientes finales.
Los entregables se encontrarán en la siguiente ruta: P:\Objetivos\2025\Dirección de Experiencia\Diana Carolina Ocaña Tovar</t>
  </si>
  <si>
    <t>A 31 de diciembre de 2025 cumplir con las actividades definidas para la FASE I del plan de mejoras al ciclo operativo de la garantía para las cooperativas. El objetivo se cumple al 100% con la ejecución de todas las actividades. El resultado final corresponderá a la suma de los porcentajes de cumplimiento de cada actividad ejecutada y debidamente soportada, las cuales corresponden a las siguientes:
1.Definición de las actividades a realizar para el plan de mejoras dentro de los 10 días hábiles siguientes a la terminación del Q2. (Peso 20%) 
Entregable: Presentación enviada y aprobada por correo electrónico a la Vicepresidente Comercial con la definición de las actividades.
2.Ejecución de las actividades definidas al Q4. Se medirá de la siguiente manera:(# de actividades ejecutadas / # total de actividades definidas)*100 (Peso 80%) 
Entregable: Informe presentado y aprobado a la Vicepresidente comercial dentro de los 10 días hábiles siguientes a la terminación del Q4.Los entregables se encontrarán en la siguiente ruta: P:\Objetivos\2025\Dirección de Experiencia\Diana Carolina Ocaña Tovar</t>
  </si>
  <si>
    <t>A más tardar el 31 de diciembre de 2025, evaluar y presentar propuesta de mejora al contenido del instrumento “Encuesta de Cliente Externo” aprobada por la Vicepresidente Comercial, mediante un análisis técnico de su estructura actual y la formulación de una nueva propuesta.
El objetivo se cumple al 100 % con la entrega del informe técnico y la propuesta formal aprobada por la Vicepresidente Comercial. Menos del 100% el puntaje será de 0.
Entregable: Informe técnico con el análisis de la encuesta vigente y la propuesta de mejora, enviado por correo electrónico y aprobado por la vicepresidente comercial.
Los entregables se encontrarán en la siguiente ruta: P:\Objetivos\2025\Dirección de Experiencia\Diana Carolina Ocaña Tovar</t>
  </si>
  <si>
    <t>Lograr al 31 de diciembre de 2025 la acreditación en experiencia del cliente para el Fondo Nacional de Garantías. 
El objetivo se cumple al 100% con la ejecución de todas las actividades, el resultado final corresponderá a la suma de los porcentajes de cumplimiento de cada actividad ejecutada y debidamente soportada, las cuales corresponden a las siguientes:
Actividad 1: Presentar a más tardar el 30 de abril el plan de preparación para la acreditación aprobado por la vicepresidente comercial, que contemple actividades como la comunicación y sensibilización de las áreas claves del FNG involucradas en este proceso. (Peso: 15%) 
Entregable: Acta firmada por la Vicepresidente Comercial que contiene el plan de preparación detallado, incluyendo cronograma, responsables y actividades de sensibilización.
Actividad 2: Realizar a más tardar al 30 de julio el proceso de contratación para formalizar el acuerdo con la entidad prestadora del servicio y garantizar las condiciones administrativas y operativas necesarias para la ejecución del proyecto. (Peso: 10%). 
Entregable: Minuta contrato firmada por las partes.
Actividad 3: Al corte del 30 de agosto asegurar que todas las partes involucradas comprendan la importancia del assessment CX y participen activamente en el proceso (Peso: 15%)
Entregable: Informe detallado de sensibilización e involucramiento, con listado de actividades ejecutadas, participantes, fechas y evidencias, enviado por correo electrónico a la Vicepresidente Comercial.
Actividad 4: Apoyar el proceso de Evaluación de Madurez en CX (assessment CX) hasta el 30 de agosto garantizando: Facilitar la recolección de información necesaria para el diagnóstico de madurez en CX.• Monitorear el avance de la recopilación de datos y garantizar una alta tasa de respuesta en las encuestas.• Facilitar el acceso a las personas a entrevistar para el análisis cualitativo.Entregable: Informe consolidado de apoyo al assessment, que incluya avances, tasa de respuesta, listado de entrevistas gestionadas, enviado a la Vicepresidente Comercial.
Actividad 5: Al 30 de agosto presentar el análisis donde se refleje fielmente la situación del FNG y proporcionar retroalimentación para su ajuste. ajuste (Peso: 15%)
Entregable: Documento con aceptación formal del diagnóstico, incluyendo observaciones o solicitudes de ajuste enviadas al proveedor.
Actividad 6:A más tardar el 30 de septiembre obtener el informe con el resultado de la acreditación y asegurar la entrega de los resultados por parte del proveedor y que el Roadmap propuesto sea viable y alineado con los objetivos estratégicos del FNG (Peso: 10%) 
Entregable: Informe con el resultado de la acreditación y presentación con la propuesta de priorización de las actividades y asignación de responsables, aprobada a satisfacción por correo electrónico a la Vicepresidente Comercial.
Actividad 7: Asegurar al 30 de septiembre la participación de las áreas claves en el taller de Co-creación (Peso: 10%) 
Entregable: Informe del taller de Co-creación, incluyendo agenda, participantes, hallazgos y compromisos, enviado por correo electrónico a la VP Vicepresidente Comercial.
Actividad 8: A más tardar el 30 de noviembre elaborar el plan de trabajo post-acreditación el cual incluya los compromisos adquiridos que permita que la acreditación tenga un impacto tangible en el FNG. (Peso: 15%) Entregable: Plan de trabajo post-acreditación aprobado, sustentado en acta firmada por la Vicepresidente Comercial, donde se establecen actividades, responsables, tiempos.</t>
  </si>
  <si>
    <t>Al 31 de diciembre de 2025 realizar la semana de la experiencia en el FNG, la cual incluya actividades de socialización de los comportamientos de cultura de servicio, los aspectos más relevantes del Modelo de experiencia al cliente y el plan de comunicación. 
El objetivo se cumple al 100% con la realización de la semana de la experiencia de lo contrario el puntaje será 0.
Entregable: Envío de boletín corporativo a través de mailing recopilando los momentos memorables de la semana.</t>
  </si>
  <si>
    <t>Aplicar durante el 2025 dos (2) encuestas estructuradas de Ambiente Laboral con el fin de identificar la percepción de los colaboradores en aspectos clave como el liderazgo, el relacionamiento, la comunicación, las condiciones laborales entre otros que permitan a la Alta Dirección y a la Dirección de Felicidad realizar intervenciones a tiempo y tomar de decisiones.
La medición será la sumatoria de los pesos para cada entregable.
Entregables:Informe entregado a la Vicepresidencia Ejecutiva en el mes de marzo con los resultados y análisis de la encuesta. Peso:50%Informe entregado a la Vicepresidencia Ejecutiva los diez (10) primeros días hábiles de agosto con los resultados y análisis de la encuesta. Peso:50%.
Ruta:  Publico/Objetivos/felicidad</t>
  </si>
  <si>
    <t>Ejecutar para 2025 el Plan Anual de Adquisiciones aprobado para la Dirección de Felicidad.
Su evaluación será proporcional al numero de procesos aprobados y contratados para la vigencia, de acuerdo con el PAA aprobado por el Comité Institucional de Gestión y Desempeño. 
La evaluación iniciará a partir del Q2. No. de procesos ejecutados (contrato firmado) /No. procesos aprobados*100
Entregables:
Informe de ejecución de los contratos a Q2: 30%
Informe de ejecución de los contratos a Q3 : 30%
Informe de ejecución de los contratos a Q4: 40%</t>
  </si>
  <si>
    <r>
      <t xml:space="preserve">Revisar a 31 de diciembre de 2025 la conformación de la planta de personal y la medición de las cargas de trabajo de las áreas que resulten del ejercicio de revisión realizado por la Vicepresidencia Ejecutiva a la estructura de la entidad.
La medición será la sumatoria de los pesos para cada entregable.Entregables
:•Análisis de la planta de personal con el Vicepresidente Ejecutivo y definición de áreas a intervenir Fecha de Ejecución: Julio 2025
Evidencia: Informe con el seguimiento y lineamientos del Vic. Ejecutivo Peso:20%
•Medición de Cargas de Trabajo
Fecha de Ejecución: agosto hasta octubre de 2025 (Q3 -Q4)Medición: # de áreas intervenidas / # áreas a intervenir x 100%
Evidencia: Informe con los resultados de las cargas de trabajo de las áreas en intervenciónPeso:60%
•Presentación de Informe de los resultados y recomendaciones
Evidencia: Informe 
Fecha de Ejecución y entrega: Noviembre de 2025 Peso:20% Ruta: </t>
    </r>
    <r>
      <rPr>
        <b/>
        <sz val="9"/>
        <color rgb="FFFF0000"/>
        <rFont val="Arial"/>
        <family val="2"/>
      </rPr>
      <t>20%</t>
    </r>
  </si>
  <si>
    <t>Contratar y ejecutar en el año 2025 los estudios y diseños para adelantar las adecuaciones locativas de la sede principal e iniciar el proceso de contratación para la ejecución de la obra. 
La evaluación tendrá los siguientes entregables:
El contrato suscrito de consultoría mes de junio, tendrá un peso del 20%
El contrato suscrito de Interventoría mes de junio, tendrá un peso del 20%
El Acta de inicio de consultoría, mes de junio tendrá un peso del 10%
El Acta de inicio de Interventoría, entregado mes de junio tendrá un peso del 10%
Informe parcial de supervisión presentado a 30 de julio tendrá un peso del 10%
El Acta de recibo final de los diseños, entregado el mes de octubre tendrá un peso del 15%
Presentar al comité de adquisición de Bienes y Servicios el proceso de contratación de la obra correspondiente a la ejecución del resultado de la consultoría en el mes de noviembre. El cual tendrá un peso del 15%.
Al tener siete entregables se obtendrá el 100%, de lo contrario será proporcional a los obtenidos según el porcentaje descrito.
Ruta: Publico/Objetivos/felicidad</t>
  </si>
  <si>
    <t>Conformar el equipo del proyecto de inventarios del FNG y apoyar su ejecución en 2025 de acuerdo con el cronograma aprobado y según las instrucciones recibidas de la Dirección de Proyectos del FNG.
Su medición será proporcional al porcentaje de avance de cada entregable (ejemplo: si se cumple al 80% el cronograma la calificación será 80 puntos) y la medición final será la suma del cumplimiento de todos los entregables.
Entregables:Q2 - Q3 : Entregar la información de los bienes muebles e inmuebles del FNG para la construcción del modulo de inventarios en el aplicativo indicado por la Entidad. Peso: 50%
Q4: Ejecución de actividades de acuerdo con el cronograma establecido por la dirección de proyectos transformación digital e innovación para el proyecto de inventarios. Peso 50%
Ruta: Publico/Objetivos/felicidad</t>
  </si>
  <si>
    <t>Ejecutar durante el 2025 las actividades del Plan Carrera y Sucesión aprobado en el PEI.
La medición será la sumatoria de los pesos para cada entregable.De no cumplir con un entregable su calificación sera "0" en ese entregable.
Entregables:Q3: Peso: 70%
1. Peso 30%: Lanzamiento del Plan Carrera y Sucesión para los colaboradores en cargos críticos y plan de sucesión del FNG. 
Entregable: lista de asistencia.
2. Peso 30%: Aplicación de las pruebas psicotécnicas y Aplicación de la Ficha Técnica - Plan de Carrera			
Entregable: resultados de las pruebas y fichas
3. Peso 30%:Actualización Modelo de Competencias			
Entregable: Modelo de Competencias actualizado publicado en Isolucion
4. Peso 10%:Socialización y Assessment de las pruebas psicotécnicas y plan de trabajo			
Entregable: Citación por teams y correo electrónico con el envio de los resultados de la prueba psicotécnica
Q4: Peso: 30%
1. Peso 70%: Aplicación de encuesta a todos los colaboradores en plan de carrera y sucesión para medir la satisfacción del plan.
Entregable: Informe de resultados de la encuesta. Se entregará durante los primeros 15 días del mes de enero de 2026.
2. Peso 30%:informe avances Plan de Carrera y Sucesión
Entregable: Correo electrónico dirigido al Vicepresidente Ejecutivo con el informe de los avances del plan de carrera y sucesión con corte al 30 de diciembre. 
Se entregara los 15primeros días del mes de enero de 2026.
Ruta: Publico/Objetivos/felicidad</t>
  </si>
  <si>
    <t>Lograr a 31-12-2025 el cumplimiento del 100% de los planes del Decreto 612-2018, relacionados con la Dirección de Felicidad, los cuales son monitoreados por el Comité Institucional de Gestión y Desempeño.
Plan Estrategico de Gestión Humana: peso 10%
Plan de Capacitación: peso 20%
Plan de Bienestar :peso 20%
Plan de Seguridad y Salud en el Trabajo: peso 20%
Plan de Gestión Ambiental 10%Plan Institucional de Archivo 20%
Su evaluación será proporcional al resultado obtenido en cada plan. (ejemplo: si se hace el 90% de las actividades la calificación será 90 puntos- Si la calificación es menor a 80% su calificación será cero.
La evidencia será: Acta de Comité Institucional de Gestión y Desempeño donde se evidencia el cumplimiento de los planes, presentados en cada Q.
Ruta: Z:\Objetivos\2025\Dirección de Felicidad</t>
  </si>
  <si>
    <t>A 31 de diciembre de 2025, la Dirección implementará un tablero ejecutivo integral que permita el monitoreo en tiempo real del desempeño de la gestión de recuperación de cartera, incluyendo seguimiento a metas de recuperación, evaluación de la efectividad de los operadores de cobranza, y/o otros indicadores que se relacionen con el proceso. 
ENTREGABLES: Este objetivo tendrá los siguientes hitos y entregables:
a) A 31 de agosto 2025, presentar al Comité de Recuperación de Cartera el diseño conceptual y arquitectura técnica del tablero ejecutivo, incluyendo definición de indicadores, fuentes de datos y maquetas de las pantallas principales. 
Evidencia: Acta de Comité. Peso: 20%
b) A 30 de septiembre 2025, presentar al Comité de Recuperación de Cartera la versión beta del tablero con los requerimientos solicitados a ese corte.
Evidencia: Acta de Comité con la Demostración funcional del tablero. Peso: 25%
c) A 31 de octubre 2025, realizar socialización del tablero en versión beta con los equipos de los fondos de garantías (FRG), para recopilar observaciones y sugerencias de mejora al mismo. 
Evidencia: Actas de reunión de socialización. Peso: 20%
d) A 30 de noviembre 2025. Radicar dos funcionalidades adicionales para el seguimiento de indicadores de cartera, incluyendo las mejoras al tablero inicial con la carga de las historias de usuario respectivas. 
Evidencia: Documento de historias de usuario y número del ticket del caso en Aranda creado.Peso: 20%
e) A 31 de diciembre 2025, presentar el tablero ejecutivo definitivo y con acceso completo a los miembros del Comité de Recuperación de Cartera. Evidencia: Acta de Comité. Peso: 15%
EVIDENCIAS DE CUMPLIMIENTO: Actas de los comités de recuperación de cartera con la presentación de los informes y demostraciones propuestas, actas de socialización, documentación técnica y acta final de entrega del sistema.
EVALUACIÓN: El porcentaje de cumplimiento del objetivo será la sumatoria del peso asignado a cada hito, que se cumpla al 100%.</t>
  </si>
  <si>
    <t>A 31 de diciembre de 2025, adelantar un estudio con entidades públicas y/o privadas para determinar la viabilidad de la suscripción de convenios para la obtención de datos demográficos para la localización de los deudores e implementar un proceso para obtener de los Intermediarios Financieros (IF) esta información de clientes, con el fin de optimizar la gestión de recuperación de cartera.
ENTREGABLES: Este objetivo tendrá los siguientes hitos y entregables:
a) A 31 de julio 2025, presentar al Comité de Recuperación de Cartera un mapeo inicial de entidades públicas y/o privadas que manejan datos demográficos (Registraduría, DANE, DIAN, centrales de riesgo, operadores de telecomunicaciones, banca e intermediarios financieros en general, etc.) y marco normativo para acceso a esta información. 
Evidencia: Informe de mapeo institucional. Peso: 20%
b) A 31 de agosto 2025, presentar al Comité de Recuperación de Cartera el análisis de viabilidad jurídica y técnica para la suscripción de convenios con entidades públicas y/o privadas, incluyendo identificación de requisitos y procedimientos. Evidencia: Informe de viabilidad jurídica. Peso: 20%
c) A 30 de septiembre 2025, diseñar y presentar al Comité de Recuperación de Cartera la propuesta de proceso interno para solicitar y obtener información demográfica de los IF. Evidencia: Propuesta de proceso y procedimiento. Peso: 20%
d) A 31 de octubre 2025, realizar las gestiones preliminares con al menos dos entidades públicas y/o privadas (incluyendo banca e intermediarios financieros) para evaluar la receptividad y condiciones para la suscripción de convenios de intercambio de información. Evidencia: Actas de reunión con entidades. Peso: 20%
e) A 30 de noviembre 2025, presentar al Comité de Recuperación de Cartera las conclusiones del informe final de viabilidad y factibilidad de la suscripción de convenios con entidades públicas y/o privadas y la implementación del proceso para obtención de datos de IF.
Evidencia: Informe de conclusiones de viabilidad y factibilidad. Peso: 20%
EVIDENCIAS DE CUMPLIMIENTO: Actas de los comités de recuperación de cartera con la presentación de los informes propuestos, actas de reuniones con entidades públicas y/o privadas y documentos de análisis de viabilidad.
EVALUACIÓN: El porcentaje de cumplimiento del objetivo será la sumatoria del peso asignado a cada hito, que se cumpla al 100%.</t>
  </si>
  <si>
    <t>A 31 de diciembre de 2025, realizar un estudio de factibilidad y viabilidad que concluya si es conveniente realizar el pago de las garantías reclamadas bajo el esquema tradicional de reclamación con recuperación de cartera de manera anticipada con una acreditación de los soportes jurídicos de pago (mandamiento de pago y/o auto de graduación y calificación de crédito) con posterioridad al pago de la garantía al intermediario financiero.
ENTREGABLES: Este objetivo tendrá los siguientes hitos y entregables: 
a)A 31 de julio de 2025, presentar al Comité Directivo un esquema de pros y contras inicial del estudio de viabilidad. Se requiere entrevistas con las áreas de operaciones, financiera, riesgos y comercial. Peso: 20%
b)A 31 de agosto 2025, presentar al Comité de Recuperación de Cartera el análisis del impacto operativo de realizar el pago de garantías anticipado obteniendo el mandamiento de pago posteriormente. Peso: 20%
c)A 30 de septiembre de 2025, presentar al Comité de Recuperación de Cartera el análisis de riesgos enfocado a la siniestralidad, con la propuesta del pago de garantías anticipado obteniendo el mandamiento de pago posteriormente (artículos a modificar en el reglamento de garantías). Peso: 20%
d)A 31 de octubre 2025, presentar al Comité de Recuperación de Cartera las conclusiones del informe de factibilidad y viabilidad de la propuesta del pago de garantías anticipado obteniendo el mandamiento de pago posteriormente. Evidencia: informe de factibilidad y viabilidad. Peso: 20%
e)A 30 de noviembre de 2025, presentar al Comité Directivo las conclusiones del informe de factibilidad y viabilidad de la propuesta del pago de garantías anticipado. Peso 20%
EVIDENCIAS DE CUMPLIMIENTO: Actas de los comités de recuperación de cartera y directivo con la presentación de los informes propuestos.EVALUACIÓN: el porcentaje de cumplimiento del objetivo será la sumatoria del peso asignado a cada hito, que se cumpla al 100%.</t>
  </si>
  <si>
    <t>Generar ingresos por concepto de recuperación y venta de cartera derivado del pago de garantías con recuperación de cartera por la suma de $88,642 millones, correspondiente al valor contemplado en el presupuesto de ingresos aprobado por Junta Directiva para el año 2025. (Este valor contempla ingresos derivados de la meta de recuperación de cartera asignada a los FRGs, reintegros y reactivaciones, recuperación por anexo 13 (IF), ingresos por ventas de cartera y compartición del precio de la enajenación de la cartera de los IF.) 
ENTREGABLE: Correo enviado por la Directora/Subdirectora de Cartera los primeros días del año 2026, informando los resultados definitivos de la recuperación de cartera durante la vigencia 2025. 
EVIDENCIA DE CUMPLIMIENTO: Correo electrónico remito por la Directora/Subdirectora de Cartera los primeros días del año 2026, informando los resultados definitivos de la recuperación de cartera durante la vigencia 2025. 
EVALUACIÓN: Se obtendrá calificación a partir del cumplimiento del 90% ($79,778 millones) de la meta: donde el 89,9% da 0% y proporcional entre el 90% y 100%.</t>
  </si>
  <si>
    <t>A 31 de diciembre de 2025, realizar un diagnóstico general de la gestión de cobranza de los 4 operadores de recuperación de cartera (FRG), con el fin de definir un plan de trabajo para consolidar una propuesta de un modelo de cobranza que tenga como propósito mejorar la experiencia y satisfacción de los deudores de la cartera especial en este proceso. 
ENTREGABLE: Este objetivo tendrá los siguientes hitos y entregables:
a)A 31 de Julio 2025, presentar al Comité de Recuperación de Cartera, el objetivo del proyecto y cronograma de actividades del plan de trabajo. Evidencia: Informe y cronograma. Peso: 20%
b)A 31 de Agosto 2025, presentar un informe al Comité de Recuperación de Cartera sobre el primer avance del diagnóstico preliminar del modelo de cobranza actual de los FRG. Este informe debe contener como mínimo: Organigrama del equipo de trabajo de cada FRG, experiencia de los gestores, infraestructura y protocolos de cobranza actuales y estudio inicial de habilidades blandas de los gestores. Evidencia: Informe. Peso: 20%
c)A 30 de septiembre presentar un informe de avance del desarrollo del objetivo al Comité Directivo. Peso: 10%
d)A 31 de octubre 2025, presentar un informe al Comité de Recuperación de Cartera que contenga una propuesta de la estandarización de los protocolos de atención en la cobranza determinados por el FNG. Evidencia: Informe. Peso: 20%
e)A 30 de noviembre presentar un informe de avance del desarrollo del objetivo al Comité Directivo. Peso: 10%
f)A 31 de diciembre 2025, socializar con los FRG los protocolos de cobranza estandarizados a través de capacitaciones a los gestores.Evidencia: Actas de reunión. Peso: 20%
EVIDENCIAS DE CUMPLIMIENTO: Actas de los comités de recuperación de cartera y directivo con la presentación de los informes propuestos, así como actas de reunión de la socialización de capacitaciones.EVALUACIÓN:el porcentaje de cumplimiento del objetivo será la sumatoria del peso asignado a cada hito, que se cumpla al 100%.</t>
  </si>
  <si>
    <t>Al 31 de diciembre de 2025, la Dirección de Gestión y Recuperación de Cartera liderará la contratación de una firma especializada para lograr realizar un diagnóstico, reflexión estratégica y formulación de recomendaciones para optimizar, mejorar y modernizar la gestión de cobranza de la cartera del FNG derivada del pago de garantías, específicamente para la cartera que se encuentra a cargo de personas naturales y que registran bajos montos.
ENTREGABLES: por cada hito cumplido se entregarán los siguientes documentos:Contratación ejecutada - Adjudicación y acta de inicio del contrato de diagnóstico (junio 2025). Entregable: Contrato Firmado. Peso: 30%
Realización del diagnóstico al proceso de gestión de cobranza - Documento definitivo del diagnóstico e informe de recomendaciones para su mejoramiento y modernización, entregado por la firma especializada. Entregable: Acta de Comité de Recuperación de Cartera con fecha anterior o igual al 31/10/2025, donde quede plasmada la aprobación del informe entregado, por parte de sus miembros.Peso: 40%
A 31 de diciembre de 2025, diseñar y presentar al Comité de Recuperación de Cartera, un plan de trabajo para la implementación de mejoras y recomendaciones extraídas del documento entregado por la firma especializada.Entregable: Acta de Comité de Recuperación de Cartera donde quede plasmado la aprobación del Plan de trabajo. Peso: 30%
EVIDENCIAS DE CUMPLIMIENTO: Copia simple del contrato suscrito y su respectiva acta de inicio, documentos del diagnóstico y actas de los comités de recuperación de cartera con la presentación de los informes propuestos, donde quede plasmada la aprobación del Plan de trabajo.
EVALUACIÓN: El porcentaje de cumplimiento del objetivo, será la sumatoria de los pesos que se han asignado a cada uno de los hitos cuando se cumplan al 100% con sus entregables.</t>
  </si>
  <si>
    <t>Durante el 2025, llevar a cabo la modernización de infraestructura y comunicaciones para soportar procesos de negocio (salas, equipos), actualizando las salas de reuniones de la sede principal (Bulevar Tequendama). 
Los entregables serán los siguientes: 1. Contrato los equipos de video Q2 y 
2. Informe o acta de Instalación los equipos de video Q3. 
La medición se llevará a cabo de la siguiente manera: # de actividades ejecutadas / # total de actividades planeadas por ejecutar al 31/12/2025 Total actividades planificadas 2025 = 2</t>
  </si>
  <si>
    <r>
      <t xml:space="preserve">Durante el cuarto trimestre de 2025 realizar el análisis y diseño de la modernización en el modelo HCI, orientado a </t>
    </r>
    <r>
      <rPr>
        <b/>
        <sz val="9"/>
        <color rgb="FFFF0000"/>
        <rFont val="Arial"/>
        <family val="2"/>
      </rPr>
      <t xml:space="preserve">al </t>
    </r>
    <r>
      <rPr>
        <sz val="9"/>
        <color theme="1"/>
        <rFont val="Arial"/>
        <family val="2"/>
      </rPr>
      <t>hiperconvergencia para el Datacenter de contingencia en Bulevar Tequendama (Actualización Infraestructura On-Premise) 
Los entregables serán los siguientes: 
1. Documento con análisis y diseño del modelo HCI para el FNG Q4.
 La medición se llevará a cabo de la siguiente manera : # de actividades ejecutadas / # total de actividades planeadas por ejecutar al 31/12/2025 Total actividades planificadas 2025 = 1</t>
    </r>
  </si>
  <si>
    <t>Para el cuarto trimestre del 2025, realizar la modernización e implementación de una solución tecnológica en la Dirección Financiera del FNG, con el propósito de optimizar la comunicación telefónica entre las partes, asegurando que los traders puedan operar de manera eficiente y segura. (Implementación Torretas). 
Los entregables serán los siguientes: 
1. Informe de POC de acuerdo con lo evaluado por la Vicepresidencia Financiera o Compra e Instalación torretas a cargo de la Vicepresidencia de TD e Innovación Q4 y 
2. Informe de POC o Instalación torretas Q4. 
La medición se llevará a cabo de la siguiente manera: # de actividades ejecutadas / # total de actividades planeadas por ejecutar al 31/12/2025 Total actividades planificadas 2025 = 2</t>
  </si>
  <si>
    <t>Continuar durante el 2025 con el proceso de modernización de la infraestructura tecnológica y de equipos de comunicaciones para soportar procesos de negocio como son la gestión de inversiones en la mesa de dinero, y la gestión administrativa mediante la dotación de nuevos recursos tecnológicos en ambientes de trabajo en el FNG. Incluye las pruebas de concepto, adquisiciones e instalaciones de:
1. Pruebas de concepto y/o implementación de Torretas en la mesa de dinero. (según valoración del área Financiera) Q3-Q4 
2. Instalación de equipos de videoconferencia en las salas de las Vicepresidencias. Q2-Q3
3. Dotación de equipos especializados para diseño e impresión y monitores para puestos de trabajo. Q2-Q
4Los entregables serán los siguientes: 
Q2- Contrato los equipos de video- Contrato de equipo de diseño- Contrato compra de monitores
Q3- Informe de Instalación los equipos de video- Acta de recibo de equipo de diseño- Contrato de compra de impresora
Q4- Informe de POC de acuerdo con lo evaluado por la Vicepresidencia Financiera o Compra e Instalación torretas a cargo de la Vicepresidencia de TD e Innovación 
Q4 - Informe de POC o Instalación torretas- Acta de entrega de impresora- Acta de recibo de monitores
La medición se llevará a cabo de la siguiente manera: # de actividades ejecutadas / # total de actividades planeadas por ejecutar al 31/12/2025 Total actividades planificadas 2025 = 10</t>
  </si>
  <si>
    <t>Fortalecer durante el 2025 la capacidad de respuesta y atención en Ciberseguridad del FNG, mediante la implementación de las siguientes soluciones:
1.Protección de Marca: Implementación de herramientas para la detección y mitigación de suplantaciones de identidad, fraudes digitales y usos indebidos de la imagen institucional en canales externos. 
2. Advance Report (GoAnywhere): Integración de una solución avanzada para la gestión segura de transferencias de archivos, con trazabilidad, control de accesos y generación de reportes automatizados.
3. Control de Acceso a la Red (NAC): Despliegue de una solución de Network Access Control que permita identificar, autenticar y autorizar dispositivos conectados a la red del FNG, garantizando un entorno más seguro y controlado.
Los entregables serán los siguientes: 
1. Documento contractual (Contrato Protección de Marca) Q22. Informe de implementación (Protección de Marca) Q3
3. Documento contractual (GoAnyWhere) Q3
4. Informe de implementación módulo Advance Report (GoAnyWhere) Q2
5. Documento contractual (Contrato NAC) Q36. Informe de implementación (NAC) Q4
La medición se llevará a cabo de la siguiente manera: # de actividades ejecutadas / # total de actividades planeadas por ejecutar al 31/12/2025 Total actividades planificadas 2025 = 6</t>
  </si>
  <si>
    <t>Desarrollar y aplicar un estimador de volatilidad histórica que combine de manera óptima la información de precios de apertura, cierre, máximos y mínimos diarios, con el fin de determinar niveles de compra y venta de los activos de Deuda Pública.
Entregables:
*Correo enviado al Director de Inversiones en el mes de Agosto de 2025:50%*Avance
* Herramienta Excel del estimador.*Correo enviado al Director de Inversiones en el mes de Noviembre de 2025:50%Herramienta Excel del estimador definitiva.
Evidencias: P:\Objetivos\2025\Dirección de Inversiones\Jairo Andrés Vásquez Coba</t>
  </si>
  <si>
    <t>Implementación de dashboard en Power BI que permita visualizar información actualizada del área de inversiones, con el fin de facilitar la generación de reportes y el análisis eficiente de los datos para la toma de decisiones estratégicas.
Entregables: 
*Correo enviado al VP Financiero en el mes de Julio de 2025:20% Módelo del diseño Power BI a implementar.
*Correo enviado al VP Financiero en el mes de Agosto de 2025:25% Presentación Power BI con Informe Semanal Portafolio.
*Correo enviado al VP Financiero en el mes de Septiembre de 2025:25% Presentación Power BI con Informe de Curvas .
*Correo enviado al VP Financiero en el mes de Noviembre de 2025:30% Presentación Power BI con Informe Comite Financiero de Junta Directiva
Evidencias: P:\Objetivos\2025\Dirección de Inversiones\Jairo Andrés Vásquez Coba</t>
  </si>
  <si>
    <t>(PAI - Objetivo Estratégico2. Asegurar la sostenibilidad financiera del FNG que contribuya con el crecimiento de la operación: Optimización del Portafolio de Inversiones)
Proponer alternativas de modificación del límite de inversiones clasificadas hasta el vencimiento al vencimiento, mediante un análisis integral de duración, perfil de riesgo y capital, con el fin de mejorar la eficiencia en la gestión de la administración de las inversiones, alineada con los principios de seguridad, liquidez y rentabilidad del Portafolio de Inversiones. 
Indicador: Informe de evaluación de alternativas de estructura de inversiones al vencimiento por duración, flujos contractuales de liquidez y desviación vs mercado  Hasta el 31 de Agosto de 2025  Peso 100%
Entregables:Correo enviado al VP Financiero con el Informe de evaluación de alternativas de estructura de inversiones al vencimiento por duración, flujos contractuales de liquidez y desviación vs mercado  Hasta el 31 de Agosto de 2025   Peso 100%
Evidencias: P:\Objetivos\2025\Dirección de Inversiones\Jairo Andrés Vásquez Coba</t>
  </si>
  <si>
    <t>A 31 diciembre de 2025 lograr como mínimo el cumplimiento del 90% de las acciones formuladas durante la vigencia en los planes de acción y mejoramiento relacionados con las auditorías realizadas por la OCI, SFC, Revisoría Fiscal y CGR en las actividades relacionadas con la Dirección de Inversiones.
Entregable:Correo electrónico enviado en el cual se informe a la Oficina de control Interno - OCI el cumplimiento de las acciones, la modificación de fechas o entregables acordados, a este correo deben adjuntarse los soportes de evidencias que correspondan en cada caso.
Evidencias: P:\Objetivos\2025\Dirección de Inversiones\Jairo Andrés Vásquez Coba</t>
  </si>
  <si>
    <t>Generar una utilidad del portafolio (PyG) para el año 2025 correspondiente a una TIR del 8%Indicador:
=8% = 100
=7.5%; 8%= 90
=7%;7.5% = 80
=6.5%;7%= 70
=6%;6.5% = 60
=5.5%;6%= 50
=5%;5.5% = 40
=4.5%;5%= 30
=3.5%;4.5% = 20
=3%;3.5% = 10
3%= 0
Entregable: Informe presentado al Comité Financiero en el mes de enero de 2026 y acta de esta sesiónEvidencias: P:\Objetivos\2025\Dirección de Inversiones\Jairo Andrés Vásquez Coba</t>
  </si>
  <si>
    <t>(PAI - Objetivo Estratégico2. Asegurar la sostenibilidad financiera del FNG que contribuya con el crecimiento de la operación: Operación de mercado monetario)
Implementar a 31 de octubre de2025 en el aplicativo (Dialogo Producción) las simultáneas activas como una alternativa adicional para la gestiónde liquidez del Portafolio de Inversiones del FNG.
Entregables:*Enviar correo electrónico al Vicepresidente financiero hasta el 31 de Agosto de 2025 que contenga el análisis preliminar y avance de pruebas integrales para la implementación en Dialogo Producción de las simultaneas activas.Peso 50%
*Enviar correo electrónico al Vicepresidente financiero hasta el 31 de octubre de 2025, informando y evidenciando la implementación en Dialogo Producción de las simultaneas activas.Peso 50%
Evidencias: P:\Objetivos\2025\Dirección de Inversiones\Jairo Andrés Vásquez Coba</t>
  </si>
  <si>
    <t>Descripción
Para el Q2, definir, implementar y ejecutar el plan de comunicaciones estratégicas que contribuyan a reforzar el posicionamiento del FNG, el cual debe incluir:- Plan de relacionamiento con medios- Plan de pauta en mediosIndicador 
Q2 (50%): plan de comunicaciones estratégicas que incluya plan de relacionamiento con medios y  plan de pauta en medios
Q4 (50%): informe de la implementación del plan
Entregables
Q2: presentar al VP ejecutivo, en reunión de avances del área, el plan de comunicaciones estratégicas
Q4: enviar un informe al VP ejecutivo con las evidencias de la implementación del plan</t>
  </si>
  <si>
    <t>Descripción
Para la vigencia 2025, diseñar y/o diagramar 50 informes, manuales, instructivos y presentaciones para uso interno y externo para las distintas áreas del FNG
Indicador% de avance de las actividades
Q4: (100%) realización de 50 diseños de documentos
Entregable
Q4: correo con el enlace de OneDrive en el que reposen los 50 documentos diseñados, enviado al subdirector de mercadeo y comunicaciones y a la directora de marca institucional</t>
  </si>
  <si>
    <t>Descripción:
Definir, implementar y ejecutar durante el 2025 el plan de comunicaciones estratégicas que contribuyan a reforzar el posicionamiento del FNG, el cual debe incluir:
- Plan de relacionamiento con medios
- Plan de pauta en mediosMedición:Q2 (50%): plan de comunicaciones estratégicas aprobado que incluya plan de relacionamiento con medios y plan de pauta en medios 
Q4 (50%): informe de la implementación y ejecución del plan
Entregables: Q2: presentar al VP ejecutivo, en reunión de avances del área, el plan de comunicaciones estratégicas
Q4: enviar un informe al VP ejecutivo con las evidencias de la implementación del plan</t>
  </si>
  <si>
    <t>Descripción:
Para el 2025, implementar un agente de IA para educar financieramente a los usuarios a través de la web
Medición: Q3 (50%): investigar y seleccionar las herramientas de IA más adecuadas para el agente. Una vez seleccionada la herramienta, diseñar el flujo de interacción del agente, considerando tono y personalización, y desarrollar la estructura inicial del agente
Q4 (50%): implementar el asistente virtual en el sitio web mediante un enlace que dirija a una página donde se encontrará la interfaz del agente para interactuar con él
Entregables:Q3: presentar al VP ejecutivo, en reunión de avances del área, el proyecto para su aprobación, incluyendo los resultados de la investigación y el flujo de interacción del agente
Q4: enviar un correo al VP ejecutivo con el informe de implementación y evidencia del funcionamiento del agente</t>
  </si>
  <si>
    <t>Descripción:
Rediseñar la interfaz de la Intranet a 31 de julio de 2025
Medición:% de avance de las actividades 
Q2 (50%) Presentar, en reunión de avances del área, el prototipo de rediseño de la Intranet al vicepresidente ejecutivo para su aprobación
Q3 (50%) Realizar la divulgación de la nueva interfaz de la Intranet en los canales internos
Entregables:﻿
Q2: Correo del vicepresidente ejecutivo dando su aprobación al rediseño de la Intranet.
Q3: Informe que incluya:- Evidencias del rediseño de la Intranet- Evidencias de divulgación del rediseño de la Intranet en canales internos</t>
  </si>
  <si>
    <t>Descripción: 
Al 31 de diciembre de 2025, alcanzar un total de 60.000 seguidores en la cuenta oficial de Instagram del FNG.
Medición:Q4: 
100% de cumplimiento: 60.000 seguidores.
95% de cumplimiento: 57.000 seguidores. 
90% de cumplimiento: 54.000 seguidores. 
0% de cumplimiento: 53.000 seguidores.
Entregables:﻿Q4: presentar al vicepresidente ejecutivo, en la reunión de cierre del área, un análisis del comportamiento y crecimiento de seguidores en Instagram durante la vigencia 2025.</t>
  </si>
  <si>
    <t>Descripción:
Para el año 2025, desarrollar e implementar ocho (8) nuevos módulos propuestos para el sitio web, junto con la actualización y fortalecimiento de la identidad visual
Medición:Q2 (20%): desarrollo del cronograma del rediseño de la página web
Q3 (40%): desarrollar (8) módulos en la página web, de acuerdo con la necesidad de la página web
Q4 (40%): Implementación de los 8 módulos en las diferentes secciones de la página y actualizar el 80% de las 138 páginas internas del site del FNG, los ajustes se realizarán desde las secciones clave como la cabecera, pie de página y otras áreas relevantes, asegurando una transición fluida y coherente en todas las páginas
Entregables:
Q2: presentación de la estrategia del rediseño de la página web y evidencia de la reunión con el VP ejecutivo (agenda de la reunión)
Q3: presentación de los 8 nuevos módulos creados, en reunión de avances de área (agenda de la reunión)
Q4: presentar al VP ejecutivo, en reunión de avances del área, el informe con el rediseño del sistema visual de la página web</t>
  </si>
  <si>
    <r>
      <t>Firmar 10 memorandos de entendimiento y/o planes de trabajo de alianzas ya suscritas relacionados con: fomento a la Educación Económica y Financiera, realización de ruedas creditricias y procesos de generación de demanda.
Medición:Es con tabla proporci</t>
    </r>
    <r>
      <rPr>
        <b/>
        <sz val="9"/>
        <color rgb="FFFF0000"/>
        <rFont val="Arial"/>
        <family val="2"/>
      </rPr>
      <t>o</t>
    </r>
    <r>
      <rPr>
        <sz val="9"/>
        <color theme="1"/>
        <rFont val="Arial"/>
        <family val="2"/>
      </rPr>
      <t>nal, donde una alianza o plan equivale al 10%, 2 al 20%, 3 al 30% ........... 10 al 100%.
Evidencia:Los MOU suscritos y las actas, correos donde se da VoBo al plan de acción y soportes de las actividades realizadas en el marco de las tareas definidas</t>
    </r>
  </si>
  <si>
    <t>Acordar e implementar 8 (ocho) planes de trabajo con gremios, entidades publico/privadas y organizaciones sociales que permitan la referenciación de potenciales clientes a Direcciones Generales, junto con el posicionamiento del Fondo Nacional de Garantías en la cadena de valor.
Medición :No Planes de trabajo implementados gremios, entidades publico/privadas y organizaciones sociales / 8*100 Es con la tabla proporcional donde 1 plan de acción equivale al 12,5% y los 8 equivalen al 100%
Evidencia requerida:Planes de trabajo aprobados por Vice Comercial e implementados, correos y registro de actividades realizadas</t>
  </si>
  <si>
    <t>Lograr al 31 de diciembre de 2025 la consolidación del programa de educación económica y financiera "Garantiza tu futuro", a través de un evento de entrega de informe de gestión del programa, y a su vez iniciar el proceso de certificación del programa ante la Superintendencia Financiera, para lo cual la cual se desarrollarán las siguientes actividades:
1. Al 31 de diciembre realizar evento de entrega del informe de gestión ante aliados y actores externos. Peso: 50%
2. Iniciar el proceso de alistamiento de documentos y evidencias que consiste en el cumplimiento del check list definido con la Superintendencia Financiera para la obtención de certificación del programa. Peso: 50%
Medición: El objetivo se cumple al 100% con la ejecución de todas las actividades. 
El resultado final corresponderá a la suma de los porcentajes de cumplimiento de cada actividad ejecutada y debidamente soportada.
Evidencias:
Actividad 1:Documento de informe de gestión e informe del evento que contiene registro fotográfico y publicación en redes del evento
Actividad 2: Soportes de documentos y evidencias requeridas en el check list definido por la Superintendencia Financiera.</t>
  </si>
  <si>
    <t>Gestionar la suscricpión de quince (15) convenios u otrosís de programas especiales durante el 2025.
Medición:Con la siguiente formula No. Convenios sucritos/15*100
Evidencia:Convenios firmados y cifras de movilización suministrada por arquitectura de datos</t>
  </si>
  <si>
    <t>Rediseñar, antes del 30 de octubre de 2025, la metodología actual de muestreo periódico. La metodología debe ser presentada al Comité SIAR y socializada con las áreas involucradas. 
Entregable 1: Revisar conjuntamente con el equipo de vinculación, aseguramiento y calidad la propuesta de rediseño de la metodología a más tardar el 31 de julio de 2025 y como evidencia se registrará un acta de la sesión.
Evidencia: acta de la sesión.Porcentaje: 50%.
Entregable 2: Presentar la versión final de la metodología del modelo de muestreo periódico a más tardar el 30 de octubre al comité SIAR.
Evidencia: Presentación de la propuesta al Vicepresidente de Riesgos - Comité SIAR Porcentaje: 50%</t>
  </si>
  <si>
    <t>Realizar y presentar las calibraciones para la metodología de estimación de pérdidas y reservas de la línea empresarial ante el Comité SIAR, en un plazo máximo a 30 de Septiembre de 2025. 
Esté objetivo se alinea con el objetivo estratégico "3. Fortalecer la gestión y administración integral del riesgo para generar un adecuado ambiente de control" del PAI con el indicador de Cobertura de reservas. 
Entregable 1: Realizar y presentar la estimación de los nuevos puntos de Default para las metodología de estimación de pérdidas y reservas de la línea empresarial ante el Comité SIAR, en un plazo máximo a 31 de Julio de 2025.
Evidencia: Presentación de resultados al Comité SIAR Porcentaje: 16%.
Entregable 2: Realizar y presentar la estimación de los limites de suficiencia por asimilable y global para la línea empresarial ante el Comité de SIAR, en un plazo máximo a 31 de Julio de 2025.
Evidencia: Presentación de resultados al Comité SIAR Porcentaje: 16%.
Entregable 3: Realizar la calibración de los modelos prospectivos para la línea empresarial. Se debe presentar en el Comité de SIAR, en un plazo máximo a 30 de Septiembre de 2025.
Evidencia: Presentación de resultados al Comité SIARPorcentaje: 20%.
Entregable 4: Incluir en el proceso de Calibración del componente prospectivo variables extranjeras relevantes. Estas variables deberán ser incluidas en la base de variables Macroeconómicas y deberán ser consideradas en el proceso de Calibración semestral, en un plazo máximo a 30 de Septiembre de 2025.
Evidencia: Base actualizada de variables Macroeconómicas Porcentaje: 16%.
Entregable 5: Desarrollar una propuesta para la proyección de Siniestros. La propuesta deberá ser socializada a mas tardar el 31 de Agosto de 2025, la propuesta deberá ser discutida en el Comité SIAR.
Evidencia: Presentación de la propuesta al Vicepresidente de Riesgos - Comité SIARPorcentaje: 16%.
Entregable 6: Desarrollar una propuesta para la proyección de Coberturas de Reservas. La propuesta deberá ser socializada a mas tardar el 31 de Agosto de 2025, la propuesta deberá ser discutida en el Comité SIAR.Evidencia: Presentación de la propuesta al Vicepresidente de Riesgos - Comité SIAR Porcentaje: 16%.</t>
  </si>
  <si>
    <t>Participar en el Proyecto Modelo de Gobierno de Datos, con la transferencia de conocimiento y el acompañamiento en la aplicación de pruebas para la migración del segundo caso de uso sobre el proceso del cálculo de reservas en la nube Azure. Dicha acompañamiento se debe ajustar al cronograma del contratista DataKnow y debera realizarse antes del 30 de noviembre. Esté objetivo se alinea con el "IT015: Modelo de Gobierno de Datos" del PETI. 
Entregable 1: Realizar el entendimiento con el proveedor del proceso de reservas y la ejecución de los códigos. Las reuniones realizadas debe quedar como evidencia y se realizara grabación de las sesiones y se dejara como entregable. Este entendimiento debe realizarse a más tardar el 31 de Agosto de 2025.
Evidencia: Grabación de la sesiones.Porcentaje: 53%.
Entregable 2: Verificar la funcionalidad de la migración realizada por el proveedor en la nube con un set de pruebas acordado entre el proveedor y el FNG. El set de pruebas y la verificación deberá ser presentada antes del 30 de Noviembre de 2025.
Evidencia: Set de pruebasPorcentaje: 47%.</t>
  </si>
  <si>
    <t>Implementar la integración del modelo prospectivo al VMD Empresarial Vigilados, esta integración debe contemplar las etapas de Desarrollo de la propuesta, Actualización documental, Desarrollo de Aplicativos. La integración deberá realizarse antes del 30 de Diciembre de 2025. Esté objetivo se alinea con el objetivo estratégico "3. Fortalecer la gestión y administración integral del riesgo para generar un adecuado ambiente de control" del PAI con la estrategia 3.1 Consolidar la gestión integral de riesgos, bajo la apuesta Aplicación de modelos prospectivos transversales a los sistemas de riesgos.
Entregable 1: Implementar un análisis descriptivo y estadístico sobre los indicadores Financieros utilizados para la estimación del VMD empresarial vigilados, a más tardar 30 de Junio de 2025. El análisis debe ser socializado con el Director de Modelos Técnicos y/o Vicepresidente de Riesgos.
Evidencia: Presentación en PPT con el análisis realizado.Porcentaje: 25%.
Entregable 2: Desarrollar una propuesta metodológica para la inclusión de un componente prospectivo en la metodología actual de VMD Empresarial Vigilados. La propuesta deberá ser socializada a más tarde el 31 de Agosto de 2025, la propuesta deberá ser discutida en el Comité SIAR.Evidencia: Presentación de la propuesta al Comité SIAR Porcentaje: 25%.
Entregable 3: Actualizar la documentación relacionada a la estimación del VMD empresarial Vigilados para integrar el componente prospectivo en la metodología de estimación del VMD Empresarial Vigilados. La documentación debe ser actualizada antes del 30 de Septiembre de 2025. Los documentos deberán estar publicados en Isolución.
Evidencia: Documentación con el ajuste realizado Porcentaje: 25%.
Entregable 4: Diseñar códigos de ejecución para la implementación del componente prospectivo en la estimación del VMD empresarial Vigilados. Los códigos deberán ser actualizados antes del 30 de septiembre de 2025.
Evidencia: Instructivo donde se especifique la ejecución del componente prospectivoPorcentaje: 25%</t>
  </si>
  <si>
    <t>Atender oportunamente las recomendaciones por parte de la SFC en el proceso de No Objeción metodología de estimación de Pérdidas y Reservas VIS e Institucional, a más tardar el 31 de diciembre de2025. Esté objetivo se alinea con el objetivo estratégico "3. Fortalecer la gestión y administración integral del riesgo para generar un adecuado ambiente de control" del PAI con la estrategia 3.1 Consolidar la gestión integral de riesgos, bajo la apuesta Modelos No Objetados. 
Entregable 1: Atender oportunamente las recomendaciones por parte de la SFC en el proceso de No Objeción metodología de estimación de Pérdidas y Reservas VIS e Institucional, a más tardar el 31 de diciembre de2025. Esté objetivo se alinea con el objetivo estratégico "3. Fortalecer la gestión y administración integral del riesgo para generar un adecuado ambiente de control" del PAI con la estrategia 3.1 Consolidar la gestión integral de riesgos, bajo la apuesta Modelos No Objetados.
Evidencia: Comunicaciones de respuesta a requerimientos de la SFC en el proceso de solicitud de concepto de no objeciónPorcentaje: 100%</t>
  </si>
  <si>
    <t>Actualizar y presentar ante el comité SIAR, a mas tardar el 30 de Junio de 2025, los cálculos de la metodología para la estimación de tarifas a nivel deudor para el producto Multipropósito que permita cuantificar el valor de la tarifa cobrada y que incorpore el score crediticio de las centrales de información. Esté objetivo se alinea con el objetivo estratégico "1. Promover la generación de créditos garantizados y reducir las barreras de acceso a la inclusión financiera, impactando favorablemente el tejido social y productivo del país" del PAI con la estrategia 1.1 Fortalecimiento del portafolio de productos y servicios del FNG, bajo la apuesta Mejorar el esquema de tarifación. 
Entregable 1: Actualizar y presentar ante el comité SIAR, a mas tardar el 30 de Junio de 2025, los cálculos de la metodología para la estimación de tarifas a nivel deudor para el producto Multipropósito que permita cuantificar el valor de la tarifa cobrada y que incorpore el score crediticio de las centrales de información. Esté objetivo se alinea con el objetivo estratégico "1. Promover la generación de créditos garantizados y reducir las barreras de acceso a la inclusión financiera, impactando favorablemente el tejido social y productivo del país" del PAI con la estrategia 1.1 Fortalecimiento del portafolio de productos y servicios del FNG, bajo la apuesta Mejorar el esquema de tarifación.
Evidencia: Presentación de la propuesta al Vicepresidente de Riesgos - Comité SIARPorcentaje: 100%.</t>
  </si>
  <si>
    <t>A 31/12/25 realizar pruebas integrales satisfactorias y solicitar el paso a PRD de los evolutivos pendientes del producto de Garantía Global -Individual en los procesos de apertura, novedades, liquidación de comisiones y del producto de Garantía Global - Cupos, según historia de usuario No. 18180
CRITERIOS DE MEDICIÓN
El objetivo será medible así: 
Alcance a la historia de usurario: 10% - Cumple/ no cumple 
Pruebas integrales a satisfacción y solicitud de paso a PRD: 60% - Cumple / no cumple
Modificación y/o ajustes al reglamento de garantías de GG: 30% - Cumple / no cumple
ENTREGABLES / EVIDENCIA La evidencia de cumplimiento será el correo de solicitud de paso a PRD enviado a la Vp de Operaciones y/o Vp de TD e Innovación y la modificación y/o ajustes al reglamento de garantías de Garantía GlobalV1</t>
  </si>
  <si>
    <t>Antes del 31/12/25 elaborar historia de usuario para el rediseño del proceso de liquidación y cobro de comisiones de productos de garantía del esquema tradicional
CRITERIOS DE MEDICIÓN El objetivo será medible así: 
Elaborar y radicar el formato: Solicitud de Requerimientos o Evolutivos de Aplicaciones: 5% - Cumple / no cumple
Realizar mesas de trabajo con la Subdirección de Aplicaciones SAP para definir la historia de usuario: 25% - Cumple / no cumple
Elaborar y radicar historia de usuario: 70% - Cumple / no cumple
ENTREGABLES / EVIDENCIA Correo de remisión de la solicitud a la Subdirección de Aplicaciones SAP y/o Vp de TD e Innovación/ Caso radicado en Aranda con la historia de usuario</t>
  </si>
  <si>
    <t>A 31/12/25 realizar y certificar pruebas integrales de la modularizaciónde objetos críticos en los desarrollos asociados a los procesos de reserva, registro, apertura de cupo, liquidación de comisiones, actualización de saldos, reclamación de garantías, devolución de comisiones y reporte general de garantías -ZSD028E-
CRITERIOS DE MEDICIÓN El objetivo será medibleasí:Pruebas integrales a satisfacción: 100% - Cumple / no cumple
ENTREGABLES / EVIDENCIA La evidencia de cumplimiento será el correo enviado a la Vp de Operaciones y/o Vp de TD e Innovación en el que se certifiquen las pruebas integrales realizadas</t>
  </si>
  <si>
    <t>A 31/12/25 realizar pruebas integrales satisfactorias y solicitar el paso a PRD de los desarrollos solicitados en el caso RF-19157-1-15137 (30/08/24) que contemplan la digitalización del anexo 21: "Notificación de caso fortuito o fuerza mayor",e integración con la estructura del Anexo 14: "Notificación para Reclamación de Garantías Derivado de un Proceso Concursal" -Unificación de anexos-. 
Así mismo, proyectar e impulsar la emisión de la Circular NormativaExterna - CNE, modificatoria del reglamento de garantías en lo concerniente al reporte de casos fortuitos o fuerza mayor por parte de los IF
CRITERIOS DE MEDICIÓN El objetivo será medibleasí:Pruebas integrales a satisfacción y solicitud de paso a PRD: 70% - Cumple / no cumple
CNE modificatoria del reglamento de garantías - emitida: 30% - Cumple / no cumple
ENTREGABLES / EVIDENCIA La evidencia del cumplimiento será el correo de solicitud de paso a PRD y la CNE modificatoria del reglamento de garantías V 4.1</t>
  </si>
  <si>
    <t>Diseñar e incorporar al menos 2 recursos interactivos (digitales o físicos) en cada uno de los módulos que conforman los cursos básico y avanzado de la Universidad de la Garantía (Calidad de datos, liquidación de comisiones, devolución de comisiones, reclamación de garantía, garantía global y casos excepcionales), que serán dictados por funcionarios de la Dirección de Operaciones durante el año 2025
CRITERIO DE MEDICIÓN Cumple o no cumple
ENTREGABLES / EVIDENCIA- Documento donde se recopile el diseño de cada recurso con fotografías y/o pantallazos de las diferentes actividades, por módulo: Calidad de datos, liquidación de comisiones, devolución de comisiones, reclamación de garantía, garantía global y casos excepcionales. El documento deberá remitirse por correo electrónico del VP de Operaciones a más tardar el día 30 de noviembre de 2025.- Encuesta de satisfacción del curso</t>
  </si>
  <si>
    <t>A 30 de septiembre de 2025, generar o actualizar los 20 documentos asociados a la administración del esquema de garantía global (manual, procedimientos, instructivos, formatos), conforme al inventario y cronograma establecidos para tal fin
CRITERIO DE MEDICIÓN 
El objetivo será evaluado en forma proporcional al número de documentos actualizados, siendo necesario un cumplimiento mínimo del 90%. Un cumplimiento inferior al 90%, es decir, 89,99% o menos, será calificado con 0 puntos.
FÓRMULA DE CÁLCULO(Número de documentos actualizados / 20) * 100
ENTREGABLES / EVIDENCIA Documentos actualizados y aprobados en el aplicativo ISOlución o el aplicativo vigente a la fecha de cargue</t>
  </si>
  <si>
    <t>A 31/12/25 realizar pruebas integrales satisfactorias y solicitar el paso a PRD de los evolutivos del proceso de Reclamación de Garantíasy los desarrollos relacionados con la creación y contabilización del nuevo producto de cartera en el módulo CML PGG, según historia de usuario No. 19247
CRITERIOS DE MEDICIÓN El objetivo será medibleasí: Pruebas integrales a satisfacción y solicitud de paso a PRD: 100% - Cumple / no cumple
ENTREGABLES / EVIDENCIA La evidencia de cumplimiento será el correo de solicitud enviado a la Vp de Operaciones y/o Vp de TD e Innovación de paso a PRD</t>
  </si>
  <si>
    <t>Lograr a 31-12-2025 la conformación del grupo de investigación FNG para ser presentado ante MinCiencias, asegurando el cumplimiento del 100% de los requisitos y actividades necesarias, las cuales se describen a continuación:
• Definición de líneas de investigación y enfoque temático: peso 30% - Entrega en Q3
• Conformación del equipo de trabajo con criterios de MinCiencias: peso 30% - Entrega en Q3
• Recolección y validación de la producción académica e investigativa: peso 30% - Entrega en Q4
• Rendición de la solicutud de formalización del grupo de investigación en la plataforma de MinCiencias: peso 10% - Entrega en Q4
El siguiente objetivo esta alineado a la apuesta estratégica del PAI: Implementación del Modelo de gestión del conocimiento
Indicador de medición: Su evaluación será proporcional a la suma de los porcentajes relacionados a cada entregable completado a satisfacción
Entregables: Informe de avance de las actividades relacionadas para entrega en Q3 y Q4 respectivamente
Ubicación de evidencias: Z:\Objetivos\2025\Dirección de Planeación﻿Ubicación alternativa: OneDrive definido por parte de la VP Ejecutiva o la Dirección de Felicidad.</t>
  </si>
  <si>
    <t>Lograr a 31-12-2025 la puesta en producción del asistente de inteligencia artificial para la lectura de circulares u otro componente definido por la alta gerencia del FNG, asegurando el cumplimiento del 100% de los componentes relacionados a continuación:
• Catálogo documental del corpus de conocimiento (Listado de circulares, manuales y/o anexos): peso 30% - Entrega Q3
• Arquitectura de despliegue y configuración de servicios en el LakeHouse: peso 40% - Entrega Q3
• Integración del agente en la plataforma corporativa Microsoft Teams: peso 30% - Entrega Q4
El siguiente objetivo esta alineado a la apuesta estratégica del PAI: Solución operativa usando tecnología de inteligencia artificial (IA chat bot)
Indicador de medición: Su evaluación será proporcional a la suma de los porcentajes relacionados a cada entregable completado a satisfacción.
Entregables: Informe de avance de las actividades relacionadas para entrega en Q3 y Q4 respectivamente.
Ubicación evidencias: Z:\Objetivos\2025\Dirección de Planeación﻿﻿Ubicación alternativa: OneDrive definido por parte de la VP Ejecutiva o la Dirección de Felicidad.</t>
  </si>
  <si>
    <t>Lograr a 31-12-2025 la integración del proceso SARG con la arquitectura Lakehouse, asegurando el cumplimiento del 100% de los componentes técnicos y funcionales definidos, los cuales se describen a continuación:
• Diagnóstico de requerimientos del proceso SARG: peso 25% - Entrega Q3
• Diseño de la arquitectura de integración con Lakehouse: peso 25% - Entrega Q3
• Desarrollo y prueba del flujo de integración de datos: peso 25% - Entrega Q3
• Validación y puesta en marcha del proceso integrado: peso 25% - Entrega Q3
El siguiente objetivo esta alineado a la apuesta estratégica del PAI: Rediseño y optimización de proceso
Indicador de medición: Su evaluación será proporcional a la suma de los porcentajes relacionados a cada entregable completado a satisfacciónEntregables: Informe de avance de las actividades relacionadas para entrega en Q3 y Q4 respectivamente
Ubicación de evidencias: Z:\Objetivos\2025\Dirección de Planeación﻿
Ubicación alternativa: OneDrive definido por parte de la VP Ejecutiva o la Dirección de Felicidad.</t>
  </si>
  <si>
    <t>Lograr a 31-12-2025 la coordinación del desarrollo del caso de negocio del módulo CO y la elaboración del concepto de factibilidad para su puesta en producción contable en la vigencia 2026, asegurando el cumplimiento del 100% de los componentes definidos, como se establecen a continuación:Indicador de medición: Su evaluación será proporcional a la suma de los porcentajes relacionados a cada entregable completado a satisfacción.
• Elaboración del diagnóstico funcional y técnico del módulo CO: peso 25% - Entrega en Q3
• Desarrollo del caso de negocio con análisis de beneficios y costos: peso 25% - Entrega en Q3
• Revisión normativa y operativa para la implementación contable: peso 25% - Entrega en Q4
• Emisión del concepto de factibilidad (Favorable o Desfavorable) para puesta en producción 2026: peso 25% - Entrega en Q4
El siguiente objetivo esta alineado a la apuesta estratégica del PAI: Servicios de actualización del sistema SAP ERP
Entregables: Informe de avance de las actividades relacionadas para entrega en Q3 y Q4 respectivamente
Ubicación de evidencias: Z:\Objetivos\2025\Dirección de Planeación﻿
Ubicación alternativa: OneDrive definido por parte de la VP Ejecutiva o la Dirección de Felicidad.</t>
  </si>
  <si>
    <t>Lograr a 31-12-2025 la puesta en producción y apropiación por parte de las áreas correspondientes de los módulos ISOTOOLS, asegurando el cumplimiento y entrega del 100% de los módulos planificados, de la siguiente manera:
• Módulo de Gestión Documental: peso 20% - Entrega en Q3
• Módulo de Indicadores: peso 20% - Entrega en Q3
• Módulo de Auditoría: peso 20% - Entrega en Q4
• Módulo de Mejora Continua: peso 20% - Entrega en Q4
• Módulo de Proyectos: peso 20% - Entrega en Q4
El siguiente objetivo esta alineado a la apuesta estratégica del PAI: Puesta en producción del Software del SGI
Indicador de medición: Su evaluación será proporcional a la suma de los porcentajes relacionados a cada entregable completado a satisfacción
Entregables: Acta de recibido a satisfacción de cada uno de los módulos para entrega del Q3 y Q4 respectivamente.
Ubicación de evidencias: Z:\Objetivos\2025\Dirección de Planeación
Ubicación alternativa: OneDrive definido por parte de la VP Ejecutiva o la Dirección de Felicidad.</t>
  </si>
  <si>
    <t>Realizar al 31-12-2025 la entrega del análisis de puesta en producción de un módulo de clusterización para la recuperación de cartera, asegurando el cumplimiento del 100% de los componentes técnicos, analíticos y operativos definidos a continuación:
• Tablero descriptivo en formato Tableau o Power BI entregado al vicepresidente ejecutivo para su visualización a través de los sistemas de información habilitados en el FNG: peso 50% - Entrega en Q3
• Documento con el diseño metodológico del modelo analítico para cartera: peso 15% - Entrega en Q4
• Socialización y recibo de retroalimentación por parte de las áreas responsables de recuperación de cartera (acta de reunión): peso 10% - Entrega en Q4
• Desarrollo del informe final y su viabilidad de aplicación en las estrategias de recuperación de cartera entregado al vicepresidente ejecutivo y al vicepresidente jurídico: peso 25% - Entrega Q4
El siguiente objetivo esta alineado con la apuesta estratégica de PAI. Diseño de estrategia de recuperación de cartera
Indicador de medición: Su evaluación será proporcional a la suma de los porcentajes relacionados a cada entregable completado a satisfacciónEntregables: Informe de avance de las actividades relacionadas para entrega en Q3 y Q4 respectivamente
Ubicación evidencias: Z:\Objetivos\2025\Dirección de Planeación﻿﻿
Ubicación alternativa: OneDrive definido por parte de la VP Ejecutiva o la Dirección de Felicidad.</t>
  </si>
  <si>
    <t>Durante el 2025 contribuir al cumplimiento de la ejecución y finalización de dos (2) proyectos de la hoja de ruta del Plan Estratégico de Tecnologías de la Información (PETI) del FNG, programados para el año 2025, de acuerdo con el alcance, cronogramas y resultados esperados;- IT005 Piloto motor productos de garantías- IT013 Actualización sistema SAP ERP
Entregables: Q1: 25% Documentación aprobación IT013 RFC EHP8 PRD
Q2: 25% Documento de recomendaciones funcionales IT013 consultoría funcional
Q3: 25% Plan de gestión proyecto IT005 Piloto del motor de gestión productos de garantías, Plan de evaluación IT013 de aplicativo SAP Nómina
Q4: 25% Conclusiones y recomendaciones mapa ruta y caso de negocio proyecto IT005 Piloto del motor de gestión productos de garantías, Informe IT013 de conclusiones y recomendaciones de aplicativo SAP Nómina</t>
  </si>
  <si>
    <t>Durante el 2025 realizar la gerencia de dos (2) proyectos de la hoja ruta PETI:- IT026 Clean core remedial SAP aplicativos funcionales- IT027 Actualización rediseño marco referencia arquitectura empresarial
Entregables:
Q3: 50% Informe de avance proyecto IT026, Informe de avance del proyecto arquitectura empresarial IT027
Q4: 50% Informe de avance proyecto IT026, informe de recomendaciones de arquitectura empresarial IT027</t>
  </si>
  <si>
    <t>Durante el 2025 realizar la actualización de la versión del Manual de gestión de proyectos de IT.
Entregables:Q3: 50% Templates de artefactos PGP, mapa stakeholders y PMR, Cargue y codificación templates de artefactos de PGP, mapa stakeholders y PMR
Q4: 50% Manual de Gestión de proyectos de TI actualizado, con artefactos PGP, mapa stakeholders y PMR</t>
  </si>
  <si>
    <t>Durante el 2025 realizar la mentoría y aseguramiento de calidad de gestión de proyectos de dos (2) proyectos de la hoja de ruta PETI:- IT015 Modelo gobierno de datos- IT030 Rediseño y optimización procesos Rearchitecting and RefactoringEntregables:
Q4: 100% Informe PMR de revisión de proyecto IT015. Incluye conclusiones y recomendaciones, Informe PMR de revisión del proyecto IT030. Incluye conclusiones y recomendaciones</t>
  </si>
  <si>
    <t>En el marco del PAI 2025, y con el propósito de abordar el Objetivo Estratégico 1: Promover la generación de créditos garantizados y reducir las barreras de acceso a la inclusión financiera, impactando favorablemente el tejido social y productivo del país, y a su vez, contribuir a la estrategia 1.1: Fortalecimiento del portafolio de productos y servicios del FNG en cuanto a la apuesta estratégica "Desarrollo y/o rediseño de productos adaptados a las dinámicas y necesidades de mercado", la Dirección de Riesgo de Garantías establece el siguiente objetivo:
Proponer al Comité SIAR en el Q4 un nuevo modelo para la asignación del Valor Máximo Discrecional Empresarial a las entidades originadoras clasificadas como Fintech, que incorpore revisiones cualitativas y cuantitativas, teniendo en cuenta las características diferenciadoras de estas entidades en comparación con otras.
Indicador: Porcentaje de avance de la entrega del Modelo.
Entregable Q3: Base de datos para el análisis del modelo depurada. Peso: 60%
Entregable Q4: Presentación propuesta Modelo Fintech para Comité SIAR Peso: 20%. 
Reunión evidencia presentación Comité SIAR Peso: 20%.</t>
  </si>
  <si>
    <t>En el marco del PAI 2025, y con el propósito de abordar el Objetivo Estratégico 1: Promover la generación de créditos garantizados y reducir las barreras de acceso a la inclusión financiera, impactando favorablemente el tejido social y productivo del país, y a su vez, contribuir a la estrategia 1.1: Fortalecimiento del portafolio de productos y servicios del FNG en cuanto a la apuesta estratégica " Mejorar el esquema de tarifación", la Dirección de Riesgo de Garantías establece el siguiente objetivo:
Diseñar y presentar al comité SIAR del tercer trimestre una propuesta para implementar productos con control parcial de originación, basados en la evaluación de la Probabilidad de Incumplimiento mediante Score, con el fin de reducir la brecha entre los productos multipropósito y preferente.
Entrega Q 2: Entrega de la base a los Buros para la revisión del Backtest. Entrega del backtest de los Buros al área de modelos Técnicos. Peso: 20%
Evaluación de la tarifa del producto alterno y presentación de la propuesta al comité SIAR, bajo la metodología operativa de Preferente. Peso: 80%</t>
  </si>
  <si>
    <t>En el marco del PAI 2025, y con el propósito de abordar el “Objetivo Estratégico 1: Promover la generación de créditos garantizados y reducir las barreras de acceso a la inclusión financiera, impactando favorablemente el tejido social y productivo del país” yel “Objetivo Estratégico 6: Contar con un equipo humano competente, motivado y alineado con los valores corporativos, que impulse el crecimiento del negocio” que a su vez, contribuyen en las estrategias “1.3: Ampliación de la base de intermediarios financieros” y “6.2: Cualificación del talento humano” impactando las apuestasestratégicas "Consolidación y diversificación del portafolio de clientes canal” y " Desarrollo de habilidades técnicas, blandas y digitales del talento humano para la transformación digital del FNG", la Dirección de Riesgo de Garantías establece el siguiente objetivo:
Fortalecer el conocimiento del equipo de la dirección comercial del FNG en temas de análisis financiero, riesgos e información exógena mediante talleres interactivos segmentados por tema y audiencia que faciliten los flujos de los procesos entre el área comercial, el Intermediarios Financieros, y el área de riesgos de garantías. 
Entregable Q2: Cronograma de capacitaciones. Presentación con el material de formación para las sesiones de fortalecimiento. Listados de asistencia. Evaluación de conocimiento. Peso: 34%Entregable Q3: Cronograma de capacitaciones. Presentación con el material de formación para las sesiones de fortalecimiento. Listados de asistencia. Evaluación de conocimiento. Peso: 33%Entregable Q4: Cronograma de capacitaciones. Presentación con el material de formación para las sesiones de fortalecimiento. Listados de asistencia. Evaluación de conocimiento. Peso: 33%</t>
  </si>
  <si>
    <t>Descripción del Objetivo:Presentar y pagar las declaraciones tributarias con dos y un día hábil de antelación al vencimiento legal respectivamente para cada mes de 2025, iniciando desde las declaraciones a ser presentadas en enero de 2025 hasta las presentadas en diciembre de 2025.Indicador o Formula con la que se va a Realizar la Medición:% de cumplimiento oportuno de los entregables.Cantidad de impuestos presentados con dos días hábiles y pagados con un día hábil de antelación al vencimiento legal / Total de impuestos de enero a diciembre de 2025
Cumplimiento de la meta = 100% = 100%
Cumplimiento de la meta = 90% y 100 = 90% 
Cumplimiento de la meta = 80% y 90 = 75% 
Cumplimiento de la meta = 70% y 80 = 50% 
Cumplimiento de la meta = 50% y 70 = 20%
Cumplimiento de la meta 50 = 0%
Entregables:﻿Calendario tributario actualizado en públicoEvidencias:﻿ P:\Objetivos\2025\Dirección Tributaria\Liliana Yaneth Avellaneda Barbosa</t>
  </si>
  <si>
    <t>DIRECCIÓN</t>
  </si>
  <si>
    <t>AREA/VP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</si>
</sst>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Red]0"/>
  </numFmts>
  <fonts count="7" x14ac:knownFonts="1">
    <font>
      <sz val="11"/>
      <color theme="1"/>
      <name val="Calibri"/>
      <family val="2"/>
      <scheme val="minor"/>
    </font>
    <font>
      <b/>
      <sz val="9"/>
      <color theme="0"/>
      <name val="Arial"/>
      <family val="2"/>
    </font>
    <font>
      <sz val="9"/>
      <color theme="1"/>
      <name val="Arial"/>
      <family val="2"/>
    </font>
    <font>
      <sz val="9"/>
      <name val="Arial"/>
      <family val="2"/>
    </font>
    <font>
      <b/>
      <sz val="9"/>
      <color theme="1"/>
      <name val="Arial"/>
      <family val="2"/>
    </font>
    <font>
      <b/>
      <sz val="9"/>
      <color rgb="FFFF0000"/>
      <name val="Arial"/>
      <family val="2"/>
    </font>
    <font>
      <b/>
      <sz val="9"/>
      <color rgb="FF002060"/>
      <name val="Arial"/>
      <family val="2"/>
    </font>
  </fonts>
  <fills count="5">
    <fill>
      <patternFill patternType="none"/>
    </fill>
    <fill>
      <patternFill patternType="gray125"/>
    </fill>
    <fill>
      <patternFill patternType="solid">
        <fgColor rgb="FF282C36"/>
        <bgColor indexed="64"/>
      </patternFill>
    </fill>
    <fill>
      <patternFill patternType="solid">
        <fgColor theme="0"/>
        <bgColor indexed="64"/>
      </patternFill>
    </fill>
    <fill>
      <patternFill patternType="solid">
        <fgColor theme="5"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2">
    <xf numFmtId="0" fontId="0" fillId="0" borderId="0" xfId="0"/>
    <xf numFmtId="0" fontId="1" fillId="2" borderId="0" xfId="0" applyFont="1" applyFill="1" applyAlignment="1">
      <alignment horizontal="center" vertical="center"/>
    </xf>
    <xf numFmtId="0" fontId="2" fillId="0" borderId="0" xfId="0" applyFont="1"/>
    <xf numFmtId="0" fontId="2" fillId="0" borderId="0" xfId="0" applyFont="1" applyAlignment="1">
      <alignment vertical="center"/>
    </xf>
    <xf numFmtId="0" fontId="2" fillId="0" borderId="0" xfId="0" applyFont="1" applyAlignment="1">
      <alignment vertical="center" wrapText="1"/>
    </xf>
    <xf numFmtId="0" fontId="1" fillId="2" borderId="0" xfId="0" applyFont="1" applyFill="1" applyAlignment="1">
      <alignment horizontal="center" vertical="center" wrapText="1"/>
    </xf>
    <xf numFmtId="3" fontId="3" fillId="0" borderId="1" xfId="0" applyNumberFormat="1" applyFont="1" applyBorder="1" applyAlignment="1">
      <alignment horizontal="right" vertical="center" wrapText="1"/>
    </xf>
    <xf numFmtId="0" fontId="2" fillId="0" borderId="1" xfId="0" applyFont="1" applyBorder="1" applyAlignment="1">
      <alignment vertical="center"/>
    </xf>
    <xf numFmtId="0" fontId="2" fillId="0" borderId="1" xfId="0" applyFont="1" applyBorder="1" applyAlignment="1">
      <alignment vertical="center" wrapText="1"/>
    </xf>
    <xf numFmtId="0" fontId="2" fillId="0" borderId="1" xfId="0" applyFont="1" applyBorder="1"/>
    <xf numFmtId="0" fontId="2" fillId="0" borderId="1" xfId="0" applyFont="1" applyBorder="1" applyAlignment="1">
      <alignment vertical="top" wrapText="1"/>
    </xf>
    <xf numFmtId="0" fontId="2" fillId="0" borderId="1" xfId="0" applyFont="1" applyBorder="1" applyAlignment="1">
      <alignment horizontal="center"/>
    </xf>
    <xf numFmtId="164" fontId="1" fillId="2" borderId="0" xfId="0" applyNumberFormat="1" applyFont="1" applyFill="1" applyAlignment="1">
      <alignment horizontal="center" vertical="center"/>
    </xf>
    <xf numFmtId="164" fontId="2" fillId="0" borderId="1" xfId="0" applyNumberFormat="1" applyFont="1" applyBorder="1" applyAlignment="1">
      <alignment horizontal="center" vertical="center"/>
    </xf>
    <xf numFmtId="164" fontId="2" fillId="0" borderId="0" xfId="0" applyNumberFormat="1" applyFont="1" applyAlignment="1">
      <alignment horizontal="center" vertical="center"/>
    </xf>
    <xf numFmtId="164" fontId="2" fillId="0" borderId="1" xfId="0" applyNumberFormat="1" applyFont="1" applyBorder="1" applyAlignment="1">
      <alignment horizontal="center"/>
    </xf>
    <xf numFmtId="0" fontId="2" fillId="3" borderId="0" xfId="0" applyFont="1" applyFill="1"/>
    <xf numFmtId="0" fontId="2" fillId="0" borderId="0" xfId="0" applyFont="1" applyAlignment="1">
      <alignment horizontal="center"/>
    </xf>
    <xf numFmtId="0" fontId="6" fillId="4" borderId="0" xfId="0" applyFont="1" applyFill="1" applyAlignment="1">
      <alignment horizontal="center" vertical="center" wrapText="1"/>
    </xf>
    <xf numFmtId="0" fontId="2" fillId="4" borderId="1" xfId="0" applyFont="1" applyFill="1" applyBorder="1" applyAlignment="1">
      <alignment vertical="center"/>
    </xf>
    <xf numFmtId="164" fontId="2" fillId="4" borderId="1" xfId="0" applyNumberFormat="1" applyFont="1" applyFill="1" applyBorder="1" applyAlignment="1">
      <alignment horizontal="center" vertical="center"/>
    </xf>
    <xf numFmtId="164" fontId="2" fillId="4" borderId="1"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608"/>
  <sheetViews>
    <sheetView tabSelected="1" showRuler="0" zoomScaleNormal="100" zoomScaleSheetLayoutView="100" workbookViewId="0">
      <selection activeCell="A2" sqref="A2"/>
    </sheetView>
  </sheetViews>
  <sheetFormatPr baseColWidth="10" defaultColWidth="11.5" defaultRowHeight="15" x14ac:dyDescent="0.2"/>
  <cols>
    <col min="1" max="1" width="21.33203125" style="3" customWidth="1"/>
    <col min="2" max="2" width="22.1640625" style="4" customWidth="1"/>
    <col min="3" max="3" width="26.6640625" style="4" customWidth="1"/>
    <col min="4" max="4" width="12.1640625" style="3" bestFit="1" customWidth="1"/>
    <col min="5" max="5" width="25.1640625" style="3" customWidth="1"/>
    <col min="6" max="6" width="21.33203125" style="3" customWidth="1"/>
    <col min="7" max="7" width="23.5" style="3" customWidth="1"/>
    <col min="8" max="8" width="114.1640625" style="3" customWidth="1"/>
    <col min="9" max="9" width="26.5" style="3" customWidth="1"/>
    <col min="10" max="10" width="8.83203125" style="14" customWidth="1"/>
    <col min="11" max="11" width="11.5" style="2"/>
    <col min="13" max="16384" width="11.5" style="2"/>
  </cols>
  <sheetData>
    <row r="1" spans="1:10" ht="28.5" customHeight="1" x14ac:dyDescent="0.2">
      <c r="A1" s="1" t="s">
        <v>3444</v>
      </c>
      <c r="B1" s="5" t="s">
        <v>3443</v>
      </c>
      <c r="C1" s="18" t="s">
        <v>2</v>
      </c>
      <c r="D1" s="1" t="s">
        <v>0</v>
      </c>
      <c r="E1" s="1" t="s">
        <v>1</v>
      </c>
      <c r="F1" s="1" t="s">
        <v>4</v>
      </c>
      <c r="G1" s="1" t="s">
        <v>5</v>
      </c>
      <c r="H1" s="1" t="s">
        <v>6</v>
      </c>
      <c r="I1" s="1" t="s">
        <v>7</v>
      </c>
      <c r="J1" s="12" t="s">
        <v>8</v>
      </c>
    </row>
    <row r="2" spans="1:10" ht="65" x14ac:dyDescent="0.2">
      <c r="A2" s="8" t="s">
        <v>647</v>
      </c>
      <c r="B2" s="8" t="s">
        <v>647</v>
      </c>
      <c r="C2" s="8" t="s">
        <v>2810</v>
      </c>
      <c r="D2" s="6" t="s">
        <v>2808</v>
      </c>
      <c r="E2" s="7" t="s">
        <v>2809</v>
      </c>
      <c r="F2" s="7" t="s">
        <v>650</v>
      </c>
      <c r="G2" s="8" t="s">
        <v>2811</v>
      </c>
      <c r="H2" s="8" t="s">
        <v>2812</v>
      </c>
      <c r="I2" s="7" t="s">
        <v>17</v>
      </c>
      <c r="J2" s="15">
        <v>40</v>
      </c>
    </row>
    <row r="3" spans="1:10" ht="52" x14ac:dyDescent="0.2">
      <c r="A3" s="8" t="s">
        <v>647</v>
      </c>
      <c r="B3" s="8" t="s">
        <v>647</v>
      </c>
      <c r="C3" s="8" t="s">
        <v>2810</v>
      </c>
      <c r="D3" s="6" t="s">
        <v>2808</v>
      </c>
      <c r="E3" s="7" t="s">
        <v>2809</v>
      </c>
      <c r="F3" s="7" t="s">
        <v>650</v>
      </c>
      <c r="G3" s="8" t="s">
        <v>2813</v>
      </c>
      <c r="H3" s="8" t="s">
        <v>2814</v>
      </c>
      <c r="I3" s="7" t="s">
        <v>25</v>
      </c>
      <c r="J3" s="15">
        <v>30</v>
      </c>
    </row>
    <row r="4" spans="1:10" ht="91" x14ac:dyDescent="0.2">
      <c r="A4" s="8" t="s">
        <v>647</v>
      </c>
      <c r="B4" s="8" t="s">
        <v>647</v>
      </c>
      <c r="C4" s="8" t="s">
        <v>2810</v>
      </c>
      <c r="D4" s="6" t="s">
        <v>2808</v>
      </c>
      <c r="E4" s="7" t="s">
        <v>2809</v>
      </c>
      <c r="F4" s="7" t="s">
        <v>650</v>
      </c>
      <c r="G4" s="8" t="s">
        <v>1218</v>
      </c>
      <c r="H4" s="8" t="s">
        <v>2815</v>
      </c>
      <c r="I4" s="7" t="s">
        <v>25</v>
      </c>
      <c r="J4" s="15">
        <v>30</v>
      </c>
    </row>
    <row r="5" spans="1:10" ht="52" x14ac:dyDescent="0.2">
      <c r="A5" s="8" t="s">
        <v>647</v>
      </c>
      <c r="B5" s="8" t="s">
        <v>647</v>
      </c>
      <c r="C5" s="8" t="s">
        <v>648</v>
      </c>
      <c r="D5" s="6" t="s">
        <v>645</v>
      </c>
      <c r="E5" s="7" t="s">
        <v>646</v>
      </c>
      <c r="F5" s="7" t="s">
        <v>650</v>
      </c>
      <c r="G5" s="8" t="s">
        <v>651</v>
      </c>
      <c r="H5" s="8" t="s">
        <v>652</v>
      </c>
      <c r="I5" s="7" t="s">
        <v>25</v>
      </c>
      <c r="J5" s="15">
        <v>30</v>
      </c>
    </row>
    <row r="6" spans="1:10" ht="91" x14ac:dyDescent="0.2">
      <c r="A6" s="8" t="s">
        <v>647</v>
      </c>
      <c r="B6" s="8" t="s">
        <v>647</v>
      </c>
      <c r="C6" s="8" t="s">
        <v>648</v>
      </c>
      <c r="D6" s="6" t="s">
        <v>645</v>
      </c>
      <c r="E6" s="7" t="s">
        <v>646</v>
      </c>
      <c r="F6" s="7" t="s">
        <v>650</v>
      </c>
      <c r="G6" s="8" t="s">
        <v>653</v>
      </c>
      <c r="H6" s="8" t="s">
        <v>654</v>
      </c>
      <c r="I6" s="7" t="s">
        <v>25</v>
      </c>
      <c r="J6" s="15">
        <v>30</v>
      </c>
    </row>
    <row r="7" spans="1:10" ht="55.75" customHeight="1" x14ac:dyDescent="0.2">
      <c r="A7" s="8" t="s">
        <v>647</v>
      </c>
      <c r="B7" s="8" t="s">
        <v>647</v>
      </c>
      <c r="C7" s="8" t="s">
        <v>648</v>
      </c>
      <c r="D7" s="6" t="s">
        <v>645</v>
      </c>
      <c r="E7" s="7" t="s">
        <v>646</v>
      </c>
      <c r="F7" s="7" t="s">
        <v>650</v>
      </c>
      <c r="G7" s="8" t="s">
        <v>655</v>
      </c>
      <c r="H7" s="8" t="s">
        <v>656</v>
      </c>
      <c r="I7" s="7" t="s">
        <v>17</v>
      </c>
      <c r="J7" s="15">
        <v>40</v>
      </c>
    </row>
    <row r="8" spans="1:10" ht="63" customHeight="1" x14ac:dyDescent="0.2">
      <c r="A8" s="8" t="s">
        <v>647</v>
      </c>
      <c r="B8" s="8" t="s">
        <v>647</v>
      </c>
      <c r="C8" s="8" t="s">
        <v>648</v>
      </c>
      <c r="D8" s="6" t="s">
        <v>1214</v>
      </c>
      <c r="E8" s="7" t="s">
        <v>1215</v>
      </c>
      <c r="F8" s="7" t="s">
        <v>650</v>
      </c>
      <c r="G8" s="8" t="s">
        <v>1216</v>
      </c>
      <c r="H8" s="8" t="s">
        <v>1217</v>
      </c>
      <c r="I8" s="7" t="s">
        <v>17</v>
      </c>
      <c r="J8" s="15">
        <v>40</v>
      </c>
    </row>
    <row r="9" spans="1:10" ht="67.25" customHeight="1" x14ac:dyDescent="0.2">
      <c r="A9" s="8" t="s">
        <v>647</v>
      </c>
      <c r="B9" s="8" t="s">
        <v>647</v>
      </c>
      <c r="C9" s="8" t="s">
        <v>648</v>
      </c>
      <c r="D9" s="6" t="s">
        <v>1214</v>
      </c>
      <c r="E9" s="7" t="s">
        <v>1215</v>
      </c>
      <c r="F9" s="7" t="s">
        <v>650</v>
      </c>
      <c r="G9" s="8" t="s">
        <v>1218</v>
      </c>
      <c r="H9" s="8" t="s">
        <v>1219</v>
      </c>
      <c r="I9" s="7" t="s">
        <v>25</v>
      </c>
      <c r="J9" s="15">
        <v>30</v>
      </c>
    </row>
    <row r="10" spans="1:10" ht="52" x14ac:dyDescent="0.2">
      <c r="A10" s="8" t="s">
        <v>647</v>
      </c>
      <c r="B10" s="8" t="s">
        <v>647</v>
      </c>
      <c r="C10" s="8" t="s">
        <v>648</v>
      </c>
      <c r="D10" s="6" t="s">
        <v>1214</v>
      </c>
      <c r="E10" s="7" t="s">
        <v>1215</v>
      </c>
      <c r="F10" s="7" t="s">
        <v>650</v>
      </c>
      <c r="G10" s="8" t="s">
        <v>651</v>
      </c>
      <c r="H10" s="8" t="s">
        <v>1220</v>
      </c>
      <c r="I10" s="7" t="s">
        <v>25</v>
      </c>
      <c r="J10" s="15">
        <v>30</v>
      </c>
    </row>
    <row r="11" spans="1:10" ht="52" x14ac:dyDescent="0.2">
      <c r="A11" s="8" t="s">
        <v>647</v>
      </c>
      <c r="B11" s="8" t="s">
        <v>647</v>
      </c>
      <c r="C11" s="8" t="s">
        <v>2190</v>
      </c>
      <c r="D11" s="6" t="s">
        <v>649</v>
      </c>
      <c r="E11" s="7" t="s">
        <v>650</v>
      </c>
      <c r="F11" s="7" t="s">
        <v>2192</v>
      </c>
      <c r="G11" s="8" t="s">
        <v>2193</v>
      </c>
      <c r="H11" s="8" t="s">
        <v>2194</v>
      </c>
      <c r="I11" s="7" t="s">
        <v>25</v>
      </c>
      <c r="J11" s="15">
        <v>30</v>
      </c>
    </row>
    <row r="12" spans="1:10" ht="52" x14ac:dyDescent="0.2">
      <c r="A12" s="8" t="s">
        <v>647</v>
      </c>
      <c r="B12" s="8" t="s">
        <v>647</v>
      </c>
      <c r="C12" s="8" t="s">
        <v>2190</v>
      </c>
      <c r="D12" s="6" t="s">
        <v>649</v>
      </c>
      <c r="E12" s="7" t="s">
        <v>650</v>
      </c>
      <c r="F12" s="7" t="s">
        <v>2192</v>
      </c>
      <c r="G12" s="8" t="s">
        <v>2195</v>
      </c>
      <c r="H12" s="8" t="s">
        <v>2196</v>
      </c>
      <c r="I12" s="7" t="s">
        <v>17</v>
      </c>
      <c r="J12" s="15">
        <v>40</v>
      </c>
    </row>
    <row r="13" spans="1:10" ht="91" x14ac:dyDescent="0.2">
      <c r="A13" s="8" t="s">
        <v>647</v>
      </c>
      <c r="B13" s="8" t="s">
        <v>647</v>
      </c>
      <c r="C13" s="8" t="s">
        <v>2190</v>
      </c>
      <c r="D13" s="6" t="s">
        <v>649</v>
      </c>
      <c r="E13" s="7" t="s">
        <v>650</v>
      </c>
      <c r="F13" s="7" t="s">
        <v>2192</v>
      </c>
      <c r="G13" s="8" t="s">
        <v>2197</v>
      </c>
      <c r="H13" s="8" t="s">
        <v>2198</v>
      </c>
      <c r="I13" s="7" t="s">
        <v>25</v>
      </c>
      <c r="J13" s="15">
        <v>30</v>
      </c>
    </row>
    <row r="14" spans="1:10" ht="52" x14ac:dyDescent="0.2">
      <c r="A14" s="7" t="s">
        <v>610</v>
      </c>
      <c r="B14" s="8" t="s">
        <v>610</v>
      </c>
      <c r="C14" s="8" t="s">
        <v>611</v>
      </c>
      <c r="D14" s="6" t="s">
        <v>608</v>
      </c>
      <c r="E14" s="7" t="s">
        <v>609</v>
      </c>
      <c r="F14" s="7" t="s">
        <v>551</v>
      </c>
      <c r="G14" s="8" t="s">
        <v>612</v>
      </c>
      <c r="H14" s="10" t="s">
        <v>2930</v>
      </c>
      <c r="I14" s="7" t="s">
        <v>25</v>
      </c>
      <c r="J14" s="13">
        <v>10</v>
      </c>
    </row>
    <row r="15" spans="1:10" ht="117" x14ac:dyDescent="0.2">
      <c r="A15" s="7" t="s">
        <v>610</v>
      </c>
      <c r="B15" s="8" t="s">
        <v>610</v>
      </c>
      <c r="C15" s="8" t="s">
        <v>611</v>
      </c>
      <c r="D15" s="6" t="s">
        <v>608</v>
      </c>
      <c r="E15" s="7" t="s">
        <v>609</v>
      </c>
      <c r="F15" s="7" t="s">
        <v>551</v>
      </c>
      <c r="G15" s="8" t="s">
        <v>613</v>
      </c>
      <c r="H15" s="10" t="s">
        <v>2959</v>
      </c>
      <c r="I15" s="7" t="s">
        <v>17</v>
      </c>
      <c r="J15" s="13">
        <v>30</v>
      </c>
    </row>
    <row r="16" spans="1:10" ht="65" x14ac:dyDescent="0.2">
      <c r="A16" s="7" t="s">
        <v>610</v>
      </c>
      <c r="B16" s="8" t="s">
        <v>610</v>
      </c>
      <c r="C16" s="8" t="s">
        <v>611</v>
      </c>
      <c r="D16" s="6" t="s">
        <v>608</v>
      </c>
      <c r="E16" s="7" t="s">
        <v>609</v>
      </c>
      <c r="F16" s="7" t="s">
        <v>551</v>
      </c>
      <c r="G16" s="8" t="s">
        <v>614</v>
      </c>
      <c r="H16" s="10" t="s">
        <v>2931</v>
      </c>
      <c r="I16" s="7" t="s">
        <v>17</v>
      </c>
      <c r="J16" s="13">
        <v>10</v>
      </c>
    </row>
    <row r="17" spans="1:10" ht="65" x14ac:dyDescent="0.2">
      <c r="A17" s="7" t="s">
        <v>610</v>
      </c>
      <c r="B17" s="8" t="s">
        <v>610</v>
      </c>
      <c r="C17" s="8" t="s">
        <v>611</v>
      </c>
      <c r="D17" s="6" t="s">
        <v>608</v>
      </c>
      <c r="E17" s="7" t="s">
        <v>609</v>
      </c>
      <c r="F17" s="7" t="s">
        <v>551</v>
      </c>
      <c r="G17" s="8" t="s">
        <v>615</v>
      </c>
      <c r="H17" s="10" t="s">
        <v>2932</v>
      </c>
      <c r="I17" s="7" t="s">
        <v>25</v>
      </c>
      <c r="J17" s="13">
        <v>40</v>
      </c>
    </row>
    <row r="18" spans="1:10" ht="65" x14ac:dyDescent="0.2">
      <c r="A18" s="7" t="s">
        <v>610</v>
      </c>
      <c r="B18" s="8" t="s">
        <v>610</v>
      </c>
      <c r="C18" s="8" t="s">
        <v>611</v>
      </c>
      <c r="D18" s="6" t="s">
        <v>608</v>
      </c>
      <c r="E18" s="7" t="s">
        <v>609</v>
      </c>
      <c r="F18" s="7" t="s">
        <v>551</v>
      </c>
      <c r="G18" s="8" t="s">
        <v>105</v>
      </c>
      <c r="H18" s="10" t="s">
        <v>2933</v>
      </c>
      <c r="I18" s="7" t="s">
        <v>17</v>
      </c>
      <c r="J18" s="13">
        <v>10</v>
      </c>
    </row>
    <row r="19" spans="1:10" ht="39" x14ac:dyDescent="0.2">
      <c r="A19" s="7" t="s">
        <v>610</v>
      </c>
      <c r="B19" s="8" t="s">
        <v>610</v>
      </c>
      <c r="C19" s="8" t="s">
        <v>1541</v>
      </c>
      <c r="D19" s="6" t="s">
        <v>1539</v>
      </c>
      <c r="E19" s="7" t="s">
        <v>1540</v>
      </c>
      <c r="F19" s="7" t="s">
        <v>551</v>
      </c>
      <c r="G19" s="8" t="s">
        <v>1542</v>
      </c>
      <c r="H19" s="10" t="s">
        <v>2934</v>
      </c>
      <c r="I19" s="7" t="s">
        <v>25</v>
      </c>
      <c r="J19" s="13">
        <v>50</v>
      </c>
    </row>
    <row r="20" spans="1:10" ht="78" x14ac:dyDescent="0.2">
      <c r="A20" s="7" t="s">
        <v>610</v>
      </c>
      <c r="B20" s="8" t="s">
        <v>610</v>
      </c>
      <c r="C20" s="8" t="s">
        <v>1541</v>
      </c>
      <c r="D20" s="6" t="s">
        <v>1539</v>
      </c>
      <c r="E20" s="7" t="s">
        <v>1540</v>
      </c>
      <c r="F20" s="7" t="s">
        <v>551</v>
      </c>
      <c r="G20" s="8" t="s">
        <v>1543</v>
      </c>
      <c r="H20" s="10" t="s">
        <v>2935</v>
      </c>
      <c r="I20" s="7" t="s">
        <v>17</v>
      </c>
      <c r="J20" s="13">
        <v>20</v>
      </c>
    </row>
    <row r="21" spans="1:10" ht="78" x14ac:dyDescent="0.2">
      <c r="A21" s="7" t="s">
        <v>610</v>
      </c>
      <c r="B21" s="8" t="s">
        <v>610</v>
      </c>
      <c r="C21" s="8" t="s">
        <v>1541</v>
      </c>
      <c r="D21" s="6" t="s">
        <v>1539</v>
      </c>
      <c r="E21" s="7" t="s">
        <v>1540</v>
      </c>
      <c r="F21" s="7" t="s">
        <v>551</v>
      </c>
      <c r="G21" s="8" t="s">
        <v>1544</v>
      </c>
      <c r="H21" s="10" t="s">
        <v>2936</v>
      </c>
      <c r="I21" s="7" t="s">
        <v>25</v>
      </c>
      <c r="J21" s="13">
        <v>15</v>
      </c>
    </row>
    <row r="22" spans="1:10" ht="65" x14ac:dyDescent="0.2">
      <c r="A22" s="7" t="s">
        <v>610</v>
      </c>
      <c r="B22" s="8" t="s">
        <v>610</v>
      </c>
      <c r="C22" s="8" t="s">
        <v>1541</v>
      </c>
      <c r="D22" s="6" t="s">
        <v>1539</v>
      </c>
      <c r="E22" s="7" t="s">
        <v>1540</v>
      </c>
      <c r="F22" s="7" t="s">
        <v>551</v>
      </c>
      <c r="G22" s="8" t="s">
        <v>1545</v>
      </c>
      <c r="H22" s="10" t="s">
        <v>2937</v>
      </c>
      <c r="I22" s="7" t="s">
        <v>17</v>
      </c>
      <c r="J22" s="13">
        <v>15</v>
      </c>
    </row>
    <row r="23" spans="1:10" ht="52" x14ac:dyDescent="0.2">
      <c r="A23" s="7" t="s">
        <v>610</v>
      </c>
      <c r="B23" s="8" t="s">
        <v>2114</v>
      </c>
      <c r="C23" s="8" t="s">
        <v>2115</v>
      </c>
      <c r="D23" s="6" t="s">
        <v>264</v>
      </c>
      <c r="E23" s="7" t="s">
        <v>265</v>
      </c>
      <c r="F23" s="7" t="s">
        <v>551</v>
      </c>
      <c r="G23" s="8" t="s">
        <v>267</v>
      </c>
      <c r="H23" s="10" t="s">
        <v>2116</v>
      </c>
      <c r="I23" s="7" t="s">
        <v>25</v>
      </c>
      <c r="J23" s="13">
        <v>20</v>
      </c>
    </row>
    <row r="24" spans="1:10" ht="117" x14ac:dyDescent="0.2">
      <c r="A24" s="7" t="s">
        <v>610</v>
      </c>
      <c r="B24" s="8" t="s">
        <v>2114</v>
      </c>
      <c r="C24" s="8" t="s">
        <v>2115</v>
      </c>
      <c r="D24" s="6" t="s">
        <v>264</v>
      </c>
      <c r="E24" s="7" t="s">
        <v>265</v>
      </c>
      <c r="F24" s="7" t="s">
        <v>551</v>
      </c>
      <c r="G24" s="8" t="s">
        <v>605</v>
      </c>
      <c r="H24" s="10" t="s">
        <v>2938</v>
      </c>
      <c r="I24" s="7" t="s">
        <v>25</v>
      </c>
      <c r="J24" s="13">
        <v>20</v>
      </c>
    </row>
    <row r="25" spans="1:10" ht="117" x14ac:dyDescent="0.2">
      <c r="A25" s="7" t="s">
        <v>610</v>
      </c>
      <c r="B25" s="8" t="s">
        <v>2114</v>
      </c>
      <c r="C25" s="8" t="s">
        <v>2115</v>
      </c>
      <c r="D25" s="6" t="s">
        <v>264</v>
      </c>
      <c r="E25" s="7" t="s">
        <v>265</v>
      </c>
      <c r="F25" s="7" t="s">
        <v>551</v>
      </c>
      <c r="G25" s="8" t="s">
        <v>1504</v>
      </c>
      <c r="H25" s="10" t="s">
        <v>2939</v>
      </c>
      <c r="I25" s="7" t="s">
        <v>25</v>
      </c>
      <c r="J25" s="13">
        <v>20</v>
      </c>
    </row>
    <row r="26" spans="1:10" ht="156" x14ac:dyDescent="0.2">
      <c r="A26" s="7" t="s">
        <v>610</v>
      </c>
      <c r="B26" s="8" t="s">
        <v>2114</v>
      </c>
      <c r="C26" s="8" t="s">
        <v>2115</v>
      </c>
      <c r="D26" s="6" t="s">
        <v>264</v>
      </c>
      <c r="E26" s="7" t="s">
        <v>265</v>
      </c>
      <c r="F26" s="7" t="s">
        <v>551</v>
      </c>
      <c r="G26" s="8" t="s">
        <v>1708</v>
      </c>
      <c r="H26" s="10" t="s">
        <v>2940</v>
      </c>
      <c r="I26" s="7" t="s">
        <v>25</v>
      </c>
      <c r="J26" s="13">
        <v>20</v>
      </c>
    </row>
    <row r="27" spans="1:10" ht="143" x14ac:dyDescent="0.2">
      <c r="A27" s="7" t="s">
        <v>610</v>
      </c>
      <c r="B27" s="8" t="s">
        <v>2114</v>
      </c>
      <c r="C27" s="8" t="s">
        <v>2115</v>
      </c>
      <c r="D27" s="6" t="s">
        <v>264</v>
      </c>
      <c r="E27" s="7" t="s">
        <v>265</v>
      </c>
      <c r="F27" s="7" t="s">
        <v>551</v>
      </c>
      <c r="G27" s="8" t="s">
        <v>1746</v>
      </c>
      <c r="H27" s="10" t="s">
        <v>2941</v>
      </c>
      <c r="I27" s="7" t="s">
        <v>25</v>
      </c>
      <c r="J27" s="13">
        <v>20</v>
      </c>
    </row>
    <row r="28" spans="1:10" ht="104" x14ac:dyDescent="0.2">
      <c r="A28" s="7" t="s">
        <v>610</v>
      </c>
      <c r="B28" s="8" t="s">
        <v>1290</v>
      </c>
      <c r="C28" s="8" t="s">
        <v>1291</v>
      </c>
      <c r="D28" s="6" t="s">
        <v>1288</v>
      </c>
      <c r="E28" s="7" t="s">
        <v>1289</v>
      </c>
      <c r="F28" s="7" t="s">
        <v>551</v>
      </c>
      <c r="G28" s="8" t="s">
        <v>1292</v>
      </c>
      <c r="H28" s="10" t="s">
        <v>2942</v>
      </c>
      <c r="I28" s="7" t="s">
        <v>25</v>
      </c>
      <c r="J28" s="13">
        <v>15</v>
      </c>
    </row>
    <row r="29" spans="1:10" ht="65" x14ac:dyDescent="0.2">
      <c r="A29" s="7" t="s">
        <v>610</v>
      </c>
      <c r="B29" s="8" t="s">
        <v>1290</v>
      </c>
      <c r="C29" s="8" t="s">
        <v>1291</v>
      </c>
      <c r="D29" s="6" t="s">
        <v>1288</v>
      </c>
      <c r="E29" s="7" t="s">
        <v>1289</v>
      </c>
      <c r="F29" s="7" t="s">
        <v>551</v>
      </c>
      <c r="G29" s="8" t="s">
        <v>1293</v>
      </c>
      <c r="H29" s="10" t="s">
        <v>2943</v>
      </c>
      <c r="I29" s="7" t="s">
        <v>25</v>
      </c>
      <c r="J29" s="13">
        <v>10</v>
      </c>
    </row>
    <row r="30" spans="1:10" ht="78" x14ac:dyDescent="0.2">
      <c r="A30" s="7" t="s">
        <v>610</v>
      </c>
      <c r="B30" s="8" t="s">
        <v>1290</v>
      </c>
      <c r="C30" s="8" t="s">
        <v>1291</v>
      </c>
      <c r="D30" s="6" t="s">
        <v>1288</v>
      </c>
      <c r="E30" s="7" t="s">
        <v>1289</v>
      </c>
      <c r="F30" s="7" t="s">
        <v>551</v>
      </c>
      <c r="G30" s="8" t="s">
        <v>1294</v>
      </c>
      <c r="H30" s="10" t="s">
        <v>2944</v>
      </c>
      <c r="I30" s="7" t="s">
        <v>25</v>
      </c>
      <c r="J30" s="13">
        <v>10</v>
      </c>
    </row>
    <row r="31" spans="1:10" ht="65" x14ac:dyDescent="0.2">
      <c r="A31" s="7" t="s">
        <v>610</v>
      </c>
      <c r="B31" s="8" t="s">
        <v>1290</v>
      </c>
      <c r="C31" s="8" t="s">
        <v>1291</v>
      </c>
      <c r="D31" s="6" t="s">
        <v>1288</v>
      </c>
      <c r="E31" s="7" t="s">
        <v>1289</v>
      </c>
      <c r="F31" s="7" t="s">
        <v>551</v>
      </c>
      <c r="G31" s="8" t="s">
        <v>1295</v>
      </c>
      <c r="H31" s="10" t="s">
        <v>2945</v>
      </c>
      <c r="I31" s="7" t="s">
        <v>25</v>
      </c>
      <c r="J31" s="13">
        <v>10</v>
      </c>
    </row>
    <row r="32" spans="1:10" ht="78" x14ac:dyDescent="0.2">
      <c r="A32" s="7" t="s">
        <v>610</v>
      </c>
      <c r="B32" s="8" t="s">
        <v>1290</v>
      </c>
      <c r="C32" s="8" t="s">
        <v>1291</v>
      </c>
      <c r="D32" s="6" t="s">
        <v>1288</v>
      </c>
      <c r="E32" s="7" t="s">
        <v>1289</v>
      </c>
      <c r="F32" s="7" t="s">
        <v>551</v>
      </c>
      <c r="G32" s="8" t="s">
        <v>1212</v>
      </c>
      <c r="H32" s="10" t="s">
        <v>2958</v>
      </c>
      <c r="I32" s="7" t="s">
        <v>25</v>
      </c>
      <c r="J32" s="13">
        <v>15</v>
      </c>
    </row>
    <row r="33" spans="1:10" ht="221" x14ac:dyDescent="0.2">
      <c r="A33" s="7" t="s">
        <v>610</v>
      </c>
      <c r="B33" s="8" t="s">
        <v>1290</v>
      </c>
      <c r="C33" s="8" t="s">
        <v>1291</v>
      </c>
      <c r="D33" s="6" t="s">
        <v>1288</v>
      </c>
      <c r="E33" s="7" t="s">
        <v>1289</v>
      </c>
      <c r="F33" s="7" t="s">
        <v>551</v>
      </c>
      <c r="G33" s="8" t="s">
        <v>1296</v>
      </c>
      <c r="H33" s="10" t="s">
        <v>2946</v>
      </c>
      <c r="I33" s="7" t="s">
        <v>25</v>
      </c>
      <c r="J33" s="13">
        <v>40</v>
      </c>
    </row>
    <row r="34" spans="1:10" ht="234" x14ac:dyDescent="0.2">
      <c r="A34" s="7" t="s">
        <v>610</v>
      </c>
      <c r="B34" s="8" t="s">
        <v>548</v>
      </c>
      <c r="C34" s="8" t="s">
        <v>549</v>
      </c>
      <c r="D34" s="6" t="s">
        <v>129</v>
      </c>
      <c r="E34" s="7" t="s">
        <v>130</v>
      </c>
      <c r="F34" s="7" t="s">
        <v>551</v>
      </c>
      <c r="G34" s="8" t="s">
        <v>132</v>
      </c>
      <c r="H34" s="10" t="s">
        <v>2947</v>
      </c>
      <c r="I34" s="7" t="s">
        <v>25</v>
      </c>
      <c r="J34" s="13">
        <v>25</v>
      </c>
    </row>
    <row r="35" spans="1:10" ht="143" x14ac:dyDescent="0.2">
      <c r="A35" s="7" t="s">
        <v>610</v>
      </c>
      <c r="B35" s="8" t="s">
        <v>548</v>
      </c>
      <c r="C35" s="8" t="s">
        <v>549</v>
      </c>
      <c r="D35" s="6" t="s">
        <v>129</v>
      </c>
      <c r="E35" s="7" t="s">
        <v>130</v>
      </c>
      <c r="F35" s="7" t="s">
        <v>551</v>
      </c>
      <c r="G35" s="8" t="s">
        <v>552</v>
      </c>
      <c r="H35" s="10" t="s">
        <v>2948</v>
      </c>
      <c r="I35" s="7" t="s">
        <v>25</v>
      </c>
      <c r="J35" s="13">
        <v>25</v>
      </c>
    </row>
    <row r="36" spans="1:10" ht="117" x14ac:dyDescent="0.2">
      <c r="A36" s="7" t="s">
        <v>610</v>
      </c>
      <c r="B36" s="8" t="s">
        <v>548</v>
      </c>
      <c r="C36" s="8" t="s">
        <v>549</v>
      </c>
      <c r="D36" s="6" t="s">
        <v>129</v>
      </c>
      <c r="E36" s="7" t="s">
        <v>130</v>
      </c>
      <c r="F36" s="7" t="s">
        <v>551</v>
      </c>
      <c r="G36" s="8" t="s">
        <v>553</v>
      </c>
      <c r="H36" s="10" t="s">
        <v>2949</v>
      </c>
      <c r="I36" s="7" t="s">
        <v>25</v>
      </c>
      <c r="J36" s="13">
        <v>15</v>
      </c>
    </row>
    <row r="37" spans="1:10" ht="104" x14ac:dyDescent="0.2">
      <c r="A37" s="7" t="s">
        <v>610</v>
      </c>
      <c r="B37" s="8" t="s">
        <v>548</v>
      </c>
      <c r="C37" s="8" t="s">
        <v>549</v>
      </c>
      <c r="D37" s="6" t="s">
        <v>129</v>
      </c>
      <c r="E37" s="7" t="s">
        <v>130</v>
      </c>
      <c r="F37" s="7" t="s">
        <v>551</v>
      </c>
      <c r="G37" s="8" t="s">
        <v>554</v>
      </c>
      <c r="H37" s="10" t="s">
        <v>2950</v>
      </c>
      <c r="I37" s="7" t="s">
        <v>25</v>
      </c>
      <c r="J37" s="13">
        <v>10</v>
      </c>
    </row>
    <row r="38" spans="1:10" ht="117" x14ac:dyDescent="0.2">
      <c r="A38" s="7" t="s">
        <v>610</v>
      </c>
      <c r="B38" s="8" t="s">
        <v>548</v>
      </c>
      <c r="C38" s="8" t="s">
        <v>549</v>
      </c>
      <c r="D38" s="6" t="s">
        <v>129</v>
      </c>
      <c r="E38" s="7" t="s">
        <v>130</v>
      </c>
      <c r="F38" s="7" t="s">
        <v>551</v>
      </c>
      <c r="G38" s="8" t="s">
        <v>555</v>
      </c>
      <c r="H38" s="10" t="s">
        <v>2951</v>
      </c>
      <c r="I38" s="7" t="s">
        <v>25</v>
      </c>
      <c r="J38" s="13">
        <v>25</v>
      </c>
    </row>
    <row r="39" spans="1:10" ht="91" x14ac:dyDescent="0.2">
      <c r="A39" s="7" t="s">
        <v>610</v>
      </c>
      <c r="B39" s="8" t="s">
        <v>1260</v>
      </c>
      <c r="C39" s="8" t="s">
        <v>1764</v>
      </c>
      <c r="D39" s="6" t="s">
        <v>732</v>
      </c>
      <c r="E39" s="7" t="s">
        <v>733</v>
      </c>
      <c r="F39" s="7" t="s">
        <v>551</v>
      </c>
      <c r="G39" s="8" t="s">
        <v>619</v>
      </c>
      <c r="H39" s="8" t="s">
        <v>2952</v>
      </c>
      <c r="I39" s="7" t="s">
        <v>25</v>
      </c>
      <c r="J39" s="13">
        <v>20</v>
      </c>
    </row>
    <row r="40" spans="1:10" ht="234" x14ac:dyDescent="0.2">
      <c r="A40" s="7" t="s">
        <v>610</v>
      </c>
      <c r="B40" s="8" t="s">
        <v>1260</v>
      </c>
      <c r="C40" s="8" t="s">
        <v>1764</v>
      </c>
      <c r="D40" s="6" t="s">
        <v>732</v>
      </c>
      <c r="E40" s="7" t="s">
        <v>733</v>
      </c>
      <c r="F40" s="7" t="s">
        <v>551</v>
      </c>
      <c r="G40" s="8" t="s">
        <v>143</v>
      </c>
      <c r="H40" s="10" t="s">
        <v>2953</v>
      </c>
      <c r="I40" s="7" t="s">
        <v>25</v>
      </c>
      <c r="J40" s="13">
        <v>15</v>
      </c>
    </row>
    <row r="41" spans="1:10" ht="65" x14ac:dyDescent="0.2">
      <c r="A41" s="7" t="s">
        <v>610</v>
      </c>
      <c r="B41" s="8" t="s">
        <v>1260</v>
      </c>
      <c r="C41" s="8" t="s">
        <v>1764</v>
      </c>
      <c r="D41" s="6" t="s">
        <v>732</v>
      </c>
      <c r="E41" s="7" t="s">
        <v>733</v>
      </c>
      <c r="F41" s="7" t="s">
        <v>551</v>
      </c>
      <c r="G41" s="8" t="s">
        <v>1552</v>
      </c>
      <c r="H41" s="10" t="s">
        <v>2954</v>
      </c>
      <c r="I41" s="7" t="s">
        <v>25</v>
      </c>
      <c r="J41" s="13">
        <v>10</v>
      </c>
    </row>
    <row r="42" spans="1:10" ht="117" x14ac:dyDescent="0.2">
      <c r="A42" s="7" t="s">
        <v>610</v>
      </c>
      <c r="B42" s="8" t="s">
        <v>1260</v>
      </c>
      <c r="C42" s="8" t="s">
        <v>1764</v>
      </c>
      <c r="D42" s="6" t="s">
        <v>732</v>
      </c>
      <c r="E42" s="7" t="s">
        <v>733</v>
      </c>
      <c r="F42" s="7" t="s">
        <v>551</v>
      </c>
      <c r="G42" s="8" t="s">
        <v>145</v>
      </c>
      <c r="H42" s="10" t="s">
        <v>2955</v>
      </c>
      <c r="I42" s="7" t="s">
        <v>25</v>
      </c>
      <c r="J42" s="13">
        <v>25</v>
      </c>
    </row>
    <row r="43" spans="1:10" ht="169" x14ac:dyDescent="0.2">
      <c r="A43" s="7" t="s">
        <v>610</v>
      </c>
      <c r="B43" s="8" t="s">
        <v>1260</v>
      </c>
      <c r="C43" s="8" t="s">
        <v>1764</v>
      </c>
      <c r="D43" s="6" t="s">
        <v>732</v>
      </c>
      <c r="E43" s="7" t="s">
        <v>733</v>
      </c>
      <c r="F43" s="7" t="s">
        <v>551</v>
      </c>
      <c r="G43" s="8" t="s">
        <v>737</v>
      </c>
      <c r="H43" s="10" t="s">
        <v>2956</v>
      </c>
      <c r="I43" s="7" t="s">
        <v>25</v>
      </c>
      <c r="J43" s="13">
        <v>15</v>
      </c>
    </row>
    <row r="44" spans="1:10" ht="195" x14ac:dyDescent="0.2">
      <c r="A44" s="7" t="s">
        <v>610</v>
      </c>
      <c r="B44" s="8" t="s">
        <v>1260</v>
      </c>
      <c r="C44" s="8" t="s">
        <v>1764</v>
      </c>
      <c r="D44" s="6" t="s">
        <v>732</v>
      </c>
      <c r="E44" s="7" t="s">
        <v>733</v>
      </c>
      <c r="F44" s="7" t="s">
        <v>551</v>
      </c>
      <c r="G44" s="8" t="s">
        <v>253</v>
      </c>
      <c r="H44" s="10" t="s">
        <v>2957</v>
      </c>
      <c r="I44" s="7" t="s">
        <v>25</v>
      </c>
      <c r="J44" s="13">
        <v>15</v>
      </c>
    </row>
    <row r="45" spans="1:10" ht="130" x14ac:dyDescent="0.2">
      <c r="A45" s="7" t="s">
        <v>610</v>
      </c>
      <c r="B45" s="8" t="s">
        <v>95</v>
      </c>
      <c r="C45" s="8" t="s">
        <v>1198</v>
      </c>
      <c r="D45" s="6" t="s">
        <v>97</v>
      </c>
      <c r="E45" s="7" t="s">
        <v>98</v>
      </c>
      <c r="F45" s="7" t="s">
        <v>551</v>
      </c>
      <c r="G45" s="8" t="s">
        <v>1199</v>
      </c>
      <c r="H45" s="10" t="s">
        <v>2960</v>
      </c>
      <c r="I45" s="7" t="s">
        <v>25</v>
      </c>
      <c r="J45" s="13">
        <v>20</v>
      </c>
    </row>
    <row r="46" spans="1:10" ht="130" x14ac:dyDescent="0.2">
      <c r="A46" s="7" t="s">
        <v>610</v>
      </c>
      <c r="B46" s="8" t="s">
        <v>95</v>
      </c>
      <c r="C46" s="8" t="s">
        <v>1198</v>
      </c>
      <c r="D46" s="6" t="s">
        <v>97</v>
      </c>
      <c r="E46" s="7" t="s">
        <v>98</v>
      </c>
      <c r="F46" s="7" t="s">
        <v>551</v>
      </c>
      <c r="G46" s="8" t="s">
        <v>534</v>
      </c>
      <c r="H46" s="10" t="s">
        <v>2961</v>
      </c>
      <c r="I46" s="7" t="s">
        <v>25</v>
      </c>
      <c r="J46" s="13">
        <v>20</v>
      </c>
    </row>
    <row r="47" spans="1:10" ht="272" x14ac:dyDescent="0.2">
      <c r="A47" s="7" t="s">
        <v>610</v>
      </c>
      <c r="B47" s="8" t="s">
        <v>95</v>
      </c>
      <c r="C47" s="8" t="s">
        <v>1198</v>
      </c>
      <c r="D47" s="6" t="s">
        <v>97</v>
      </c>
      <c r="E47" s="7" t="s">
        <v>98</v>
      </c>
      <c r="F47" s="7" t="s">
        <v>551</v>
      </c>
      <c r="G47" s="8" t="s">
        <v>1200</v>
      </c>
      <c r="H47" s="10" t="s">
        <v>2963</v>
      </c>
      <c r="I47" s="7" t="s">
        <v>25</v>
      </c>
      <c r="J47" s="13">
        <v>20</v>
      </c>
    </row>
    <row r="48" spans="1:10" ht="78" x14ac:dyDescent="0.2">
      <c r="A48" s="7" t="s">
        <v>610</v>
      </c>
      <c r="B48" s="8" t="s">
        <v>95</v>
      </c>
      <c r="C48" s="8" t="s">
        <v>1198</v>
      </c>
      <c r="D48" s="6" t="s">
        <v>97</v>
      </c>
      <c r="E48" s="7" t="s">
        <v>98</v>
      </c>
      <c r="F48" s="7" t="s">
        <v>551</v>
      </c>
      <c r="G48" s="8" t="s">
        <v>194</v>
      </c>
      <c r="H48" s="10" t="s">
        <v>2964</v>
      </c>
      <c r="I48" s="7" t="s">
        <v>25</v>
      </c>
      <c r="J48" s="13">
        <v>20</v>
      </c>
    </row>
    <row r="49" spans="1:10" ht="208" x14ac:dyDescent="0.2">
      <c r="A49" s="7" t="s">
        <v>610</v>
      </c>
      <c r="B49" s="8" t="s">
        <v>95</v>
      </c>
      <c r="C49" s="8" t="s">
        <v>1198</v>
      </c>
      <c r="D49" s="6" t="s">
        <v>97</v>
      </c>
      <c r="E49" s="7" t="s">
        <v>98</v>
      </c>
      <c r="F49" s="7" t="s">
        <v>551</v>
      </c>
      <c r="G49" s="8" t="s">
        <v>1201</v>
      </c>
      <c r="H49" s="10" t="s">
        <v>2965</v>
      </c>
      <c r="I49" s="7" t="s">
        <v>25</v>
      </c>
      <c r="J49" s="13">
        <v>20</v>
      </c>
    </row>
    <row r="50" spans="1:10" ht="91" x14ac:dyDescent="0.2">
      <c r="A50" s="7" t="s">
        <v>610</v>
      </c>
      <c r="B50" s="8" t="s">
        <v>2031</v>
      </c>
      <c r="C50" s="8" t="s">
        <v>2032</v>
      </c>
      <c r="D50" s="6" t="s">
        <v>864</v>
      </c>
      <c r="E50" s="7" t="s">
        <v>865</v>
      </c>
      <c r="F50" s="7" t="s">
        <v>551</v>
      </c>
      <c r="G50" s="8" t="s">
        <v>1232</v>
      </c>
      <c r="H50" s="10" t="s">
        <v>2966</v>
      </c>
      <c r="I50" s="7" t="s">
        <v>25</v>
      </c>
      <c r="J50" s="13">
        <v>15</v>
      </c>
    </row>
    <row r="51" spans="1:10" ht="78" x14ac:dyDescent="0.2">
      <c r="A51" s="7" t="s">
        <v>610</v>
      </c>
      <c r="B51" s="8" t="s">
        <v>2031</v>
      </c>
      <c r="C51" s="8" t="s">
        <v>2032</v>
      </c>
      <c r="D51" s="6" t="s">
        <v>864</v>
      </c>
      <c r="E51" s="7" t="s">
        <v>865</v>
      </c>
      <c r="F51" s="7" t="s">
        <v>551</v>
      </c>
      <c r="G51" s="8" t="s">
        <v>1231</v>
      </c>
      <c r="H51" s="8" t="s">
        <v>2967</v>
      </c>
      <c r="I51" s="7" t="s">
        <v>25</v>
      </c>
      <c r="J51" s="13">
        <v>15</v>
      </c>
    </row>
    <row r="52" spans="1:10" ht="104" x14ac:dyDescent="0.2">
      <c r="A52" s="7" t="s">
        <v>610</v>
      </c>
      <c r="B52" s="8" t="s">
        <v>2031</v>
      </c>
      <c r="C52" s="8" t="s">
        <v>2032</v>
      </c>
      <c r="D52" s="6" t="s">
        <v>864</v>
      </c>
      <c r="E52" s="7" t="s">
        <v>865</v>
      </c>
      <c r="F52" s="7" t="s">
        <v>551</v>
      </c>
      <c r="G52" s="8" t="s">
        <v>412</v>
      </c>
      <c r="H52" s="10" t="s">
        <v>2962</v>
      </c>
      <c r="I52" s="7" t="s">
        <v>25</v>
      </c>
      <c r="J52" s="13">
        <v>15</v>
      </c>
    </row>
    <row r="53" spans="1:10" ht="117" x14ac:dyDescent="0.2">
      <c r="A53" s="7" t="s">
        <v>610</v>
      </c>
      <c r="B53" s="8" t="s">
        <v>2031</v>
      </c>
      <c r="C53" s="8" t="s">
        <v>2032</v>
      </c>
      <c r="D53" s="6" t="s">
        <v>864</v>
      </c>
      <c r="E53" s="7" t="s">
        <v>865</v>
      </c>
      <c r="F53" s="7" t="s">
        <v>551</v>
      </c>
      <c r="G53" s="8" t="s">
        <v>1856</v>
      </c>
      <c r="H53" s="8" t="s">
        <v>2968</v>
      </c>
      <c r="I53" s="7" t="s">
        <v>25</v>
      </c>
      <c r="J53" s="13">
        <v>20</v>
      </c>
    </row>
    <row r="54" spans="1:10" ht="78" x14ac:dyDescent="0.2">
      <c r="A54" s="7" t="s">
        <v>610</v>
      </c>
      <c r="B54" s="8" t="s">
        <v>2031</v>
      </c>
      <c r="C54" s="8" t="s">
        <v>2032</v>
      </c>
      <c r="D54" s="6" t="s">
        <v>864</v>
      </c>
      <c r="E54" s="7" t="s">
        <v>865</v>
      </c>
      <c r="F54" s="7" t="s">
        <v>551</v>
      </c>
      <c r="G54" s="8" t="s">
        <v>868</v>
      </c>
      <c r="H54" s="10" t="s">
        <v>2975</v>
      </c>
      <c r="I54" s="7" t="s">
        <v>25</v>
      </c>
      <c r="J54" s="13">
        <v>15</v>
      </c>
    </row>
    <row r="55" spans="1:10" ht="169" x14ac:dyDescent="0.2">
      <c r="A55" s="7" t="s">
        <v>610</v>
      </c>
      <c r="B55" s="8" t="s">
        <v>2031</v>
      </c>
      <c r="C55" s="8" t="s">
        <v>2032</v>
      </c>
      <c r="D55" s="6" t="s">
        <v>864</v>
      </c>
      <c r="E55" s="7" t="s">
        <v>865</v>
      </c>
      <c r="F55" s="7" t="s">
        <v>551</v>
      </c>
      <c r="G55" s="8" t="s">
        <v>387</v>
      </c>
      <c r="H55" s="10" t="s">
        <v>2976</v>
      </c>
      <c r="I55" s="7" t="s">
        <v>25</v>
      </c>
      <c r="J55" s="13">
        <v>20</v>
      </c>
    </row>
    <row r="56" spans="1:10" ht="320" x14ac:dyDescent="0.2">
      <c r="A56" s="7" t="s">
        <v>610</v>
      </c>
      <c r="B56" s="8" t="s">
        <v>751</v>
      </c>
      <c r="C56" s="8" t="s">
        <v>752</v>
      </c>
      <c r="D56" s="6" t="s">
        <v>294</v>
      </c>
      <c r="E56" s="7" t="s">
        <v>295</v>
      </c>
      <c r="F56" s="7" t="s">
        <v>551</v>
      </c>
      <c r="G56" s="8" t="s">
        <v>753</v>
      </c>
      <c r="H56" s="10" t="s">
        <v>2977</v>
      </c>
      <c r="I56" s="7" t="s">
        <v>25</v>
      </c>
      <c r="J56" s="13">
        <v>15</v>
      </c>
    </row>
    <row r="57" spans="1:10" ht="195" x14ac:dyDescent="0.2">
      <c r="A57" s="7" t="s">
        <v>610</v>
      </c>
      <c r="B57" s="8" t="s">
        <v>751</v>
      </c>
      <c r="C57" s="8" t="s">
        <v>752</v>
      </c>
      <c r="D57" s="6" t="s">
        <v>294</v>
      </c>
      <c r="E57" s="7" t="s">
        <v>295</v>
      </c>
      <c r="F57" s="7" t="s">
        <v>551</v>
      </c>
      <c r="G57" s="8" t="s">
        <v>754</v>
      </c>
      <c r="H57" s="10" t="s">
        <v>2978</v>
      </c>
      <c r="I57" s="7" t="s">
        <v>25</v>
      </c>
      <c r="J57" s="13">
        <v>15</v>
      </c>
    </row>
    <row r="58" spans="1:10" ht="344" x14ac:dyDescent="0.2">
      <c r="A58" s="7" t="s">
        <v>610</v>
      </c>
      <c r="B58" s="8" t="s">
        <v>751</v>
      </c>
      <c r="C58" s="8" t="s">
        <v>752</v>
      </c>
      <c r="D58" s="6" t="s">
        <v>294</v>
      </c>
      <c r="E58" s="7" t="s">
        <v>295</v>
      </c>
      <c r="F58" s="7" t="s">
        <v>551</v>
      </c>
      <c r="G58" s="8" t="s">
        <v>755</v>
      </c>
      <c r="H58" s="10" t="s">
        <v>2979</v>
      </c>
      <c r="I58" s="7" t="s">
        <v>25</v>
      </c>
      <c r="J58" s="13">
        <v>15</v>
      </c>
    </row>
    <row r="59" spans="1:10" ht="130" x14ac:dyDescent="0.2">
      <c r="A59" s="7" t="s">
        <v>610</v>
      </c>
      <c r="B59" s="8" t="s">
        <v>751</v>
      </c>
      <c r="C59" s="8" t="s">
        <v>752</v>
      </c>
      <c r="D59" s="6" t="s">
        <v>294</v>
      </c>
      <c r="E59" s="7" t="s">
        <v>295</v>
      </c>
      <c r="F59" s="7" t="s">
        <v>551</v>
      </c>
      <c r="G59" s="8" t="s">
        <v>756</v>
      </c>
      <c r="H59" s="10" t="s">
        <v>2980</v>
      </c>
      <c r="I59" s="7" t="s">
        <v>25</v>
      </c>
      <c r="J59" s="13">
        <v>40</v>
      </c>
    </row>
    <row r="60" spans="1:10" ht="234" x14ac:dyDescent="0.2">
      <c r="A60" s="7" t="s">
        <v>610</v>
      </c>
      <c r="B60" s="8" t="s">
        <v>751</v>
      </c>
      <c r="C60" s="8" t="s">
        <v>752</v>
      </c>
      <c r="D60" s="6" t="s">
        <v>294</v>
      </c>
      <c r="E60" s="7" t="s">
        <v>295</v>
      </c>
      <c r="F60" s="7" t="s">
        <v>551</v>
      </c>
      <c r="G60" s="8" t="s">
        <v>757</v>
      </c>
      <c r="H60" s="10" t="s">
        <v>2981</v>
      </c>
      <c r="I60" s="7" t="s">
        <v>25</v>
      </c>
      <c r="J60" s="13">
        <v>15</v>
      </c>
    </row>
    <row r="61" spans="1:10" ht="39" x14ac:dyDescent="0.2">
      <c r="A61" s="7" t="s">
        <v>2114</v>
      </c>
      <c r="B61" s="8" t="s">
        <v>206</v>
      </c>
      <c r="C61" s="8" t="s">
        <v>263</v>
      </c>
      <c r="D61" s="6" t="s">
        <v>261</v>
      </c>
      <c r="E61" s="7" t="s">
        <v>262</v>
      </c>
      <c r="F61" s="7" t="s">
        <v>265</v>
      </c>
      <c r="G61" s="8" t="s">
        <v>266</v>
      </c>
      <c r="H61" s="8" t="s">
        <v>3019</v>
      </c>
      <c r="I61" s="7" t="s">
        <v>25</v>
      </c>
      <c r="J61" s="13">
        <v>25</v>
      </c>
    </row>
    <row r="62" spans="1:10" ht="39" x14ac:dyDescent="0.2">
      <c r="A62" s="7" t="s">
        <v>2114</v>
      </c>
      <c r="B62" s="8" t="s">
        <v>206</v>
      </c>
      <c r="C62" s="8" t="s">
        <v>263</v>
      </c>
      <c r="D62" s="6" t="s">
        <v>261</v>
      </c>
      <c r="E62" s="7" t="s">
        <v>262</v>
      </c>
      <c r="F62" s="7" t="s">
        <v>265</v>
      </c>
      <c r="G62" s="8" t="s">
        <v>267</v>
      </c>
      <c r="H62" s="8" t="s">
        <v>3020</v>
      </c>
      <c r="I62" s="7" t="s">
        <v>25</v>
      </c>
      <c r="J62" s="13">
        <v>25</v>
      </c>
    </row>
    <row r="63" spans="1:10" ht="52" x14ac:dyDescent="0.2">
      <c r="A63" s="7" t="s">
        <v>2114</v>
      </c>
      <c r="B63" s="8" t="s">
        <v>206</v>
      </c>
      <c r="C63" s="8" t="s">
        <v>263</v>
      </c>
      <c r="D63" s="6" t="s">
        <v>261</v>
      </c>
      <c r="E63" s="7" t="s">
        <v>262</v>
      </c>
      <c r="F63" s="7" t="s">
        <v>265</v>
      </c>
      <c r="G63" s="8" t="s">
        <v>268</v>
      </c>
      <c r="H63" s="8" t="s">
        <v>3021</v>
      </c>
      <c r="I63" s="7" t="s">
        <v>25</v>
      </c>
      <c r="J63" s="13">
        <v>25</v>
      </c>
    </row>
    <row r="64" spans="1:10" ht="52" x14ac:dyDescent="0.2">
      <c r="A64" s="7" t="s">
        <v>2114</v>
      </c>
      <c r="B64" s="8" t="s">
        <v>206</v>
      </c>
      <c r="C64" s="8" t="s">
        <v>263</v>
      </c>
      <c r="D64" s="6" t="s">
        <v>261</v>
      </c>
      <c r="E64" s="7" t="s">
        <v>262</v>
      </c>
      <c r="F64" s="7" t="s">
        <v>265</v>
      </c>
      <c r="G64" s="8" t="s">
        <v>269</v>
      </c>
      <c r="H64" s="8" t="s">
        <v>3022</v>
      </c>
      <c r="I64" s="7" t="s">
        <v>25</v>
      </c>
      <c r="J64" s="13">
        <v>25</v>
      </c>
    </row>
    <row r="65" spans="1:10" ht="52" x14ac:dyDescent="0.2">
      <c r="A65" s="7" t="s">
        <v>2114</v>
      </c>
      <c r="B65" s="8" t="s">
        <v>206</v>
      </c>
      <c r="C65" s="8" t="s">
        <v>2238</v>
      </c>
      <c r="D65" s="6" t="s">
        <v>2236</v>
      </c>
      <c r="E65" s="7" t="s">
        <v>2237</v>
      </c>
      <c r="F65" s="7" t="s">
        <v>571</v>
      </c>
      <c r="G65" s="8" t="s">
        <v>2239</v>
      </c>
      <c r="H65" s="8" t="s">
        <v>2240</v>
      </c>
      <c r="I65" s="7" t="s">
        <v>17</v>
      </c>
      <c r="J65" s="15">
        <v>30</v>
      </c>
    </row>
    <row r="66" spans="1:10" ht="65" x14ac:dyDescent="0.2">
      <c r="A66" s="7" t="s">
        <v>2114</v>
      </c>
      <c r="B66" s="8" t="s">
        <v>206</v>
      </c>
      <c r="C66" s="8" t="s">
        <v>2238</v>
      </c>
      <c r="D66" s="6" t="s">
        <v>2236</v>
      </c>
      <c r="E66" s="7" t="s">
        <v>2237</v>
      </c>
      <c r="F66" s="7" t="s">
        <v>571</v>
      </c>
      <c r="G66" s="8" t="s">
        <v>2241</v>
      </c>
      <c r="H66" s="8" t="s">
        <v>2242</v>
      </c>
      <c r="I66" s="7" t="s">
        <v>17</v>
      </c>
      <c r="J66" s="15">
        <v>30</v>
      </c>
    </row>
    <row r="67" spans="1:10" ht="65" x14ac:dyDescent="0.2">
      <c r="A67" s="7" t="s">
        <v>2114</v>
      </c>
      <c r="B67" s="8" t="s">
        <v>206</v>
      </c>
      <c r="C67" s="8" t="s">
        <v>2238</v>
      </c>
      <c r="D67" s="6" t="s">
        <v>2236</v>
      </c>
      <c r="E67" s="7" t="s">
        <v>2237</v>
      </c>
      <c r="F67" s="7" t="s">
        <v>571</v>
      </c>
      <c r="G67" s="8" t="s">
        <v>2243</v>
      </c>
      <c r="H67" s="8" t="s">
        <v>2244</v>
      </c>
      <c r="I67" s="7" t="s">
        <v>25</v>
      </c>
      <c r="J67" s="15">
        <v>15</v>
      </c>
    </row>
    <row r="68" spans="1:10" ht="91" x14ac:dyDescent="0.2">
      <c r="A68" s="7" t="s">
        <v>2114</v>
      </c>
      <c r="B68" s="8" t="s">
        <v>206</v>
      </c>
      <c r="C68" s="8" t="s">
        <v>2238</v>
      </c>
      <c r="D68" s="6" t="s">
        <v>2236</v>
      </c>
      <c r="E68" s="7" t="s">
        <v>2237</v>
      </c>
      <c r="F68" s="7" t="s">
        <v>571</v>
      </c>
      <c r="G68" s="8" t="s">
        <v>2245</v>
      </c>
      <c r="H68" s="8" t="s">
        <v>2246</v>
      </c>
      <c r="I68" s="7" t="s">
        <v>17</v>
      </c>
      <c r="J68" s="15">
        <v>10</v>
      </c>
    </row>
    <row r="69" spans="1:10" ht="52" x14ac:dyDescent="0.2">
      <c r="A69" s="7" t="s">
        <v>2114</v>
      </c>
      <c r="B69" s="8" t="s">
        <v>206</v>
      </c>
      <c r="C69" s="8" t="s">
        <v>2238</v>
      </c>
      <c r="D69" s="6" t="s">
        <v>2236</v>
      </c>
      <c r="E69" s="7" t="s">
        <v>2237</v>
      </c>
      <c r="F69" s="7" t="s">
        <v>571</v>
      </c>
      <c r="G69" s="8" t="s">
        <v>576</v>
      </c>
      <c r="H69" s="8" t="s">
        <v>2247</v>
      </c>
      <c r="I69" s="7" t="s">
        <v>25</v>
      </c>
      <c r="J69" s="15">
        <v>15</v>
      </c>
    </row>
    <row r="70" spans="1:10" ht="91" x14ac:dyDescent="0.2">
      <c r="A70" s="7" t="s">
        <v>2114</v>
      </c>
      <c r="B70" s="8" t="s">
        <v>206</v>
      </c>
      <c r="C70" s="8" t="s">
        <v>2238</v>
      </c>
      <c r="D70" s="6" t="s">
        <v>2900</v>
      </c>
      <c r="E70" s="7" t="s">
        <v>2901</v>
      </c>
      <c r="F70" s="7" t="s">
        <v>571</v>
      </c>
      <c r="G70" s="8" t="s">
        <v>576</v>
      </c>
      <c r="H70" s="8" t="s">
        <v>2902</v>
      </c>
      <c r="I70" s="7" t="s">
        <v>25</v>
      </c>
      <c r="J70" s="15">
        <v>15</v>
      </c>
    </row>
    <row r="71" spans="1:10" ht="91" x14ac:dyDescent="0.2">
      <c r="A71" s="7" t="s">
        <v>2114</v>
      </c>
      <c r="B71" s="8" t="s">
        <v>206</v>
      </c>
      <c r="C71" s="8" t="s">
        <v>2238</v>
      </c>
      <c r="D71" s="6" t="s">
        <v>2900</v>
      </c>
      <c r="E71" s="7" t="s">
        <v>2901</v>
      </c>
      <c r="F71" s="7" t="s">
        <v>571</v>
      </c>
      <c r="G71" s="8" t="s">
        <v>2903</v>
      </c>
      <c r="H71" s="8" t="s">
        <v>2904</v>
      </c>
      <c r="I71" s="7" t="s">
        <v>17</v>
      </c>
      <c r="J71" s="15">
        <v>10</v>
      </c>
    </row>
    <row r="72" spans="1:10" ht="78" x14ac:dyDescent="0.2">
      <c r="A72" s="7" t="s">
        <v>2114</v>
      </c>
      <c r="B72" s="8" t="s">
        <v>206</v>
      </c>
      <c r="C72" s="8" t="s">
        <v>2238</v>
      </c>
      <c r="D72" s="6" t="s">
        <v>2900</v>
      </c>
      <c r="E72" s="7" t="s">
        <v>2901</v>
      </c>
      <c r="F72" s="7" t="s">
        <v>571</v>
      </c>
      <c r="G72" s="8" t="s">
        <v>2905</v>
      </c>
      <c r="H72" s="8" t="s">
        <v>2906</v>
      </c>
      <c r="I72" s="7" t="s">
        <v>17</v>
      </c>
      <c r="J72" s="15">
        <v>30</v>
      </c>
    </row>
    <row r="73" spans="1:10" ht="104" x14ac:dyDescent="0.2">
      <c r="A73" s="7" t="s">
        <v>2114</v>
      </c>
      <c r="B73" s="8" t="s">
        <v>206</v>
      </c>
      <c r="C73" s="8" t="s">
        <v>2238</v>
      </c>
      <c r="D73" s="6" t="s">
        <v>2900</v>
      </c>
      <c r="E73" s="7" t="s">
        <v>2901</v>
      </c>
      <c r="F73" s="7" t="s">
        <v>571</v>
      </c>
      <c r="G73" s="8" t="s">
        <v>2243</v>
      </c>
      <c r="H73" s="8" t="s">
        <v>2907</v>
      </c>
      <c r="I73" s="7" t="s">
        <v>25</v>
      </c>
      <c r="J73" s="15">
        <v>15</v>
      </c>
    </row>
    <row r="74" spans="1:10" ht="52" x14ac:dyDescent="0.2">
      <c r="A74" s="7" t="s">
        <v>2114</v>
      </c>
      <c r="B74" s="8" t="s">
        <v>206</v>
      </c>
      <c r="C74" s="8" t="s">
        <v>2238</v>
      </c>
      <c r="D74" s="6" t="s">
        <v>2900</v>
      </c>
      <c r="E74" s="7" t="s">
        <v>2901</v>
      </c>
      <c r="F74" s="7" t="s">
        <v>571</v>
      </c>
      <c r="G74" s="8" t="s">
        <v>2239</v>
      </c>
      <c r="H74" s="8" t="s">
        <v>2908</v>
      </c>
      <c r="I74" s="7" t="s">
        <v>17</v>
      </c>
      <c r="J74" s="15">
        <v>30</v>
      </c>
    </row>
    <row r="75" spans="1:10" ht="52" x14ac:dyDescent="0.2">
      <c r="A75" s="7" t="s">
        <v>2114</v>
      </c>
      <c r="B75" s="8" t="s">
        <v>206</v>
      </c>
      <c r="C75" s="8" t="s">
        <v>2922</v>
      </c>
      <c r="D75" s="6" t="s">
        <v>2920</v>
      </c>
      <c r="E75" s="7" t="s">
        <v>2921</v>
      </c>
      <c r="F75" s="7" t="s">
        <v>209</v>
      </c>
      <c r="G75" s="8" t="s">
        <v>1864</v>
      </c>
      <c r="H75" s="8" t="s">
        <v>218</v>
      </c>
      <c r="I75" s="7" t="s">
        <v>25</v>
      </c>
      <c r="J75" s="15">
        <v>10</v>
      </c>
    </row>
    <row r="76" spans="1:10" ht="78" x14ac:dyDescent="0.2">
      <c r="A76" s="7" t="s">
        <v>2114</v>
      </c>
      <c r="B76" s="8" t="s">
        <v>206</v>
      </c>
      <c r="C76" s="8" t="s">
        <v>2922</v>
      </c>
      <c r="D76" s="6" t="s">
        <v>2920</v>
      </c>
      <c r="E76" s="7" t="s">
        <v>2921</v>
      </c>
      <c r="F76" s="7" t="s">
        <v>209</v>
      </c>
      <c r="G76" s="8" t="s">
        <v>1870</v>
      </c>
      <c r="H76" s="8" t="s">
        <v>2923</v>
      </c>
      <c r="I76" s="7" t="s">
        <v>17</v>
      </c>
      <c r="J76" s="15">
        <v>20</v>
      </c>
    </row>
    <row r="77" spans="1:10" ht="65" x14ac:dyDescent="0.2">
      <c r="A77" s="7" t="s">
        <v>2114</v>
      </c>
      <c r="B77" s="8" t="s">
        <v>206</v>
      </c>
      <c r="C77" s="8" t="s">
        <v>2922</v>
      </c>
      <c r="D77" s="6" t="s">
        <v>2920</v>
      </c>
      <c r="E77" s="7" t="s">
        <v>2921</v>
      </c>
      <c r="F77" s="7" t="s">
        <v>209</v>
      </c>
      <c r="G77" s="8" t="s">
        <v>2924</v>
      </c>
      <c r="H77" s="8" t="s">
        <v>2925</v>
      </c>
      <c r="I77" s="7" t="s">
        <v>17</v>
      </c>
      <c r="J77" s="15">
        <v>25</v>
      </c>
    </row>
    <row r="78" spans="1:10" ht="65" x14ac:dyDescent="0.2">
      <c r="A78" s="7" t="s">
        <v>2114</v>
      </c>
      <c r="B78" s="8" t="s">
        <v>206</v>
      </c>
      <c r="C78" s="8" t="s">
        <v>2922</v>
      </c>
      <c r="D78" s="6" t="s">
        <v>2920</v>
      </c>
      <c r="E78" s="7" t="s">
        <v>2921</v>
      </c>
      <c r="F78" s="7" t="s">
        <v>209</v>
      </c>
      <c r="G78" s="8" t="s">
        <v>1868</v>
      </c>
      <c r="H78" s="8" t="s">
        <v>2926</v>
      </c>
      <c r="I78" s="7" t="s">
        <v>17</v>
      </c>
      <c r="J78" s="15">
        <v>25</v>
      </c>
    </row>
    <row r="79" spans="1:10" ht="39" x14ac:dyDescent="0.2">
      <c r="A79" s="7" t="s">
        <v>2114</v>
      </c>
      <c r="B79" s="8" t="s">
        <v>206</v>
      </c>
      <c r="C79" s="8" t="s">
        <v>2922</v>
      </c>
      <c r="D79" s="6" t="s">
        <v>2920</v>
      </c>
      <c r="E79" s="7" t="s">
        <v>2921</v>
      </c>
      <c r="F79" s="7" t="s">
        <v>209</v>
      </c>
      <c r="G79" s="7" t="s">
        <v>1872</v>
      </c>
      <c r="H79" s="8" t="s">
        <v>2927</v>
      </c>
      <c r="I79" s="7" t="s">
        <v>25</v>
      </c>
      <c r="J79" s="15">
        <v>20</v>
      </c>
    </row>
    <row r="80" spans="1:10" ht="65" x14ac:dyDescent="0.2">
      <c r="A80" s="7" t="s">
        <v>2114</v>
      </c>
      <c r="B80" s="8" t="s">
        <v>206</v>
      </c>
      <c r="C80" s="8" t="s">
        <v>1507</v>
      </c>
      <c r="D80" s="6" t="s">
        <v>1505</v>
      </c>
      <c r="E80" s="7" t="s">
        <v>1506</v>
      </c>
      <c r="F80" s="7" t="s">
        <v>455</v>
      </c>
      <c r="G80" s="8" t="s">
        <v>1508</v>
      </c>
      <c r="H80" s="8" t="s">
        <v>1509</v>
      </c>
      <c r="I80" s="7" t="s">
        <v>25</v>
      </c>
      <c r="J80" s="15">
        <v>15</v>
      </c>
    </row>
    <row r="81" spans="1:10" ht="78" x14ac:dyDescent="0.2">
      <c r="A81" s="7" t="s">
        <v>2114</v>
      </c>
      <c r="B81" s="8" t="s">
        <v>206</v>
      </c>
      <c r="C81" s="8" t="s">
        <v>1507</v>
      </c>
      <c r="D81" s="6" t="s">
        <v>1505</v>
      </c>
      <c r="E81" s="7" t="s">
        <v>1506</v>
      </c>
      <c r="F81" s="7" t="s">
        <v>455</v>
      </c>
      <c r="G81" s="8" t="s">
        <v>1510</v>
      </c>
      <c r="H81" s="8" t="s">
        <v>1511</v>
      </c>
      <c r="I81" s="7" t="s">
        <v>17</v>
      </c>
      <c r="J81" s="15">
        <v>25</v>
      </c>
    </row>
    <row r="82" spans="1:10" ht="91" x14ac:dyDescent="0.2">
      <c r="A82" s="7" t="s">
        <v>2114</v>
      </c>
      <c r="B82" s="8" t="s">
        <v>206</v>
      </c>
      <c r="C82" s="8" t="s">
        <v>1507</v>
      </c>
      <c r="D82" s="6" t="s">
        <v>1505</v>
      </c>
      <c r="E82" s="7" t="s">
        <v>1506</v>
      </c>
      <c r="F82" s="7" t="s">
        <v>455</v>
      </c>
      <c r="G82" s="8" t="s">
        <v>1512</v>
      </c>
      <c r="H82" s="8" t="s">
        <v>1513</v>
      </c>
      <c r="I82" s="7" t="s">
        <v>17</v>
      </c>
      <c r="J82" s="15">
        <v>15</v>
      </c>
    </row>
    <row r="83" spans="1:10" ht="65" x14ac:dyDescent="0.2">
      <c r="A83" s="7" t="s">
        <v>2114</v>
      </c>
      <c r="B83" s="8" t="s">
        <v>206</v>
      </c>
      <c r="C83" s="8" t="s">
        <v>1507</v>
      </c>
      <c r="D83" s="6" t="s">
        <v>1505</v>
      </c>
      <c r="E83" s="7" t="s">
        <v>1506</v>
      </c>
      <c r="F83" s="7" t="s">
        <v>455</v>
      </c>
      <c r="G83" s="8" t="s">
        <v>1514</v>
      </c>
      <c r="H83" s="8" t="s">
        <v>1515</v>
      </c>
      <c r="I83" s="7" t="s">
        <v>25</v>
      </c>
      <c r="J83" s="15">
        <v>20</v>
      </c>
    </row>
    <row r="84" spans="1:10" ht="78" x14ac:dyDescent="0.2">
      <c r="A84" s="7" t="s">
        <v>2114</v>
      </c>
      <c r="B84" s="8" t="s">
        <v>206</v>
      </c>
      <c r="C84" s="8" t="s">
        <v>1507</v>
      </c>
      <c r="D84" s="6" t="s">
        <v>1505</v>
      </c>
      <c r="E84" s="7" t="s">
        <v>1506</v>
      </c>
      <c r="F84" s="7" t="s">
        <v>455</v>
      </c>
      <c r="G84" s="8" t="s">
        <v>1516</v>
      </c>
      <c r="H84" s="8" t="s">
        <v>1517</v>
      </c>
      <c r="I84" s="7" t="s">
        <v>17</v>
      </c>
      <c r="J84" s="15">
        <v>25</v>
      </c>
    </row>
    <row r="85" spans="1:10" ht="78" x14ac:dyDescent="0.2">
      <c r="A85" s="7" t="s">
        <v>2114</v>
      </c>
      <c r="B85" s="8" t="s">
        <v>206</v>
      </c>
      <c r="C85" s="8" t="s">
        <v>2871</v>
      </c>
      <c r="D85" s="6" t="s">
        <v>2869</v>
      </c>
      <c r="E85" s="7" t="s">
        <v>2870</v>
      </c>
      <c r="F85" s="7" t="s">
        <v>677</v>
      </c>
      <c r="G85" s="8" t="s">
        <v>2872</v>
      </c>
      <c r="H85" s="8" t="s">
        <v>686</v>
      </c>
      <c r="I85" s="7" t="s">
        <v>17</v>
      </c>
      <c r="J85" s="15">
        <v>15</v>
      </c>
    </row>
    <row r="86" spans="1:10" ht="78" x14ac:dyDescent="0.2">
      <c r="A86" s="7" t="s">
        <v>2114</v>
      </c>
      <c r="B86" s="8" t="s">
        <v>206</v>
      </c>
      <c r="C86" s="8" t="s">
        <v>2871</v>
      </c>
      <c r="D86" s="6" t="s">
        <v>2869</v>
      </c>
      <c r="E86" s="7" t="s">
        <v>2870</v>
      </c>
      <c r="F86" s="7" t="s">
        <v>677</v>
      </c>
      <c r="G86" s="8" t="s">
        <v>2873</v>
      </c>
      <c r="H86" s="8" t="s">
        <v>680</v>
      </c>
      <c r="I86" s="7" t="s">
        <v>17</v>
      </c>
      <c r="J86" s="15">
        <v>25</v>
      </c>
    </row>
    <row r="87" spans="1:10" ht="78" x14ac:dyDescent="0.2">
      <c r="A87" s="7" t="s">
        <v>2114</v>
      </c>
      <c r="B87" s="8" t="s">
        <v>206</v>
      </c>
      <c r="C87" s="8" t="s">
        <v>2871</v>
      </c>
      <c r="D87" s="6" t="s">
        <v>2869</v>
      </c>
      <c r="E87" s="7" t="s">
        <v>2870</v>
      </c>
      <c r="F87" s="7" t="s">
        <v>677</v>
      </c>
      <c r="G87" s="8" t="s">
        <v>2874</v>
      </c>
      <c r="H87" s="8" t="s">
        <v>457</v>
      </c>
      <c r="I87" s="7" t="s">
        <v>17</v>
      </c>
      <c r="J87" s="15">
        <v>25</v>
      </c>
    </row>
    <row r="88" spans="1:10" ht="78" x14ac:dyDescent="0.2">
      <c r="A88" s="7" t="s">
        <v>2114</v>
      </c>
      <c r="B88" s="8" t="s">
        <v>206</v>
      </c>
      <c r="C88" s="8" t="s">
        <v>2871</v>
      </c>
      <c r="D88" s="6" t="s">
        <v>2869</v>
      </c>
      <c r="E88" s="7" t="s">
        <v>2870</v>
      </c>
      <c r="F88" s="7" t="s">
        <v>677</v>
      </c>
      <c r="G88" s="8" t="s">
        <v>815</v>
      </c>
      <c r="H88" s="8" t="s">
        <v>2875</v>
      </c>
      <c r="I88" s="7" t="s">
        <v>25</v>
      </c>
      <c r="J88" s="15">
        <v>20</v>
      </c>
    </row>
    <row r="89" spans="1:10" ht="78" x14ac:dyDescent="0.2">
      <c r="A89" s="7" t="s">
        <v>2114</v>
      </c>
      <c r="B89" s="8" t="s">
        <v>206</v>
      </c>
      <c r="C89" s="8" t="s">
        <v>2871</v>
      </c>
      <c r="D89" s="6" t="s">
        <v>2869</v>
      </c>
      <c r="E89" s="7" t="s">
        <v>2870</v>
      </c>
      <c r="F89" s="7" t="s">
        <v>677</v>
      </c>
      <c r="G89" s="8" t="s">
        <v>509</v>
      </c>
      <c r="H89" s="8" t="s">
        <v>2876</v>
      </c>
      <c r="I89" s="7" t="s">
        <v>25</v>
      </c>
      <c r="J89" s="15">
        <v>15</v>
      </c>
    </row>
    <row r="90" spans="1:10" ht="52" x14ac:dyDescent="0.2">
      <c r="A90" s="7" t="s">
        <v>2114</v>
      </c>
      <c r="B90" s="8" t="s">
        <v>206</v>
      </c>
      <c r="C90" s="8" t="s">
        <v>2390</v>
      </c>
      <c r="D90" s="6" t="s">
        <v>2388</v>
      </c>
      <c r="E90" s="7" t="s">
        <v>2389</v>
      </c>
      <c r="F90" s="7" t="s">
        <v>677</v>
      </c>
      <c r="G90" s="8" t="s">
        <v>2391</v>
      </c>
      <c r="H90" s="8" t="s">
        <v>2392</v>
      </c>
      <c r="I90" s="7" t="s">
        <v>25</v>
      </c>
      <c r="J90" s="15">
        <v>20</v>
      </c>
    </row>
    <row r="91" spans="1:10" ht="78" x14ac:dyDescent="0.2">
      <c r="A91" s="7" t="s">
        <v>2114</v>
      </c>
      <c r="B91" s="8" t="s">
        <v>206</v>
      </c>
      <c r="C91" s="8" t="s">
        <v>2390</v>
      </c>
      <c r="D91" s="6" t="s">
        <v>2388</v>
      </c>
      <c r="E91" s="7" t="s">
        <v>2389</v>
      </c>
      <c r="F91" s="7" t="s">
        <v>677</v>
      </c>
      <c r="G91" s="8" t="s">
        <v>2393</v>
      </c>
      <c r="H91" s="8" t="s">
        <v>2394</v>
      </c>
      <c r="I91" s="7" t="s">
        <v>25</v>
      </c>
      <c r="J91" s="15">
        <v>15</v>
      </c>
    </row>
    <row r="92" spans="1:10" ht="104" x14ac:dyDescent="0.2">
      <c r="A92" s="7" t="s">
        <v>2114</v>
      </c>
      <c r="B92" s="8" t="s">
        <v>206</v>
      </c>
      <c r="C92" s="8" t="s">
        <v>2390</v>
      </c>
      <c r="D92" s="6" t="s">
        <v>2388</v>
      </c>
      <c r="E92" s="7" t="s">
        <v>2389</v>
      </c>
      <c r="F92" s="7" t="s">
        <v>677</v>
      </c>
      <c r="G92" s="8" t="s">
        <v>2395</v>
      </c>
      <c r="H92" s="8" t="s">
        <v>2396</v>
      </c>
      <c r="I92" s="7" t="s">
        <v>17</v>
      </c>
      <c r="J92" s="15">
        <v>15</v>
      </c>
    </row>
    <row r="93" spans="1:10" ht="78" x14ac:dyDescent="0.2">
      <c r="A93" s="7" t="s">
        <v>2114</v>
      </c>
      <c r="B93" s="8" t="s">
        <v>206</v>
      </c>
      <c r="C93" s="8" t="s">
        <v>2390</v>
      </c>
      <c r="D93" s="6" t="s">
        <v>2388</v>
      </c>
      <c r="E93" s="7" t="s">
        <v>2389</v>
      </c>
      <c r="F93" s="7" t="s">
        <v>677</v>
      </c>
      <c r="G93" s="8" t="s">
        <v>2397</v>
      </c>
      <c r="H93" s="8" t="s">
        <v>457</v>
      </c>
      <c r="I93" s="7" t="s">
        <v>17</v>
      </c>
      <c r="J93" s="15">
        <v>25</v>
      </c>
    </row>
    <row r="94" spans="1:10" ht="104" x14ac:dyDescent="0.2">
      <c r="A94" s="7" t="s">
        <v>2114</v>
      </c>
      <c r="B94" s="8" t="s">
        <v>206</v>
      </c>
      <c r="C94" s="8" t="s">
        <v>2390</v>
      </c>
      <c r="D94" s="6" t="s">
        <v>2388</v>
      </c>
      <c r="E94" s="7" t="s">
        <v>2389</v>
      </c>
      <c r="F94" s="7" t="s">
        <v>677</v>
      </c>
      <c r="G94" s="8" t="s">
        <v>2398</v>
      </c>
      <c r="H94" s="8" t="s">
        <v>2399</v>
      </c>
      <c r="I94" s="7" t="s">
        <v>17</v>
      </c>
      <c r="J94" s="15">
        <v>25</v>
      </c>
    </row>
    <row r="95" spans="1:10" ht="65" x14ac:dyDescent="0.2">
      <c r="A95" s="7" t="s">
        <v>2114</v>
      </c>
      <c r="B95" s="8" t="s">
        <v>206</v>
      </c>
      <c r="C95" s="8" t="s">
        <v>504</v>
      </c>
      <c r="D95" s="6" t="s">
        <v>502</v>
      </c>
      <c r="E95" s="7" t="s">
        <v>503</v>
      </c>
      <c r="F95" s="7" t="s">
        <v>506</v>
      </c>
      <c r="G95" s="8" t="s">
        <v>507</v>
      </c>
      <c r="H95" s="8" t="s">
        <v>461</v>
      </c>
      <c r="I95" s="7" t="s">
        <v>25</v>
      </c>
      <c r="J95" s="15">
        <v>20</v>
      </c>
    </row>
    <row r="96" spans="1:10" ht="91" x14ac:dyDescent="0.2">
      <c r="A96" s="7" t="s">
        <v>2114</v>
      </c>
      <c r="B96" s="8" t="s">
        <v>206</v>
      </c>
      <c r="C96" s="8" t="s">
        <v>504</v>
      </c>
      <c r="D96" s="6" t="s">
        <v>502</v>
      </c>
      <c r="E96" s="7" t="s">
        <v>503</v>
      </c>
      <c r="F96" s="7" t="s">
        <v>506</v>
      </c>
      <c r="G96" s="8" t="s">
        <v>508</v>
      </c>
      <c r="H96" s="8" t="s">
        <v>463</v>
      </c>
      <c r="I96" s="7" t="s">
        <v>17</v>
      </c>
      <c r="J96" s="15">
        <v>15</v>
      </c>
    </row>
    <row r="97" spans="1:10" ht="78" x14ac:dyDescent="0.2">
      <c r="A97" s="7" t="s">
        <v>2114</v>
      </c>
      <c r="B97" s="8" t="s">
        <v>206</v>
      </c>
      <c r="C97" s="8" t="s">
        <v>504</v>
      </c>
      <c r="D97" s="6" t="s">
        <v>502</v>
      </c>
      <c r="E97" s="7" t="s">
        <v>503</v>
      </c>
      <c r="F97" s="7" t="s">
        <v>506</v>
      </c>
      <c r="G97" s="8" t="s">
        <v>509</v>
      </c>
      <c r="H97" s="8" t="s">
        <v>510</v>
      </c>
      <c r="I97" s="7" t="s">
        <v>17</v>
      </c>
      <c r="J97" s="15">
        <v>25</v>
      </c>
    </row>
    <row r="98" spans="1:10" ht="78" x14ac:dyDescent="0.2">
      <c r="A98" s="7" t="s">
        <v>2114</v>
      </c>
      <c r="B98" s="8" t="s">
        <v>206</v>
      </c>
      <c r="C98" s="8" t="s">
        <v>504</v>
      </c>
      <c r="D98" s="6" t="s">
        <v>502</v>
      </c>
      <c r="E98" s="7" t="s">
        <v>503</v>
      </c>
      <c r="F98" s="7" t="s">
        <v>506</v>
      </c>
      <c r="G98" s="8" t="s">
        <v>511</v>
      </c>
      <c r="H98" s="8" t="s">
        <v>512</v>
      </c>
      <c r="I98" s="7" t="s">
        <v>25</v>
      </c>
      <c r="J98" s="15">
        <v>15</v>
      </c>
    </row>
    <row r="99" spans="1:10" ht="65" x14ac:dyDescent="0.2">
      <c r="A99" s="7" t="s">
        <v>2114</v>
      </c>
      <c r="B99" s="8" t="s">
        <v>206</v>
      </c>
      <c r="C99" s="8" t="s">
        <v>504</v>
      </c>
      <c r="D99" s="6" t="s">
        <v>502</v>
      </c>
      <c r="E99" s="7" t="s">
        <v>503</v>
      </c>
      <c r="F99" s="7" t="s">
        <v>506</v>
      </c>
      <c r="G99" s="8" t="s">
        <v>456</v>
      </c>
      <c r="H99" s="8" t="s">
        <v>513</v>
      </c>
      <c r="I99" s="7" t="s">
        <v>17</v>
      </c>
      <c r="J99" s="15">
        <v>25</v>
      </c>
    </row>
    <row r="100" spans="1:10" ht="78" x14ac:dyDescent="0.2">
      <c r="A100" s="7" t="s">
        <v>2114</v>
      </c>
      <c r="B100" s="8" t="s">
        <v>206</v>
      </c>
      <c r="C100" s="8" t="s">
        <v>675</v>
      </c>
      <c r="D100" s="6" t="s">
        <v>673</v>
      </c>
      <c r="E100" s="7" t="s">
        <v>674</v>
      </c>
      <c r="F100" s="7" t="s">
        <v>677</v>
      </c>
      <c r="G100" s="8" t="s">
        <v>678</v>
      </c>
      <c r="H100" s="8" t="s">
        <v>457</v>
      </c>
      <c r="I100" s="7" t="s">
        <v>17</v>
      </c>
      <c r="J100" s="15">
        <v>25</v>
      </c>
    </row>
    <row r="101" spans="1:10" ht="78" x14ac:dyDescent="0.2">
      <c r="A101" s="7" t="s">
        <v>2114</v>
      </c>
      <c r="B101" s="8" t="s">
        <v>206</v>
      </c>
      <c r="C101" s="8" t="s">
        <v>675</v>
      </c>
      <c r="D101" s="6" t="s">
        <v>673</v>
      </c>
      <c r="E101" s="7" t="s">
        <v>674</v>
      </c>
      <c r="F101" s="7" t="s">
        <v>677</v>
      </c>
      <c r="G101" s="8" t="s">
        <v>679</v>
      </c>
      <c r="H101" s="8" t="s">
        <v>680</v>
      </c>
      <c r="I101" s="7" t="s">
        <v>17</v>
      </c>
      <c r="J101" s="15">
        <v>25</v>
      </c>
    </row>
    <row r="102" spans="1:10" ht="78" x14ac:dyDescent="0.2">
      <c r="A102" s="7" t="s">
        <v>2114</v>
      </c>
      <c r="B102" s="8" t="s">
        <v>206</v>
      </c>
      <c r="C102" s="8" t="s">
        <v>675</v>
      </c>
      <c r="D102" s="6" t="s">
        <v>673</v>
      </c>
      <c r="E102" s="7" t="s">
        <v>674</v>
      </c>
      <c r="F102" s="7" t="s">
        <v>677</v>
      </c>
      <c r="G102" s="8" t="s">
        <v>681</v>
      </c>
      <c r="H102" s="8" t="s">
        <v>682</v>
      </c>
      <c r="I102" s="7" t="s">
        <v>25</v>
      </c>
      <c r="J102" s="15">
        <v>15</v>
      </c>
    </row>
    <row r="103" spans="1:10" ht="91" x14ac:dyDescent="0.2">
      <c r="A103" s="7" t="s">
        <v>2114</v>
      </c>
      <c r="B103" s="8" t="s">
        <v>206</v>
      </c>
      <c r="C103" s="8" t="s">
        <v>675</v>
      </c>
      <c r="D103" s="6" t="s">
        <v>673</v>
      </c>
      <c r="E103" s="7" t="s">
        <v>674</v>
      </c>
      <c r="F103" s="7" t="s">
        <v>677</v>
      </c>
      <c r="G103" s="8" t="s">
        <v>683</v>
      </c>
      <c r="H103" s="8" t="s">
        <v>684</v>
      </c>
      <c r="I103" s="7" t="s">
        <v>25</v>
      </c>
      <c r="J103" s="15">
        <v>20</v>
      </c>
    </row>
    <row r="104" spans="1:10" ht="78" x14ac:dyDescent="0.2">
      <c r="A104" s="7" t="s">
        <v>2114</v>
      </c>
      <c r="B104" s="8" t="s">
        <v>206</v>
      </c>
      <c r="C104" s="8" t="s">
        <v>675</v>
      </c>
      <c r="D104" s="6" t="s">
        <v>673</v>
      </c>
      <c r="E104" s="7" t="s">
        <v>674</v>
      </c>
      <c r="F104" s="7" t="s">
        <v>677</v>
      </c>
      <c r="G104" s="8" t="s">
        <v>685</v>
      </c>
      <c r="H104" s="8" t="s">
        <v>686</v>
      </c>
      <c r="I104" s="7" t="s">
        <v>17</v>
      </c>
      <c r="J104" s="15">
        <v>15</v>
      </c>
    </row>
    <row r="105" spans="1:10" ht="78" x14ac:dyDescent="0.2">
      <c r="A105" s="7" t="s">
        <v>2114</v>
      </c>
      <c r="B105" s="8" t="s">
        <v>206</v>
      </c>
      <c r="C105" s="8" t="s">
        <v>453</v>
      </c>
      <c r="D105" s="6" t="s">
        <v>451</v>
      </c>
      <c r="E105" s="7" t="s">
        <v>452</v>
      </c>
      <c r="F105" s="7" t="s">
        <v>455</v>
      </c>
      <c r="G105" s="8" t="s">
        <v>456</v>
      </c>
      <c r="H105" s="8" t="s">
        <v>457</v>
      </c>
      <c r="I105" s="7" t="s">
        <v>17</v>
      </c>
      <c r="J105" s="15">
        <v>25</v>
      </c>
    </row>
    <row r="106" spans="1:10" ht="78" x14ac:dyDescent="0.2">
      <c r="A106" s="7" t="s">
        <v>2114</v>
      </c>
      <c r="B106" s="8" t="s">
        <v>206</v>
      </c>
      <c r="C106" s="8" t="s">
        <v>453</v>
      </c>
      <c r="D106" s="6" t="s">
        <v>451</v>
      </c>
      <c r="E106" s="7" t="s">
        <v>452</v>
      </c>
      <c r="F106" s="7" t="s">
        <v>455</v>
      </c>
      <c r="G106" s="8" t="s">
        <v>458</v>
      </c>
      <c r="H106" s="8" t="s">
        <v>459</v>
      </c>
      <c r="I106" s="7" t="s">
        <v>17</v>
      </c>
      <c r="J106" s="15">
        <v>25</v>
      </c>
    </row>
    <row r="107" spans="1:10" ht="65" x14ac:dyDescent="0.2">
      <c r="A107" s="7" t="s">
        <v>2114</v>
      </c>
      <c r="B107" s="8" t="s">
        <v>206</v>
      </c>
      <c r="C107" s="8" t="s">
        <v>453</v>
      </c>
      <c r="D107" s="6" t="s">
        <v>451</v>
      </c>
      <c r="E107" s="7" t="s">
        <v>452</v>
      </c>
      <c r="F107" s="7" t="s">
        <v>455</v>
      </c>
      <c r="G107" s="8" t="s">
        <v>460</v>
      </c>
      <c r="H107" s="8" t="s">
        <v>461</v>
      </c>
      <c r="I107" s="7" t="s">
        <v>25</v>
      </c>
      <c r="J107" s="15">
        <v>20</v>
      </c>
    </row>
    <row r="108" spans="1:10" ht="91" x14ac:dyDescent="0.2">
      <c r="A108" s="7" t="s">
        <v>2114</v>
      </c>
      <c r="B108" s="8" t="s">
        <v>206</v>
      </c>
      <c r="C108" s="8" t="s">
        <v>453</v>
      </c>
      <c r="D108" s="6" t="s">
        <v>451</v>
      </c>
      <c r="E108" s="7" t="s">
        <v>452</v>
      </c>
      <c r="F108" s="7" t="s">
        <v>455</v>
      </c>
      <c r="G108" s="8" t="s">
        <v>462</v>
      </c>
      <c r="H108" s="8" t="s">
        <v>463</v>
      </c>
      <c r="I108" s="7" t="s">
        <v>17</v>
      </c>
      <c r="J108" s="15">
        <v>15</v>
      </c>
    </row>
    <row r="109" spans="1:10" ht="78" x14ac:dyDescent="0.2">
      <c r="A109" s="7" t="s">
        <v>2114</v>
      </c>
      <c r="B109" s="8" t="s">
        <v>206</v>
      </c>
      <c r="C109" s="8" t="s">
        <v>453</v>
      </c>
      <c r="D109" s="6" t="s">
        <v>451</v>
      </c>
      <c r="E109" s="7" t="s">
        <v>452</v>
      </c>
      <c r="F109" s="7" t="s">
        <v>455</v>
      </c>
      <c r="G109" s="8" t="s">
        <v>464</v>
      </c>
      <c r="H109" s="8" t="s">
        <v>465</v>
      </c>
      <c r="I109" s="7" t="s">
        <v>25</v>
      </c>
      <c r="J109" s="15">
        <v>15</v>
      </c>
    </row>
    <row r="110" spans="1:10" ht="52" x14ac:dyDescent="0.2">
      <c r="A110" s="7" t="s">
        <v>2114</v>
      </c>
      <c r="B110" s="8" t="s">
        <v>206</v>
      </c>
      <c r="C110" s="8" t="s">
        <v>569</v>
      </c>
      <c r="D110" s="6" t="s">
        <v>567</v>
      </c>
      <c r="E110" s="7" t="s">
        <v>568</v>
      </c>
      <c r="F110" s="7" t="s">
        <v>571</v>
      </c>
      <c r="G110" s="8" t="s">
        <v>572</v>
      </c>
      <c r="H110" s="8" t="s">
        <v>573</v>
      </c>
      <c r="I110" s="7" t="s">
        <v>17</v>
      </c>
      <c r="J110" s="15">
        <v>20</v>
      </c>
    </row>
    <row r="111" spans="1:10" ht="52" x14ac:dyDescent="0.2">
      <c r="A111" s="7" t="s">
        <v>2114</v>
      </c>
      <c r="B111" s="8" t="s">
        <v>206</v>
      </c>
      <c r="C111" s="8" t="s">
        <v>569</v>
      </c>
      <c r="D111" s="6" t="s">
        <v>567</v>
      </c>
      <c r="E111" s="7" t="s">
        <v>568</v>
      </c>
      <c r="F111" s="7" t="s">
        <v>571</v>
      </c>
      <c r="G111" s="8" t="s">
        <v>574</v>
      </c>
      <c r="H111" s="8" t="s">
        <v>575</v>
      </c>
      <c r="I111" s="7" t="s">
        <v>25</v>
      </c>
      <c r="J111" s="15">
        <v>20</v>
      </c>
    </row>
    <row r="112" spans="1:10" ht="52" x14ac:dyDescent="0.2">
      <c r="A112" s="7" t="s">
        <v>2114</v>
      </c>
      <c r="B112" s="8" t="s">
        <v>206</v>
      </c>
      <c r="C112" s="8" t="s">
        <v>569</v>
      </c>
      <c r="D112" s="6" t="s">
        <v>567</v>
      </c>
      <c r="E112" s="7" t="s">
        <v>568</v>
      </c>
      <c r="F112" s="7" t="s">
        <v>571</v>
      </c>
      <c r="G112" s="8" t="s">
        <v>576</v>
      </c>
      <c r="H112" s="8" t="s">
        <v>577</v>
      </c>
      <c r="I112" s="7" t="s">
        <v>25</v>
      </c>
      <c r="J112" s="15">
        <v>20</v>
      </c>
    </row>
    <row r="113" spans="1:10" ht="52" x14ac:dyDescent="0.2">
      <c r="A113" s="7" t="s">
        <v>2114</v>
      </c>
      <c r="B113" s="8" t="s">
        <v>206</v>
      </c>
      <c r="C113" s="8" t="s">
        <v>569</v>
      </c>
      <c r="D113" s="6" t="s">
        <v>567</v>
      </c>
      <c r="E113" s="7" t="s">
        <v>568</v>
      </c>
      <c r="F113" s="7" t="s">
        <v>571</v>
      </c>
      <c r="G113" s="8" t="s">
        <v>578</v>
      </c>
      <c r="H113" s="8" t="s">
        <v>579</v>
      </c>
      <c r="I113" s="7" t="s">
        <v>17</v>
      </c>
      <c r="J113" s="15">
        <v>25</v>
      </c>
    </row>
    <row r="114" spans="1:10" ht="78" x14ac:dyDescent="0.2">
      <c r="A114" s="7" t="s">
        <v>2114</v>
      </c>
      <c r="B114" s="8" t="s">
        <v>206</v>
      </c>
      <c r="C114" s="8" t="s">
        <v>569</v>
      </c>
      <c r="D114" s="6" t="s">
        <v>567</v>
      </c>
      <c r="E114" s="7" t="s">
        <v>568</v>
      </c>
      <c r="F114" s="7" t="s">
        <v>571</v>
      </c>
      <c r="G114" s="8" t="s">
        <v>580</v>
      </c>
      <c r="H114" s="8" t="s">
        <v>581</v>
      </c>
      <c r="I114" s="7" t="s">
        <v>17</v>
      </c>
      <c r="J114" s="15">
        <v>15</v>
      </c>
    </row>
    <row r="115" spans="1:10" ht="52" x14ac:dyDescent="0.2">
      <c r="A115" s="7" t="s">
        <v>2114</v>
      </c>
      <c r="B115" s="8" t="s">
        <v>206</v>
      </c>
      <c r="C115" s="8" t="s">
        <v>207</v>
      </c>
      <c r="D115" s="6" t="s">
        <v>204</v>
      </c>
      <c r="E115" s="7" t="s">
        <v>205</v>
      </c>
      <c r="F115" s="7" t="s">
        <v>209</v>
      </c>
      <c r="G115" s="8" t="s">
        <v>210</v>
      </c>
      <c r="H115" s="8" t="s">
        <v>3350</v>
      </c>
      <c r="I115" s="7" t="s">
        <v>25</v>
      </c>
      <c r="J115" s="15">
        <v>20</v>
      </c>
    </row>
    <row r="116" spans="1:10" ht="52" x14ac:dyDescent="0.2">
      <c r="A116" s="7" t="s">
        <v>2114</v>
      </c>
      <c r="B116" s="8" t="s">
        <v>206</v>
      </c>
      <c r="C116" s="8" t="s">
        <v>207</v>
      </c>
      <c r="D116" s="6" t="s">
        <v>204</v>
      </c>
      <c r="E116" s="7" t="s">
        <v>205</v>
      </c>
      <c r="F116" s="7" t="s">
        <v>209</v>
      </c>
      <c r="G116" s="8" t="s">
        <v>211</v>
      </c>
      <c r="H116" s="8" t="s">
        <v>212</v>
      </c>
      <c r="I116" s="7" t="s">
        <v>17</v>
      </c>
      <c r="J116" s="15">
        <v>25</v>
      </c>
    </row>
    <row r="117" spans="1:10" ht="78" x14ac:dyDescent="0.2">
      <c r="A117" s="7" t="s">
        <v>2114</v>
      </c>
      <c r="B117" s="8" t="s">
        <v>206</v>
      </c>
      <c r="C117" s="8" t="s">
        <v>207</v>
      </c>
      <c r="D117" s="6" t="s">
        <v>204</v>
      </c>
      <c r="E117" s="7" t="s">
        <v>205</v>
      </c>
      <c r="F117" s="7" t="s">
        <v>209</v>
      </c>
      <c r="G117" s="8" t="s">
        <v>213</v>
      </c>
      <c r="H117" s="8" t="s">
        <v>214</v>
      </c>
      <c r="I117" s="7" t="s">
        <v>17</v>
      </c>
      <c r="J117" s="15">
        <v>20</v>
      </c>
    </row>
    <row r="118" spans="1:10" ht="78" x14ac:dyDescent="0.2">
      <c r="A118" s="7" t="s">
        <v>2114</v>
      </c>
      <c r="B118" s="8" t="s">
        <v>206</v>
      </c>
      <c r="C118" s="8" t="s">
        <v>207</v>
      </c>
      <c r="D118" s="6" t="s">
        <v>204</v>
      </c>
      <c r="E118" s="7" t="s">
        <v>205</v>
      </c>
      <c r="F118" s="7" t="s">
        <v>209</v>
      </c>
      <c r="G118" s="8" t="s">
        <v>215</v>
      </c>
      <c r="H118" s="8" t="s">
        <v>216</v>
      </c>
      <c r="I118" s="7" t="s">
        <v>17</v>
      </c>
      <c r="J118" s="15">
        <v>25</v>
      </c>
    </row>
    <row r="119" spans="1:10" ht="52" x14ac:dyDescent="0.2">
      <c r="A119" s="7" t="s">
        <v>2114</v>
      </c>
      <c r="B119" s="8" t="s">
        <v>206</v>
      </c>
      <c r="C119" s="8" t="s">
        <v>207</v>
      </c>
      <c r="D119" s="6" t="s">
        <v>204</v>
      </c>
      <c r="E119" s="7" t="s">
        <v>205</v>
      </c>
      <c r="F119" s="7" t="s">
        <v>209</v>
      </c>
      <c r="G119" s="8" t="s">
        <v>217</v>
      </c>
      <c r="H119" s="8" t="s">
        <v>218</v>
      </c>
      <c r="I119" s="7" t="s">
        <v>25</v>
      </c>
      <c r="J119" s="15">
        <v>10</v>
      </c>
    </row>
    <row r="120" spans="1:10" ht="52" x14ac:dyDescent="0.2">
      <c r="A120" s="7" t="s">
        <v>2114</v>
      </c>
      <c r="B120" s="8" t="s">
        <v>206</v>
      </c>
      <c r="C120" s="8" t="s">
        <v>207</v>
      </c>
      <c r="D120" s="6" t="s">
        <v>1862</v>
      </c>
      <c r="E120" s="7" t="s">
        <v>1863</v>
      </c>
      <c r="F120" s="7" t="s">
        <v>209</v>
      </c>
      <c r="G120" s="8" t="s">
        <v>1864</v>
      </c>
      <c r="H120" s="8" t="s">
        <v>1865</v>
      </c>
      <c r="I120" s="7" t="s">
        <v>25</v>
      </c>
      <c r="J120" s="15">
        <v>10</v>
      </c>
    </row>
    <row r="121" spans="1:10" ht="52" x14ac:dyDescent="0.2">
      <c r="A121" s="7" t="s">
        <v>2114</v>
      </c>
      <c r="B121" s="8" t="s">
        <v>206</v>
      </c>
      <c r="C121" s="8" t="s">
        <v>207</v>
      </c>
      <c r="D121" s="6" t="s">
        <v>1862</v>
      </c>
      <c r="E121" s="7" t="s">
        <v>1863</v>
      </c>
      <c r="F121" s="7" t="s">
        <v>209</v>
      </c>
      <c r="G121" s="8" t="s">
        <v>1866</v>
      </c>
      <c r="H121" s="8" t="s">
        <v>1867</v>
      </c>
      <c r="I121" s="7" t="s">
        <v>17</v>
      </c>
      <c r="J121" s="15">
        <v>25</v>
      </c>
    </row>
    <row r="122" spans="1:10" ht="65" x14ac:dyDescent="0.2">
      <c r="A122" s="7" t="s">
        <v>2114</v>
      </c>
      <c r="B122" s="8" t="s">
        <v>206</v>
      </c>
      <c r="C122" s="8" t="s">
        <v>207</v>
      </c>
      <c r="D122" s="6" t="s">
        <v>1862</v>
      </c>
      <c r="E122" s="7" t="s">
        <v>1863</v>
      </c>
      <c r="F122" s="7" t="s">
        <v>209</v>
      </c>
      <c r="G122" s="8" t="s">
        <v>1868</v>
      </c>
      <c r="H122" s="8" t="s">
        <v>1869</v>
      </c>
      <c r="I122" s="7" t="s">
        <v>17</v>
      </c>
      <c r="J122" s="15">
        <v>25</v>
      </c>
    </row>
    <row r="123" spans="1:10" ht="78" x14ac:dyDescent="0.2">
      <c r="A123" s="7" t="s">
        <v>2114</v>
      </c>
      <c r="B123" s="8" t="s">
        <v>206</v>
      </c>
      <c r="C123" s="8" t="s">
        <v>207</v>
      </c>
      <c r="D123" s="6" t="s">
        <v>1862</v>
      </c>
      <c r="E123" s="7" t="s">
        <v>1863</v>
      </c>
      <c r="F123" s="7" t="s">
        <v>209</v>
      </c>
      <c r="G123" s="8" t="s">
        <v>1870</v>
      </c>
      <c r="H123" s="8" t="s">
        <v>1871</v>
      </c>
      <c r="I123" s="7" t="s">
        <v>17</v>
      </c>
      <c r="J123" s="15">
        <v>20</v>
      </c>
    </row>
    <row r="124" spans="1:10" ht="78" x14ac:dyDescent="0.2">
      <c r="A124" s="7" t="s">
        <v>2114</v>
      </c>
      <c r="B124" s="8" t="s">
        <v>206</v>
      </c>
      <c r="C124" s="8" t="s">
        <v>207</v>
      </c>
      <c r="D124" s="6" t="s">
        <v>1862</v>
      </c>
      <c r="E124" s="7" t="s">
        <v>1863</v>
      </c>
      <c r="F124" s="7" t="s">
        <v>209</v>
      </c>
      <c r="G124" s="8" t="s">
        <v>1872</v>
      </c>
      <c r="H124" s="8" t="s">
        <v>1873</v>
      </c>
      <c r="I124" s="7" t="s">
        <v>25</v>
      </c>
      <c r="J124" s="15">
        <v>20</v>
      </c>
    </row>
    <row r="125" spans="1:10" ht="78" x14ac:dyDescent="0.2">
      <c r="A125" s="7" t="s">
        <v>2114</v>
      </c>
      <c r="B125" s="8" t="s">
        <v>206</v>
      </c>
      <c r="C125" s="8" t="s">
        <v>2618</v>
      </c>
      <c r="D125" s="6" t="s">
        <v>2616</v>
      </c>
      <c r="E125" s="7" t="s">
        <v>2617</v>
      </c>
      <c r="F125" s="7" t="s">
        <v>571</v>
      </c>
      <c r="G125" s="8" t="s">
        <v>578</v>
      </c>
      <c r="H125" s="8" t="s">
        <v>2619</v>
      </c>
      <c r="I125" s="7" t="s">
        <v>17</v>
      </c>
      <c r="J125" s="15">
        <v>25</v>
      </c>
    </row>
    <row r="126" spans="1:10" ht="52" x14ac:dyDescent="0.2">
      <c r="A126" s="7" t="s">
        <v>2114</v>
      </c>
      <c r="B126" s="8" t="s">
        <v>206</v>
      </c>
      <c r="C126" s="8" t="s">
        <v>2618</v>
      </c>
      <c r="D126" s="6" t="s">
        <v>2616</v>
      </c>
      <c r="E126" s="7" t="s">
        <v>2617</v>
      </c>
      <c r="F126" s="7" t="s">
        <v>571</v>
      </c>
      <c r="G126" s="8" t="s">
        <v>953</v>
      </c>
      <c r="H126" s="8" t="s">
        <v>575</v>
      </c>
      <c r="I126" s="7" t="s">
        <v>25</v>
      </c>
      <c r="J126" s="15">
        <v>20</v>
      </c>
    </row>
    <row r="127" spans="1:10" ht="52" x14ac:dyDescent="0.2">
      <c r="A127" s="7" t="s">
        <v>2114</v>
      </c>
      <c r="B127" s="8" t="s">
        <v>206</v>
      </c>
      <c r="C127" s="8" t="s">
        <v>2618</v>
      </c>
      <c r="D127" s="6" t="s">
        <v>2616</v>
      </c>
      <c r="E127" s="7" t="s">
        <v>2617</v>
      </c>
      <c r="F127" s="7" t="s">
        <v>571</v>
      </c>
      <c r="G127" s="8" t="s">
        <v>1650</v>
      </c>
      <c r="H127" s="8" t="s">
        <v>1651</v>
      </c>
      <c r="I127" s="7" t="s">
        <v>25</v>
      </c>
      <c r="J127" s="15">
        <v>20</v>
      </c>
    </row>
    <row r="128" spans="1:10" ht="52" x14ac:dyDescent="0.2">
      <c r="A128" s="7" t="s">
        <v>2114</v>
      </c>
      <c r="B128" s="8" t="s">
        <v>206</v>
      </c>
      <c r="C128" s="8" t="s">
        <v>2618</v>
      </c>
      <c r="D128" s="6" t="s">
        <v>2616</v>
      </c>
      <c r="E128" s="7" t="s">
        <v>2617</v>
      </c>
      <c r="F128" s="7" t="s">
        <v>571</v>
      </c>
      <c r="G128" s="8" t="s">
        <v>572</v>
      </c>
      <c r="H128" s="8" t="s">
        <v>2620</v>
      </c>
      <c r="I128" s="7" t="s">
        <v>17</v>
      </c>
      <c r="J128" s="15">
        <v>20</v>
      </c>
    </row>
    <row r="129" spans="1:10" ht="91" x14ac:dyDescent="0.2">
      <c r="A129" s="7" t="s">
        <v>2114</v>
      </c>
      <c r="B129" s="8" t="s">
        <v>206</v>
      </c>
      <c r="C129" s="8" t="s">
        <v>2618</v>
      </c>
      <c r="D129" s="6" t="s">
        <v>2616</v>
      </c>
      <c r="E129" s="7" t="s">
        <v>2617</v>
      </c>
      <c r="F129" s="7" t="s">
        <v>571</v>
      </c>
      <c r="G129" s="8" t="s">
        <v>951</v>
      </c>
      <c r="H129" s="8" t="s">
        <v>2621</v>
      </c>
      <c r="I129" s="7" t="s">
        <v>17</v>
      </c>
      <c r="J129" s="15">
        <v>15</v>
      </c>
    </row>
    <row r="130" spans="1:10" ht="52" x14ac:dyDescent="0.2">
      <c r="A130" s="7" t="s">
        <v>2114</v>
      </c>
      <c r="B130" s="8" t="s">
        <v>206</v>
      </c>
      <c r="C130" s="8" t="s">
        <v>342</v>
      </c>
      <c r="D130" s="6" t="s">
        <v>340</v>
      </c>
      <c r="E130" s="7" t="s">
        <v>341</v>
      </c>
      <c r="F130" s="7" t="s">
        <v>344</v>
      </c>
      <c r="G130" s="8" t="s">
        <v>345</v>
      </c>
      <c r="H130" s="8" t="s">
        <v>346</v>
      </c>
      <c r="I130" s="7" t="s">
        <v>17</v>
      </c>
      <c r="J130" s="15">
        <v>25</v>
      </c>
    </row>
    <row r="131" spans="1:10" ht="52" x14ac:dyDescent="0.2">
      <c r="A131" s="7" t="s">
        <v>2114</v>
      </c>
      <c r="B131" s="8" t="s">
        <v>206</v>
      </c>
      <c r="C131" s="8" t="s">
        <v>342</v>
      </c>
      <c r="D131" s="6" t="s">
        <v>340</v>
      </c>
      <c r="E131" s="7" t="s">
        <v>341</v>
      </c>
      <c r="F131" s="7" t="s">
        <v>344</v>
      </c>
      <c r="G131" s="8" t="s">
        <v>347</v>
      </c>
      <c r="H131" s="8" t="s">
        <v>348</v>
      </c>
      <c r="I131" s="7" t="s">
        <v>17</v>
      </c>
      <c r="J131" s="15">
        <v>25</v>
      </c>
    </row>
    <row r="132" spans="1:10" ht="52" x14ac:dyDescent="0.2">
      <c r="A132" s="7" t="s">
        <v>2114</v>
      </c>
      <c r="B132" s="8" t="s">
        <v>206</v>
      </c>
      <c r="C132" s="8" t="s">
        <v>342</v>
      </c>
      <c r="D132" s="6" t="s">
        <v>340</v>
      </c>
      <c r="E132" s="7" t="s">
        <v>341</v>
      </c>
      <c r="F132" s="7" t="s">
        <v>344</v>
      </c>
      <c r="G132" s="8" t="s">
        <v>349</v>
      </c>
      <c r="H132" s="8" t="s">
        <v>350</v>
      </c>
      <c r="I132" s="7" t="s">
        <v>25</v>
      </c>
      <c r="J132" s="15">
        <v>10</v>
      </c>
    </row>
    <row r="133" spans="1:10" ht="65" x14ac:dyDescent="0.2">
      <c r="A133" s="7" t="s">
        <v>2114</v>
      </c>
      <c r="B133" s="8" t="s">
        <v>206</v>
      </c>
      <c r="C133" s="8" t="s">
        <v>342</v>
      </c>
      <c r="D133" s="6" t="s">
        <v>340</v>
      </c>
      <c r="E133" s="7" t="s">
        <v>341</v>
      </c>
      <c r="F133" s="7" t="s">
        <v>344</v>
      </c>
      <c r="G133" s="8" t="s">
        <v>351</v>
      </c>
      <c r="H133" s="8" t="s">
        <v>352</v>
      </c>
      <c r="I133" s="7" t="s">
        <v>17</v>
      </c>
      <c r="J133" s="15">
        <v>20</v>
      </c>
    </row>
    <row r="134" spans="1:10" ht="39" x14ac:dyDescent="0.2">
      <c r="A134" s="7" t="s">
        <v>2114</v>
      </c>
      <c r="B134" s="8" t="s">
        <v>206</v>
      </c>
      <c r="C134" s="8" t="s">
        <v>342</v>
      </c>
      <c r="D134" s="6" t="s">
        <v>340</v>
      </c>
      <c r="E134" s="7" t="s">
        <v>341</v>
      </c>
      <c r="F134" s="7" t="s">
        <v>344</v>
      </c>
      <c r="G134" s="8" t="s">
        <v>353</v>
      </c>
      <c r="H134" s="8" t="s">
        <v>354</v>
      </c>
      <c r="I134" s="7" t="s">
        <v>25</v>
      </c>
      <c r="J134" s="15">
        <v>20</v>
      </c>
    </row>
    <row r="135" spans="1:10" ht="52" x14ac:dyDescent="0.2">
      <c r="A135" s="7" t="s">
        <v>2114</v>
      </c>
      <c r="B135" s="8" t="s">
        <v>206</v>
      </c>
      <c r="C135" s="8" t="s">
        <v>2276</v>
      </c>
      <c r="D135" s="6" t="s">
        <v>2274</v>
      </c>
      <c r="E135" s="7" t="s">
        <v>2275</v>
      </c>
      <c r="F135" s="7" t="s">
        <v>467</v>
      </c>
      <c r="G135" s="8" t="s">
        <v>2277</v>
      </c>
      <c r="H135" s="8" t="s">
        <v>2278</v>
      </c>
      <c r="I135" s="7" t="s">
        <v>17</v>
      </c>
      <c r="J135" s="15">
        <v>20</v>
      </c>
    </row>
    <row r="136" spans="1:10" ht="39" x14ac:dyDescent="0.2">
      <c r="A136" s="7" t="s">
        <v>2114</v>
      </c>
      <c r="B136" s="8" t="s">
        <v>206</v>
      </c>
      <c r="C136" s="8" t="s">
        <v>2276</v>
      </c>
      <c r="D136" s="6" t="s">
        <v>2274</v>
      </c>
      <c r="E136" s="7" t="s">
        <v>2275</v>
      </c>
      <c r="F136" s="7" t="s">
        <v>467</v>
      </c>
      <c r="G136" s="8" t="s">
        <v>471</v>
      </c>
      <c r="H136" s="8" t="s">
        <v>2279</v>
      </c>
      <c r="I136" s="7" t="s">
        <v>17</v>
      </c>
      <c r="J136" s="15">
        <v>20</v>
      </c>
    </row>
    <row r="137" spans="1:10" ht="119.5" customHeight="1" x14ac:dyDescent="0.2">
      <c r="A137" s="7" t="s">
        <v>2114</v>
      </c>
      <c r="B137" s="8" t="s">
        <v>206</v>
      </c>
      <c r="C137" s="8" t="s">
        <v>2276</v>
      </c>
      <c r="D137" s="6" t="s">
        <v>2274</v>
      </c>
      <c r="E137" s="7" t="s">
        <v>2275</v>
      </c>
      <c r="F137" s="7" t="s">
        <v>467</v>
      </c>
      <c r="G137" s="8" t="s">
        <v>2280</v>
      </c>
      <c r="H137" s="8" t="s">
        <v>2281</v>
      </c>
      <c r="I137" s="7" t="s">
        <v>17</v>
      </c>
      <c r="J137" s="15">
        <v>15</v>
      </c>
    </row>
    <row r="138" spans="1:10" ht="52" x14ac:dyDescent="0.2">
      <c r="A138" s="7" t="s">
        <v>2114</v>
      </c>
      <c r="B138" s="8" t="s">
        <v>206</v>
      </c>
      <c r="C138" s="8" t="s">
        <v>2276</v>
      </c>
      <c r="D138" s="6" t="s">
        <v>2274</v>
      </c>
      <c r="E138" s="7" t="s">
        <v>2275</v>
      </c>
      <c r="F138" s="7" t="s">
        <v>467</v>
      </c>
      <c r="G138" s="8" t="s">
        <v>2282</v>
      </c>
      <c r="H138" s="8" t="s">
        <v>2283</v>
      </c>
      <c r="I138" s="7" t="s">
        <v>17</v>
      </c>
      <c r="J138" s="15">
        <v>20</v>
      </c>
    </row>
    <row r="139" spans="1:10" ht="339.5" customHeight="1" x14ac:dyDescent="0.2">
      <c r="A139" s="7" t="s">
        <v>2114</v>
      </c>
      <c r="B139" s="8" t="s">
        <v>206</v>
      </c>
      <c r="C139" s="8" t="s">
        <v>2276</v>
      </c>
      <c r="D139" s="6" t="s">
        <v>2274</v>
      </c>
      <c r="E139" s="7" t="s">
        <v>2275</v>
      </c>
      <c r="F139" s="7" t="s">
        <v>467</v>
      </c>
      <c r="G139" s="8" t="s">
        <v>596</v>
      </c>
      <c r="H139" s="8" t="s">
        <v>2284</v>
      </c>
      <c r="I139" s="7" t="s">
        <v>17</v>
      </c>
      <c r="J139" s="15">
        <v>25</v>
      </c>
    </row>
    <row r="140" spans="1:10" ht="52" x14ac:dyDescent="0.2">
      <c r="A140" s="7" t="s">
        <v>2114</v>
      </c>
      <c r="B140" s="8" t="s">
        <v>206</v>
      </c>
      <c r="C140" s="8" t="s">
        <v>947</v>
      </c>
      <c r="D140" s="6" t="s">
        <v>945</v>
      </c>
      <c r="E140" s="7" t="s">
        <v>946</v>
      </c>
      <c r="F140" s="7" t="s">
        <v>571</v>
      </c>
      <c r="G140" s="8" t="s">
        <v>576</v>
      </c>
      <c r="H140" s="8" t="s">
        <v>948</v>
      </c>
      <c r="I140" s="7" t="s">
        <v>25</v>
      </c>
      <c r="J140" s="15">
        <v>20</v>
      </c>
    </row>
    <row r="141" spans="1:10" ht="52" x14ac:dyDescent="0.2">
      <c r="A141" s="7" t="s">
        <v>2114</v>
      </c>
      <c r="B141" s="8" t="s">
        <v>206</v>
      </c>
      <c r="C141" s="8" t="s">
        <v>947</v>
      </c>
      <c r="D141" s="6" t="s">
        <v>945</v>
      </c>
      <c r="E141" s="7" t="s">
        <v>946</v>
      </c>
      <c r="F141" s="7" t="s">
        <v>571</v>
      </c>
      <c r="G141" s="8" t="s">
        <v>572</v>
      </c>
      <c r="H141" s="8" t="s">
        <v>949</v>
      </c>
      <c r="I141" s="7" t="s">
        <v>17</v>
      </c>
      <c r="J141" s="15">
        <v>20</v>
      </c>
    </row>
    <row r="142" spans="1:10" ht="52" x14ac:dyDescent="0.2">
      <c r="A142" s="7" t="s">
        <v>2114</v>
      </c>
      <c r="B142" s="8" t="s">
        <v>206</v>
      </c>
      <c r="C142" s="8" t="s">
        <v>947</v>
      </c>
      <c r="D142" s="6" t="s">
        <v>945</v>
      </c>
      <c r="E142" s="7" t="s">
        <v>946</v>
      </c>
      <c r="F142" s="7" t="s">
        <v>571</v>
      </c>
      <c r="G142" s="8" t="s">
        <v>578</v>
      </c>
      <c r="H142" s="8" t="s">
        <v>950</v>
      </c>
      <c r="I142" s="7" t="s">
        <v>17</v>
      </c>
      <c r="J142" s="15">
        <v>25</v>
      </c>
    </row>
    <row r="143" spans="1:10" ht="78" x14ac:dyDescent="0.2">
      <c r="A143" s="7" t="s">
        <v>2114</v>
      </c>
      <c r="B143" s="8" t="s">
        <v>206</v>
      </c>
      <c r="C143" s="8" t="s">
        <v>947</v>
      </c>
      <c r="D143" s="6" t="s">
        <v>945</v>
      </c>
      <c r="E143" s="7" t="s">
        <v>946</v>
      </c>
      <c r="F143" s="7" t="s">
        <v>571</v>
      </c>
      <c r="G143" s="8" t="s">
        <v>951</v>
      </c>
      <c r="H143" s="8" t="s">
        <v>952</v>
      </c>
      <c r="I143" s="7" t="s">
        <v>17</v>
      </c>
      <c r="J143" s="15">
        <v>15</v>
      </c>
    </row>
    <row r="144" spans="1:10" ht="52" x14ac:dyDescent="0.2">
      <c r="A144" s="7" t="s">
        <v>2114</v>
      </c>
      <c r="B144" s="8" t="s">
        <v>206</v>
      </c>
      <c r="C144" s="8" t="s">
        <v>947</v>
      </c>
      <c r="D144" s="6" t="s">
        <v>945</v>
      </c>
      <c r="E144" s="7" t="s">
        <v>946</v>
      </c>
      <c r="F144" s="7" t="s">
        <v>571</v>
      </c>
      <c r="G144" s="8" t="s">
        <v>953</v>
      </c>
      <c r="H144" s="8" t="s">
        <v>954</v>
      </c>
      <c r="I144" s="7" t="s">
        <v>25</v>
      </c>
      <c r="J144" s="15">
        <v>20</v>
      </c>
    </row>
    <row r="145" spans="1:10" ht="91" x14ac:dyDescent="0.2">
      <c r="A145" s="7" t="s">
        <v>2114</v>
      </c>
      <c r="B145" s="8" t="s">
        <v>206</v>
      </c>
      <c r="C145" s="8" t="s">
        <v>2895</v>
      </c>
      <c r="D145" s="6" t="s">
        <v>676</v>
      </c>
      <c r="E145" s="7" t="s">
        <v>677</v>
      </c>
      <c r="F145" s="7" t="s">
        <v>262</v>
      </c>
      <c r="G145" s="8" t="s">
        <v>456</v>
      </c>
      <c r="H145" s="8" t="s">
        <v>817</v>
      </c>
      <c r="I145" s="7" t="s">
        <v>25</v>
      </c>
      <c r="J145" s="15">
        <v>20</v>
      </c>
    </row>
    <row r="146" spans="1:10" ht="65" x14ac:dyDescent="0.2">
      <c r="A146" s="7" t="s">
        <v>2114</v>
      </c>
      <c r="B146" s="8" t="s">
        <v>206</v>
      </c>
      <c r="C146" s="8" t="s">
        <v>2895</v>
      </c>
      <c r="D146" s="6" t="s">
        <v>676</v>
      </c>
      <c r="E146" s="7" t="s">
        <v>677</v>
      </c>
      <c r="F146" s="7" t="s">
        <v>262</v>
      </c>
      <c r="G146" s="8" t="s">
        <v>2391</v>
      </c>
      <c r="H146" s="8" t="s">
        <v>461</v>
      </c>
      <c r="I146" s="7" t="s">
        <v>25</v>
      </c>
      <c r="J146" s="15">
        <v>15</v>
      </c>
    </row>
    <row r="147" spans="1:10" ht="65" x14ac:dyDescent="0.2">
      <c r="A147" s="7" t="s">
        <v>2114</v>
      </c>
      <c r="B147" s="8" t="s">
        <v>206</v>
      </c>
      <c r="C147" s="8" t="s">
        <v>2895</v>
      </c>
      <c r="D147" s="6" t="s">
        <v>676</v>
      </c>
      <c r="E147" s="7" t="s">
        <v>677</v>
      </c>
      <c r="F147" s="7" t="s">
        <v>262</v>
      </c>
      <c r="G147" s="8" t="s">
        <v>2896</v>
      </c>
      <c r="H147" s="8" t="s">
        <v>849</v>
      </c>
      <c r="I147" s="7" t="s">
        <v>17</v>
      </c>
      <c r="J147" s="15">
        <v>20</v>
      </c>
    </row>
    <row r="148" spans="1:10" ht="78" x14ac:dyDescent="0.2">
      <c r="A148" s="7" t="s">
        <v>2114</v>
      </c>
      <c r="B148" s="8" t="s">
        <v>206</v>
      </c>
      <c r="C148" s="8" t="s">
        <v>2895</v>
      </c>
      <c r="D148" s="6" t="s">
        <v>676</v>
      </c>
      <c r="E148" s="7" t="s">
        <v>677</v>
      </c>
      <c r="F148" s="7" t="s">
        <v>262</v>
      </c>
      <c r="G148" s="8" t="s">
        <v>511</v>
      </c>
      <c r="H148" s="8" t="s">
        <v>2897</v>
      </c>
      <c r="I148" s="7" t="s">
        <v>25</v>
      </c>
      <c r="J148" s="15">
        <v>25</v>
      </c>
    </row>
    <row r="149" spans="1:10" ht="39" x14ac:dyDescent="0.2">
      <c r="A149" s="7" t="s">
        <v>2114</v>
      </c>
      <c r="B149" s="8" t="s">
        <v>206</v>
      </c>
      <c r="C149" s="8" t="s">
        <v>2895</v>
      </c>
      <c r="D149" s="6" t="s">
        <v>676</v>
      </c>
      <c r="E149" s="7" t="s">
        <v>677</v>
      </c>
      <c r="F149" s="7" t="s">
        <v>262</v>
      </c>
      <c r="G149" s="8" t="s">
        <v>2898</v>
      </c>
      <c r="H149" s="8" t="s">
        <v>2899</v>
      </c>
      <c r="I149" s="7" t="s">
        <v>25</v>
      </c>
      <c r="J149" s="15">
        <v>20</v>
      </c>
    </row>
    <row r="150" spans="1:10" ht="39" x14ac:dyDescent="0.2">
      <c r="A150" s="7" t="s">
        <v>2114</v>
      </c>
      <c r="B150" s="8" t="s">
        <v>206</v>
      </c>
      <c r="C150" s="8" t="s">
        <v>812</v>
      </c>
      <c r="D150" s="6" t="s">
        <v>454</v>
      </c>
      <c r="E150" s="7" t="s">
        <v>455</v>
      </c>
      <c r="F150" s="7" t="s">
        <v>262</v>
      </c>
      <c r="G150" s="8" t="s">
        <v>813</v>
      </c>
      <c r="H150" s="8" t="s">
        <v>814</v>
      </c>
      <c r="I150" s="7" t="s">
        <v>25</v>
      </c>
      <c r="J150" s="15">
        <v>20</v>
      </c>
    </row>
    <row r="151" spans="1:10" ht="65" x14ac:dyDescent="0.2">
      <c r="A151" s="7" t="s">
        <v>2114</v>
      </c>
      <c r="B151" s="8" t="s">
        <v>206</v>
      </c>
      <c r="C151" s="8" t="s">
        <v>812</v>
      </c>
      <c r="D151" s="6" t="s">
        <v>454</v>
      </c>
      <c r="E151" s="7" t="s">
        <v>455</v>
      </c>
      <c r="F151" s="7" t="s">
        <v>262</v>
      </c>
      <c r="G151" s="8" t="s">
        <v>815</v>
      </c>
      <c r="H151" s="8" t="s">
        <v>461</v>
      </c>
      <c r="I151" s="7" t="s">
        <v>25</v>
      </c>
      <c r="J151" s="15">
        <v>15</v>
      </c>
    </row>
    <row r="152" spans="1:10" ht="91" x14ac:dyDescent="0.2">
      <c r="A152" s="7" t="s">
        <v>2114</v>
      </c>
      <c r="B152" s="8" t="s">
        <v>206</v>
      </c>
      <c r="C152" s="8" t="s">
        <v>812</v>
      </c>
      <c r="D152" s="6" t="s">
        <v>454</v>
      </c>
      <c r="E152" s="7" t="s">
        <v>455</v>
      </c>
      <c r="F152" s="7" t="s">
        <v>262</v>
      </c>
      <c r="G152" s="8" t="s">
        <v>816</v>
      </c>
      <c r="H152" s="8" t="s">
        <v>817</v>
      </c>
      <c r="I152" s="7" t="s">
        <v>25</v>
      </c>
      <c r="J152" s="15">
        <v>20</v>
      </c>
    </row>
    <row r="153" spans="1:10" ht="78" x14ac:dyDescent="0.2">
      <c r="A153" s="7" t="s">
        <v>2114</v>
      </c>
      <c r="B153" s="8" t="s">
        <v>206</v>
      </c>
      <c r="C153" s="8" t="s">
        <v>812</v>
      </c>
      <c r="D153" s="6" t="s">
        <v>454</v>
      </c>
      <c r="E153" s="7" t="s">
        <v>455</v>
      </c>
      <c r="F153" s="7" t="s">
        <v>262</v>
      </c>
      <c r="G153" s="8" t="s">
        <v>818</v>
      </c>
      <c r="H153" s="8" t="s">
        <v>819</v>
      </c>
      <c r="I153" s="7" t="s">
        <v>17</v>
      </c>
      <c r="J153" s="15">
        <v>20</v>
      </c>
    </row>
    <row r="154" spans="1:10" ht="78" x14ac:dyDescent="0.2">
      <c r="A154" s="7" t="s">
        <v>2114</v>
      </c>
      <c r="B154" s="8" t="s">
        <v>206</v>
      </c>
      <c r="C154" s="8" t="s">
        <v>812</v>
      </c>
      <c r="D154" s="6" t="s">
        <v>454</v>
      </c>
      <c r="E154" s="7" t="s">
        <v>455</v>
      </c>
      <c r="F154" s="7" t="s">
        <v>262</v>
      </c>
      <c r="G154" s="8" t="s">
        <v>511</v>
      </c>
      <c r="H154" s="8" t="s">
        <v>820</v>
      </c>
      <c r="I154" s="7" t="s">
        <v>25</v>
      </c>
      <c r="J154" s="15">
        <v>25</v>
      </c>
    </row>
    <row r="155" spans="1:10" ht="65" x14ac:dyDescent="0.2">
      <c r="A155" s="7" t="s">
        <v>2114</v>
      </c>
      <c r="B155" s="8" t="s">
        <v>206</v>
      </c>
      <c r="C155" s="8" t="s">
        <v>847</v>
      </c>
      <c r="D155" s="6" t="s">
        <v>505</v>
      </c>
      <c r="E155" s="7" t="s">
        <v>506</v>
      </c>
      <c r="F155" s="7" t="s">
        <v>262</v>
      </c>
      <c r="G155" s="8" t="s">
        <v>848</v>
      </c>
      <c r="H155" s="8" t="s">
        <v>849</v>
      </c>
      <c r="I155" s="7" t="s">
        <v>17</v>
      </c>
      <c r="J155" s="15">
        <v>20</v>
      </c>
    </row>
    <row r="156" spans="1:10" ht="65" x14ac:dyDescent="0.2">
      <c r="A156" s="7" t="s">
        <v>2114</v>
      </c>
      <c r="B156" s="8" t="s">
        <v>206</v>
      </c>
      <c r="C156" s="8" t="s">
        <v>847</v>
      </c>
      <c r="D156" s="6" t="s">
        <v>505</v>
      </c>
      <c r="E156" s="7" t="s">
        <v>506</v>
      </c>
      <c r="F156" s="7" t="s">
        <v>262</v>
      </c>
      <c r="G156" s="8" t="s">
        <v>850</v>
      </c>
      <c r="H156" s="8" t="s">
        <v>461</v>
      </c>
      <c r="I156" s="7" t="s">
        <v>25</v>
      </c>
      <c r="J156" s="15">
        <v>15</v>
      </c>
    </row>
    <row r="157" spans="1:10" ht="39" x14ac:dyDescent="0.2">
      <c r="A157" s="7" t="s">
        <v>2114</v>
      </c>
      <c r="B157" s="8" t="s">
        <v>206</v>
      </c>
      <c r="C157" s="8" t="s">
        <v>847</v>
      </c>
      <c r="D157" s="6" t="s">
        <v>505</v>
      </c>
      <c r="E157" s="7" t="s">
        <v>506</v>
      </c>
      <c r="F157" s="7" t="s">
        <v>262</v>
      </c>
      <c r="G157" s="8" t="s">
        <v>851</v>
      </c>
      <c r="H157" s="8" t="s">
        <v>852</v>
      </c>
      <c r="I157" s="7" t="s">
        <v>25</v>
      </c>
      <c r="J157" s="15">
        <v>20</v>
      </c>
    </row>
    <row r="158" spans="1:10" ht="78" x14ac:dyDescent="0.2">
      <c r="A158" s="7" t="s">
        <v>2114</v>
      </c>
      <c r="B158" s="8" t="s">
        <v>206</v>
      </c>
      <c r="C158" s="8" t="s">
        <v>847</v>
      </c>
      <c r="D158" s="6" t="s">
        <v>505</v>
      </c>
      <c r="E158" s="7" t="s">
        <v>506</v>
      </c>
      <c r="F158" s="7" t="s">
        <v>262</v>
      </c>
      <c r="G158" s="8" t="s">
        <v>511</v>
      </c>
      <c r="H158" s="8" t="s">
        <v>853</v>
      </c>
      <c r="I158" s="7" t="s">
        <v>25</v>
      </c>
      <c r="J158" s="15">
        <v>25</v>
      </c>
    </row>
    <row r="159" spans="1:10" ht="91" x14ac:dyDescent="0.2">
      <c r="A159" s="7" t="s">
        <v>2114</v>
      </c>
      <c r="B159" s="8" t="s">
        <v>206</v>
      </c>
      <c r="C159" s="8" t="s">
        <v>847</v>
      </c>
      <c r="D159" s="6" t="s">
        <v>505</v>
      </c>
      <c r="E159" s="7" t="s">
        <v>506</v>
      </c>
      <c r="F159" s="7" t="s">
        <v>262</v>
      </c>
      <c r="G159" s="8" t="s">
        <v>816</v>
      </c>
      <c r="H159" s="8" t="s">
        <v>854</v>
      </c>
      <c r="I159" s="7" t="s">
        <v>25</v>
      </c>
      <c r="J159" s="15">
        <v>20</v>
      </c>
    </row>
    <row r="160" spans="1:10" ht="65" x14ac:dyDescent="0.2">
      <c r="A160" s="7" t="s">
        <v>2114</v>
      </c>
      <c r="B160" s="8" t="s">
        <v>206</v>
      </c>
      <c r="C160" s="8" t="s">
        <v>468</v>
      </c>
      <c r="D160" s="6" t="s">
        <v>466</v>
      </c>
      <c r="E160" s="7" t="s">
        <v>467</v>
      </c>
      <c r="F160" s="7" t="s">
        <v>262</v>
      </c>
      <c r="G160" s="8" t="s">
        <v>469</v>
      </c>
      <c r="H160" s="8" t="s">
        <v>470</v>
      </c>
      <c r="I160" s="7" t="s">
        <v>17</v>
      </c>
      <c r="J160" s="15">
        <v>20</v>
      </c>
    </row>
    <row r="161" spans="1:10" ht="52" x14ac:dyDescent="0.2">
      <c r="A161" s="7" t="s">
        <v>2114</v>
      </c>
      <c r="B161" s="8" t="s">
        <v>206</v>
      </c>
      <c r="C161" s="8" t="s">
        <v>468</v>
      </c>
      <c r="D161" s="6" t="s">
        <v>466</v>
      </c>
      <c r="E161" s="7" t="s">
        <v>467</v>
      </c>
      <c r="F161" s="7" t="s">
        <v>262</v>
      </c>
      <c r="G161" s="8" t="s">
        <v>471</v>
      </c>
      <c r="H161" s="8" t="s">
        <v>472</v>
      </c>
      <c r="I161" s="7" t="s">
        <v>25</v>
      </c>
      <c r="J161" s="15">
        <v>20</v>
      </c>
    </row>
    <row r="162" spans="1:10" ht="39" x14ac:dyDescent="0.2">
      <c r="A162" s="7" t="s">
        <v>2114</v>
      </c>
      <c r="B162" s="8" t="s">
        <v>206</v>
      </c>
      <c r="C162" s="8" t="s">
        <v>468</v>
      </c>
      <c r="D162" s="6" t="s">
        <v>466</v>
      </c>
      <c r="E162" s="7" t="s">
        <v>467</v>
      </c>
      <c r="F162" s="7" t="s">
        <v>262</v>
      </c>
      <c r="G162" s="8" t="s">
        <v>473</v>
      </c>
      <c r="H162" s="8" t="s">
        <v>474</v>
      </c>
      <c r="I162" s="7" t="s">
        <v>25</v>
      </c>
      <c r="J162" s="15">
        <v>20</v>
      </c>
    </row>
    <row r="163" spans="1:10" ht="52" x14ac:dyDescent="0.2">
      <c r="A163" s="7" t="s">
        <v>2114</v>
      </c>
      <c r="B163" s="8" t="s">
        <v>206</v>
      </c>
      <c r="C163" s="8" t="s">
        <v>468</v>
      </c>
      <c r="D163" s="6" t="s">
        <v>466</v>
      </c>
      <c r="E163" s="7" t="s">
        <v>467</v>
      </c>
      <c r="F163" s="7" t="s">
        <v>262</v>
      </c>
      <c r="G163" s="8" t="s">
        <v>475</v>
      </c>
      <c r="H163" s="8" t="s">
        <v>476</v>
      </c>
      <c r="I163" s="7" t="s">
        <v>25</v>
      </c>
      <c r="J163" s="15">
        <v>20</v>
      </c>
    </row>
    <row r="164" spans="1:10" ht="65" x14ac:dyDescent="0.2">
      <c r="A164" s="7" t="s">
        <v>2114</v>
      </c>
      <c r="B164" s="8" t="s">
        <v>206</v>
      </c>
      <c r="C164" s="8" t="s">
        <v>468</v>
      </c>
      <c r="D164" s="6" t="s">
        <v>466</v>
      </c>
      <c r="E164" s="7" t="s">
        <v>467</v>
      </c>
      <c r="F164" s="7" t="s">
        <v>262</v>
      </c>
      <c r="G164" s="8" t="s">
        <v>477</v>
      </c>
      <c r="H164" s="8" t="s">
        <v>478</v>
      </c>
      <c r="I164" s="7" t="s">
        <v>17</v>
      </c>
      <c r="J164" s="15">
        <v>20</v>
      </c>
    </row>
    <row r="165" spans="1:10" ht="78" x14ac:dyDescent="0.2">
      <c r="A165" s="7" t="s">
        <v>2114</v>
      </c>
      <c r="B165" s="8" t="s">
        <v>206</v>
      </c>
      <c r="C165" s="8" t="s">
        <v>2473</v>
      </c>
      <c r="D165" s="6" t="s">
        <v>208</v>
      </c>
      <c r="E165" s="7" t="s">
        <v>209</v>
      </c>
      <c r="F165" s="7" t="s">
        <v>262</v>
      </c>
      <c r="G165" s="8" t="s">
        <v>2474</v>
      </c>
      <c r="H165" s="8" t="s">
        <v>2475</v>
      </c>
      <c r="I165" s="7" t="s">
        <v>25</v>
      </c>
      <c r="J165" s="15">
        <v>10</v>
      </c>
    </row>
    <row r="166" spans="1:10" ht="65" x14ac:dyDescent="0.2">
      <c r="A166" s="7" t="s">
        <v>2114</v>
      </c>
      <c r="B166" s="8" t="s">
        <v>206</v>
      </c>
      <c r="C166" s="8" t="s">
        <v>2473</v>
      </c>
      <c r="D166" s="6" t="s">
        <v>208</v>
      </c>
      <c r="E166" s="7" t="s">
        <v>209</v>
      </c>
      <c r="F166" s="7" t="s">
        <v>262</v>
      </c>
      <c r="G166" s="8" t="s">
        <v>2476</v>
      </c>
      <c r="H166" s="8" t="s">
        <v>2477</v>
      </c>
      <c r="I166" s="7" t="s">
        <v>25</v>
      </c>
      <c r="J166" s="15">
        <v>25</v>
      </c>
    </row>
    <row r="167" spans="1:10" ht="78" x14ac:dyDescent="0.2">
      <c r="A167" s="7" t="s">
        <v>2114</v>
      </c>
      <c r="B167" s="8" t="s">
        <v>206</v>
      </c>
      <c r="C167" s="8" t="s">
        <v>2473</v>
      </c>
      <c r="D167" s="6" t="s">
        <v>208</v>
      </c>
      <c r="E167" s="7" t="s">
        <v>209</v>
      </c>
      <c r="F167" s="7" t="s">
        <v>262</v>
      </c>
      <c r="G167" s="8" t="s">
        <v>2478</v>
      </c>
      <c r="H167" s="8" t="s">
        <v>2479</v>
      </c>
      <c r="I167" s="7" t="s">
        <v>17</v>
      </c>
      <c r="J167" s="15">
        <v>25</v>
      </c>
    </row>
    <row r="168" spans="1:10" ht="78" x14ac:dyDescent="0.2">
      <c r="A168" s="7" t="s">
        <v>2114</v>
      </c>
      <c r="B168" s="8" t="s">
        <v>206</v>
      </c>
      <c r="C168" s="8" t="s">
        <v>2473</v>
      </c>
      <c r="D168" s="6" t="s">
        <v>208</v>
      </c>
      <c r="E168" s="7" t="s">
        <v>209</v>
      </c>
      <c r="F168" s="7" t="s">
        <v>262</v>
      </c>
      <c r="G168" s="8" t="s">
        <v>2480</v>
      </c>
      <c r="H168" s="8" t="s">
        <v>2481</v>
      </c>
      <c r="I168" s="7" t="s">
        <v>17</v>
      </c>
      <c r="J168" s="15">
        <v>25</v>
      </c>
    </row>
    <row r="169" spans="1:10" ht="91" x14ac:dyDescent="0.2">
      <c r="A169" s="7" t="s">
        <v>2114</v>
      </c>
      <c r="B169" s="8" t="s">
        <v>206</v>
      </c>
      <c r="C169" s="8" t="s">
        <v>2473</v>
      </c>
      <c r="D169" s="6" t="s">
        <v>208</v>
      </c>
      <c r="E169" s="7" t="s">
        <v>209</v>
      </c>
      <c r="F169" s="7" t="s">
        <v>262</v>
      </c>
      <c r="G169" s="8" t="s">
        <v>2482</v>
      </c>
      <c r="H169" s="8" t="s">
        <v>2483</v>
      </c>
      <c r="I169" s="7" t="s">
        <v>25</v>
      </c>
      <c r="J169" s="15">
        <v>15</v>
      </c>
    </row>
    <row r="170" spans="1:10" ht="52" x14ac:dyDescent="0.2">
      <c r="A170" s="7" t="s">
        <v>2114</v>
      </c>
      <c r="B170" s="8" t="s">
        <v>206</v>
      </c>
      <c r="C170" s="8" t="s">
        <v>1643</v>
      </c>
      <c r="D170" s="6" t="s">
        <v>570</v>
      </c>
      <c r="E170" s="7" t="s">
        <v>571</v>
      </c>
      <c r="F170" s="7" t="s">
        <v>262</v>
      </c>
      <c r="G170" s="8" t="s">
        <v>1644</v>
      </c>
      <c r="H170" s="8" t="s">
        <v>1645</v>
      </c>
      <c r="I170" s="7" t="s">
        <v>25</v>
      </c>
      <c r="J170" s="15">
        <v>20</v>
      </c>
    </row>
    <row r="171" spans="1:10" ht="65" x14ac:dyDescent="0.2">
      <c r="A171" s="7" t="s">
        <v>2114</v>
      </c>
      <c r="B171" s="8" t="s">
        <v>206</v>
      </c>
      <c r="C171" s="8" t="s">
        <v>1643</v>
      </c>
      <c r="D171" s="6" t="s">
        <v>570</v>
      </c>
      <c r="E171" s="7" t="s">
        <v>571</v>
      </c>
      <c r="F171" s="7" t="s">
        <v>262</v>
      </c>
      <c r="G171" s="8" t="s">
        <v>1646</v>
      </c>
      <c r="H171" s="8" t="s">
        <v>1647</v>
      </c>
      <c r="I171" s="7" t="s">
        <v>17</v>
      </c>
      <c r="J171" s="15">
        <v>20</v>
      </c>
    </row>
    <row r="172" spans="1:10" ht="72" customHeight="1" x14ac:dyDescent="0.2">
      <c r="A172" s="7" t="s">
        <v>2114</v>
      </c>
      <c r="B172" s="8" t="s">
        <v>206</v>
      </c>
      <c r="C172" s="8" t="s">
        <v>1643</v>
      </c>
      <c r="D172" s="6" t="s">
        <v>570</v>
      </c>
      <c r="E172" s="7" t="s">
        <v>571</v>
      </c>
      <c r="F172" s="7" t="s">
        <v>262</v>
      </c>
      <c r="G172" s="8" t="s">
        <v>1648</v>
      </c>
      <c r="H172" s="8" t="s">
        <v>1649</v>
      </c>
      <c r="I172" s="7" t="s">
        <v>17</v>
      </c>
      <c r="J172" s="15">
        <v>10</v>
      </c>
    </row>
    <row r="173" spans="1:10" ht="52" x14ac:dyDescent="0.2">
      <c r="A173" s="7" t="s">
        <v>2114</v>
      </c>
      <c r="B173" s="8" t="s">
        <v>206</v>
      </c>
      <c r="C173" s="8" t="s">
        <v>1643</v>
      </c>
      <c r="D173" s="6" t="s">
        <v>570</v>
      </c>
      <c r="E173" s="7" t="s">
        <v>571</v>
      </c>
      <c r="F173" s="7" t="s">
        <v>262</v>
      </c>
      <c r="G173" s="8" t="s">
        <v>1650</v>
      </c>
      <c r="H173" s="8" t="s">
        <v>1651</v>
      </c>
      <c r="I173" s="7" t="s">
        <v>25</v>
      </c>
      <c r="J173" s="15">
        <v>25</v>
      </c>
    </row>
    <row r="174" spans="1:10" ht="52" x14ac:dyDescent="0.2">
      <c r="A174" s="7" t="s">
        <v>2114</v>
      </c>
      <c r="B174" s="8" t="s">
        <v>206</v>
      </c>
      <c r="C174" s="8" t="s">
        <v>1643</v>
      </c>
      <c r="D174" s="6" t="s">
        <v>570</v>
      </c>
      <c r="E174" s="7" t="s">
        <v>571</v>
      </c>
      <c r="F174" s="7" t="s">
        <v>262</v>
      </c>
      <c r="G174" s="8" t="s">
        <v>953</v>
      </c>
      <c r="H174" s="8" t="s">
        <v>1652</v>
      </c>
      <c r="I174" s="7" t="s">
        <v>25</v>
      </c>
      <c r="J174" s="15">
        <v>25</v>
      </c>
    </row>
    <row r="175" spans="1:10" ht="52" x14ac:dyDescent="0.2">
      <c r="A175" s="7" t="s">
        <v>2114</v>
      </c>
      <c r="B175" s="8" t="s">
        <v>206</v>
      </c>
      <c r="C175" s="8" t="s">
        <v>2760</v>
      </c>
      <c r="D175" s="6" t="s">
        <v>343</v>
      </c>
      <c r="E175" s="7" t="s">
        <v>344</v>
      </c>
      <c r="F175" s="7" t="s">
        <v>262</v>
      </c>
      <c r="G175" s="8" t="s">
        <v>347</v>
      </c>
      <c r="H175" s="8" t="s">
        <v>2761</v>
      </c>
      <c r="I175" s="7" t="s">
        <v>25</v>
      </c>
      <c r="J175" s="15">
        <v>25</v>
      </c>
    </row>
    <row r="176" spans="1:10" ht="165.5" customHeight="1" x14ac:dyDescent="0.2">
      <c r="A176" s="7" t="s">
        <v>2114</v>
      </c>
      <c r="B176" s="8" t="s">
        <v>206</v>
      </c>
      <c r="C176" s="8" t="s">
        <v>2760</v>
      </c>
      <c r="D176" s="6" t="s">
        <v>343</v>
      </c>
      <c r="E176" s="7" t="s">
        <v>344</v>
      </c>
      <c r="F176" s="7" t="s">
        <v>262</v>
      </c>
      <c r="G176" s="8" t="s">
        <v>2762</v>
      </c>
      <c r="H176" s="8" t="s">
        <v>2763</v>
      </c>
      <c r="I176" s="7" t="s">
        <v>17</v>
      </c>
      <c r="J176" s="15">
        <v>25</v>
      </c>
    </row>
    <row r="177" spans="1:10" ht="69.5" customHeight="1" x14ac:dyDescent="0.2">
      <c r="A177" s="7" t="s">
        <v>2114</v>
      </c>
      <c r="B177" s="8" t="s">
        <v>206</v>
      </c>
      <c r="C177" s="8" t="s">
        <v>2760</v>
      </c>
      <c r="D177" s="6" t="s">
        <v>343</v>
      </c>
      <c r="E177" s="7" t="s">
        <v>344</v>
      </c>
      <c r="F177" s="7" t="s">
        <v>262</v>
      </c>
      <c r="G177" s="8" t="s">
        <v>2764</v>
      </c>
      <c r="H177" s="8" t="s">
        <v>2765</v>
      </c>
      <c r="I177" s="7" t="s">
        <v>25</v>
      </c>
      <c r="J177" s="15">
        <v>15</v>
      </c>
    </row>
    <row r="178" spans="1:10" ht="52" x14ac:dyDescent="0.2">
      <c r="A178" s="7" t="s">
        <v>2114</v>
      </c>
      <c r="B178" s="8" t="s">
        <v>206</v>
      </c>
      <c r="C178" s="8" t="s">
        <v>2760</v>
      </c>
      <c r="D178" s="6" t="s">
        <v>343</v>
      </c>
      <c r="E178" s="7" t="s">
        <v>344</v>
      </c>
      <c r="F178" s="7" t="s">
        <v>262</v>
      </c>
      <c r="G178" s="8" t="s">
        <v>2766</v>
      </c>
      <c r="H178" s="8" t="s">
        <v>2767</v>
      </c>
      <c r="I178" s="7" t="s">
        <v>17</v>
      </c>
      <c r="J178" s="15">
        <v>25</v>
      </c>
    </row>
    <row r="179" spans="1:10" ht="39" x14ac:dyDescent="0.2">
      <c r="A179" s="7" t="s">
        <v>2114</v>
      </c>
      <c r="B179" s="8" t="s">
        <v>206</v>
      </c>
      <c r="C179" s="8" t="s">
        <v>2760</v>
      </c>
      <c r="D179" s="6" t="s">
        <v>343</v>
      </c>
      <c r="E179" s="7" t="s">
        <v>344</v>
      </c>
      <c r="F179" s="7" t="s">
        <v>262</v>
      </c>
      <c r="G179" s="8" t="s">
        <v>2768</v>
      </c>
      <c r="H179" s="8" t="s">
        <v>2769</v>
      </c>
      <c r="I179" s="7" t="s">
        <v>25</v>
      </c>
      <c r="J179" s="15">
        <v>10</v>
      </c>
    </row>
    <row r="180" spans="1:10" ht="156" x14ac:dyDescent="0.2">
      <c r="A180" s="7" t="s">
        <v>2114</v>
      </c>
      <c r="B180" s="8" t="s">
        <v>584</v>
      </c>
      <c r="C180" s="8" t="s">
        <v>1561</v>
      </c>
      <c r="D180" s="6" t="s">
        <v>1559</v>
      </c>
      <c r="E180" s="7" t="s">
        <v>1560</v>
      </c>
      <c r="F180" s="7" t="s">
        <v>265</v>
      </c>
      <c r="G180" s="8" t="s">
        <v>1562</v>
      </c>
      <c r="H180" s="8" t="s">
        <v>3366</v>
      </c>
      <c r="I180" s="7" t="s">
        <v>25</v>
      </c>
      <c r="J180" s="13">
        <v>25</v>
      </c>
    </row>
    <row r="181" spans="1:10" ht="117" x14ac:dyDescent="0.2">
      <c r="A181" s="7" t="s">
        <v>2114</v>
      </c>
      <c r="B181" s="8" t="s">
        <v>584</v>
      </c>
      <c r="C181" s="8" t="s">
        <v>1561</v>
      </c>
      <c r="D181" s="6" t="s">
        <v>1559</v>
      </c>
      <c r="E181" s="7" t="s">
        <v>1560</v>
      </c>
      <c r="F181" s="7" t="s">
        <v>265</v>
      </c>
      <c r="G181" s="8" t="s">
        <v>3368</v>
      </c>
      <c r="H181" s="8" t="s">
        <v>3367</v>
      </c>
      <c r="I181" s="7" t="s">
        <v>25</v>
      </c>
      <c r="J181" s="13">
        <v>25</v>
      </c>
    </row>
    <row r="182" spans="1:10" ht="143" x14ac:dyDescent="0.2">
      <c r="A182" s="7" t="s">
        <v>2114</v>
      </c>
      <c r="B182" s="8" t="s">
        <v>584</v>
      </c>
      <c r="C182" s="8" t="s">
        <v>1561</v>
      </c>
      <c r="D182" s="6" t="s">
        <v>1559</v>
      </c>
      <c r="E182" s="7" t="s">
        <v>1560</v>
      </c>
      <c r="F182" s="7" t="s">
        <v>265</v>
      </c>
      <c r="G182" s="8" t="s">
        <v>1563</v>
      </c>
      <c r="H182" s="8" t="s">
        <v>3369</v>
      </c>
      <c r="I182" s="7" t="s">
        <v>25</v>
      </c>
      <c r="J182" s="13">
        <v>25</v>
      </c>
    </row>
    <row r="183" spans="1:10" ht="143" x14ac:dyDescent="0.2">
      <c r="A183" s="7" t="s">
        <v>2114</v>
      </c>
      <c r="B183" s="8" t="s">
        <v>584</v>
      </c>
      <c r="C183" s="8" t="s">
        <v>1561</v>
      </c>
      <c r="D183" s="6" t="s">
        <v>1559</v>
      </c>
      <c r="E183" s="7" t="s">
        <v>1560</v>
      </c>
      <c r="F183" s="7" t="s">
        <v>265</v>
      </c>
      <c r="G183" s="8" t="s">
        <v>1564</v>
      </c>
      <c r="H183" s="8" t="s">
        <v>3370</v>
      </c>
      <c r="I183" s="7" t="s">
        <v>25</v>
      </c>
      <c r="J183" s="13">
        <v>25</v>
      </c>
    </row>
    <row r="184" spans="1:10" ht="117" x14ac:dyDescent="0.2">
      <c r="A184" s="7" t="s">
        <v>2114</v>
      </c>
      <c r="B184" s="8" t="s">
        <v>584</v>
      </c>
      <c r="C184" s="8" t="s">
        <v>585</v>
      </c>
      <c r="D184" s="6" t="s">
        <v>582</v>
      </c>
      <c r="E184" s="7" t="s">
        <v>583</v>
      </c>
      <c r="F184" s="7" t="s">
        <v>587</v>
      </c>
      <c r="G184" s="8" t="s">
        <v>588</v>
      </c>
      <c r="H184" s="8" t="s">
        <v>589</v>
      </c>
      <c r="I184" s="7" t="s">
        <v>25</v>
      </c>
      <c r="J184" s="15">
        <v>20</v>
      </c>
    </row>
    <row r="185" spans="1:10" ht="104" x14ac:dyDescent="0.2">
      <c r="A185" s="7" t="s">
        <v>2114</v>
      </c>
      <c r="B185" s="8" t="s">
        <v>584</v>
      </c>
      <c r="C185" s="8" t="s">
        <v>585</v>
      </c>
      <c r="D185" s="6" t="s">
        <v>582</v>
      </c>
      <c r="E185" s="7" t="s">
        <v>583</v>
      </c>
      <c r="F185" s="7" t="s">
        <v>587</v>
      </c>
      <c r="G185" s="8" t="s">
        <v>590</v>
      </c>
      <c r="H185" s="8" t="s">
        <v>591</v>
      </c>
      <c r="I185" s="7" t="s">
        <v>25</v>
      </c>
      <c r="J185" s="15">
        <v>20</v>
      </c>
    </row>
    <row r="186" spans="1:10" ht="91" x14ac:dyDescent="0.2">
      <c r="A186" s="7" t="s">
        <v>2114</v>
      </c>
      <c r="B186" s="8" t="s">
        <v>584</v>
      </c>
      <c r="C186" s="8" t="s">
        <v>585</v>
      </c>
      <c r="D186" s="6" t="s">
        <v>582</v>
      </c>
      <c r="E186" s="7" t="s">
        <v>583</v>
      </c>
      <c r="F186" s="7" t="s">
        <v>587</v>
      </c>
      <c r="G186" s="8" t="s">
        <v>592</v>
      </c>
      <c r="H186" s="8" t="s">
        <v>593</v>
      </c>
      <c r="I186" s="7" t="s">
        <v>25</v>
      </c>
      <c r="J186" s="15">
        <v>20</v>
      </c>
    </row>
    <row r="187" spans="1:10" ht="91" x14ac:dyDescent="0.2">
      <c r="A187" s="7" t="s">
        <v>2114</v>
      </c>
      <c r="B187" s="8" t="s">
        <v>584</v>
      </c>
      <c r="C187" s="8" t="s">
        <v>585</v>
      </c>
      <c r="D187" s="6" t="s">
        <v>582</v>
      </c>
      <c r="E187" s="7" t="s">
        <v>583</v>
      </c>
      <c r="F187" s="7" t="s">
        <v>587</v>
      </c>
      <c r="G187" s="8" t="s">
        <v>594</v>
      </c>
      <c r="H187" s="8" t="s">
        <v>595</v>
      </c>
      <c r="I187" s="7" t="s">
        <v>17</v>
      </c>
      <c r="J187" s="15">
        <v>20</v>
      </c>
    </row>
    <row r="188" spans="1:10" ht="117" x14ac:dyDescent="0.2">
      <c r="A188" s="7" t="s">
        <v>2114</v>
      </c>
      <c r="B188" s="8" t="s">
        <v>584</v>
      </c>
      <c r="C188" s="8" t="s">
        <v>585</v>
      </c>
      <c r="D188" s="6" t="s">
        <v>582</v>
      </c>
      <c r="E188" s="7" t="s">
        <v>583</v>
      </c>
      <c r="F188" s="7" t="s">
        <v>587</v>
      </c>
      <c r="G188" s="8" t="s">
        <v>596</v>
      </c>
      <c r="H188" s="8" t="s">
        <v>597</v>
      </c>
      <c r="I188" s="7" t="s">
        <v>25</v>
      </c>
      <c r="J188" s="15">
        <v>20</v>
      </c>
    </row>
    <row r="189" spans="1:10" ht="91" x14ac:dyDescent="0.2">
      <c r="A189" s="7" t="s">
        <v>2114</v>
      </c>
      <c r="B189" s="8" t="s">
        <v>584</v>
      </c>
      <c r="C189" s="8" t="s">
        <v>585</v>
      </c>
      <c r="D189" s="6" t="s">
        <v>2816</v>
      </c>
      <c r="E189" s="7" t="s">
        <v>2817</v>
      </c>
      <c r="F189" s="7" t="s">
        <v>587</v>
      </c>
      <c r="G189" s="8" t="s">
        <v>592</v>
      </c>
      <c r="H189" s="8" t="s">
        <v>2818</v>
      </c>
      <c r="I189" s="7" t="s">
        <v>25</v>
      </c>
      <c r="J189" s="15">
        <v>25</v>
      </c>
    </row>
    <row r="190" spans="1:10" ht="104" x14ac:dyDescent="0.2">
      <c r="A190" s="7" t="s">
        <v>2114</v>
      </c>
      <c r="B190" s="8" t="s">
        <v>584</v>
      </c>
      <c r="C190" s="8" t="s">
        <v>585</v>
      </c>
      <c r="D190" s="6" t="s">
        <v>2816</v>
      </c>
      <c r="E190" s="7" t="s">
        <v>2817</v>
      </c>
      <c r="F190" s="7" t="s">
        <v>587</v>
      </c>
      <c r="G190" s="8" t="s">
        <v>1729</v>
      </c>
      <c r="H190" s="8" t="s">
        <v>2819</v>
      </c>
      <c r="I190" s="7" t="s">
        <v>25</v>
      </c>
      <c r="J190" s="15">
        <v>25</v>
      </c>
    </row>
    <row r="191" spans="1:10" ht="117" x14ac:dyDescent="0.2">
      <c r="A191" s="7" t="s">
        <v>2114</v>
      </c>
      <c r="B191" s="8" t="s">
        <v>584</v>
      </c>
      <c r="C191" s="8" t="s">
        <v>585</v>
      </c>
      <c r="D191" s="6" t="s">
        <v>2816</v>
      </c>
      <c r="E191" s="7" t="s">
        <v>2817</v>
      </c>
      <c r="F191" s="7" t="s">
        <v>587</v>
      </c>
      <c r="G191" s="8" t="s">
        <v>1724</v>
      </c>
      <c r="H191" s="8" t="s">
        <v>2820</v>
      </c>
      <c r="I191" s="7" t="s">
        <v>25</v>
      </c>
      <c r="J191" s="15">
        <v>25</v>
      </c>
    </row>
    <row r="192" spans="1:10" ht="117" x14ac:dyDescent="0.2">
      <c r="A192" s="7" t="s">
        <v>2114</v>
      </c>
      <c r="B192" s="8" t="s">
        <v>584</v>
      </c>
      <c r="C192" s="8" t="s">
        <v>585</v>
      </c>
      <c r="D192" s="6" t="s">
        <v>2816</v>
      </c>
      <c r="E192" s="7" t="s">
        <v>2817</v>
      </c>
      <c r="F192" s="7" t="s">
        <v>587</v>
      </c>
      <c r="G192" s="8" t="s">
        <v>596</v>
      </c>
      <c r="H192" s="8" t="s">
        <v>2821</v>
      </c>
      <c r="I192" s="7" t="s">
        <v>25</v>
      </c>
      <c r="J192" s="15">
        <v>25</v>
      </c>
    </row>
    <row r="193" spans="1:10" ht="169" x14ac:dyDescent="0.2">
      <c r="A193" s="7" t="s">
        <v>2114</v>
      </c>
      <c r="B193" s="8" t="s">
        <v>584</v>
      </c>
      <c r="C193" s="8" t="s">
        <v>585</v>
      </c>
      <c r="D193" s="6" t="s">
        <v>2877</v>
      </c>
      <c r="E193" s="7" t="s">
        <v>2878</v>
      </c>
      <c r="F193" s="7" t="s">
        <v>587</v>
      </c>
      <c r="G193" s="8" t="s">
        <v>2879</v>
      </c>
      <c r="H193" s="8" t="s">
        <v>2880</v>
      </c>
      <c r="I193" s="7" t="s">
        <v>17</v>
      </c>
      <c r="J193" s="15">
        <v>25</v>
      </c>
    </row>
    <row r="194" spans="1:10" ht="130" x14ac:dyDescent="0.2">
      <c r="A194" s="7" t="s">
        <v>2114</v>
      </c>
      <c r="B194" s="8" t="s">
        <v>584</v>
      </c>
      <c r="C194" s="8" t="s">
        <v>585</v>
      </c>
      <c r="D194" s="6" t="s">
        <v>2877</v>
      </c>
      <c r="E194" s="7" t="s">
        <v>2878</v>
      </c>
      <c r="F194" s="7" t="s">
        <v>587</v>
      </c>
      <c r="G194" s="8" t="s">
        <v>2881</v>
      </c>
      <c r="H194" s="8" t="s">
        <v>2882</v>
      </c>
      <c r="I194" s="7" t="s">
        <v>25</v>
      </c>
      <c r="J194" s="15">
        <v>25</v>
      </c>
    </row>
    <row r="195" spans="1:10" ht="182" x14ac:dyDescent="0.2">
      <c r="A195" s="7" t="s">
        <v>2114</v>
      </c>
      <c r="B195" s="8" t="s">
        <v>584</v>
      </c>
      <c r="C195" s="8" t="s">
        <v>585</v>
      </c>
      <c r="D195" s="6" t="s">
        <v>2877</v>
      </c>
      <c r="E195" s="7" t="s">
        <v>2878</v>
      </c>
      <c r="F195" s="7" t="s">
        <v>587</v>
      </c>
      <c r="G195" s="8" t="s">
        <v>2883</v>
      </c>
      <c r="H195" s="8" t="s">
        <v>2884</v>
      </c>
      <c r="I195" s="7" t="s">
        <v>25</v>
      </c>
      <c r="J195" s="15">
        <v>25</v>
      </c>
    </row>
    <row r="196" spans="1:10" ht="91" x14ac:dyDescent="0.2">
      <c r="A196" s="7" t="s">
        <v>2114</v>
      </c>
      <c r="B196" s="8" t="s">
        <v>584</v>
      </c>
      <c r="C196" s="8" t="s">
        <v>585</v>
      </c>
      <c r="D196" s="6" t="s">
        <v>2877</v>
      </c>
      <c r="E196" s="7" t="s">
        <v>2878</v>
      </c>
      <c r="F196" s="7" t="s">
        <v>587</v>
      </c>
      <c r="G196" s="8" t="s">
        <v>2885</v>
      </c>
      <c r="H196" s="8" t="s">
        <v>2886</v>
      </c>
      <c r="I196" s="7" t="s">
        <v>25</v>
      </c>
      <c r="J196" s="15">
        <v>25</v>
      </c>
    </row>
    <row r="197" spans="1:10" ht="117" x14ac:dyDescent="0.2">
      <c r="A197" s="7" t="s">
        <v>2114</v>
      </c>
      <c r="B197" s="8" t="s">
        <v>584</v>
      </c>
      <c r="C197" s="8" t="s">
        <v>1723</v>
      </c>
      <c r="D197" s="6" t="s">
        <v>1721</v>
      </c>
      <c r="E197" s="7" t="s">
        <v>1722</v>
      </c>
      <c r="F197" s="7" t="s">
        <v>587</v>
      </c>
      <c r="G197" s="8" t="s">
        <v>1724</v>
      </c>
      <c r="H197" s="8" t="s">
        <v>1725</v>
      </c>
      <c r="I197" s="7" t="s">
        <v>25</v>
      </c>
      <c r="J197" s="15">
        <v>25</v>
      </c>
    </row>
    <row r="198" spans="1:10" ht="78" x14ac:dyDescent="0.2">
      <c r="A198" s="7" t="s">
        <v>2114</v>
      </c>
      <c r="B198" s="8" t="s">
        <v>584</v>
      </c>
      <c r="C198" s="8" t="s">
        <v>1723</v>
      </c>
      <c r="D198" s="6" t="s">
        <v>1721</v>
      </c>
      <c r="E198" s="7" t="s">
        <v>1722</v>
      </c>
      <c r="F198" s="7" t="s">
        <v>587</v>
      </c>
      <c r="G198" s="8" t="s">
        <v>1726</v>
      </c>
      <c r="H198" s="8" t="s">
        <v>1727</v>
      </c>
      <c r="I198" s="7" t="s">
        <v>17</v>
      </c>
      <c r="J198" s="15">
        <v>25</v>
      </c>
    </row>
    <row r="199" spans="1:10" ht="117" x14ac:dyDescent="0.2">
      <c r="A199" s="7" t="s">
        <v>2114</v>
      </c>
      <c r="B199" s="8" t="s">
        <v>584</v>
      </c>
      <c r="C199" s="8" t="s">
        <v>1723</v>
      </c>
      <c r="D199" s="6" t="s">
        <v>1721</v>
      </c>
      <c r="E199" s="7" t="s">
        <v>1722</v>
      </c>
      <c r="F199" s="7" t="s">
        <v>587</v>
      </c>
      <c r="G199" s="8" t="s">
        <v>596</v>
      </c>
      <c r="H199" s="8" t="s">
        <v>1728</v>
      </c>
      <c r="I199" s="7" t="s">
        <v>25</v>
      </c>
      <c r="J199" s="15">
        <v>25</v>
      </c>
    </row>
    <row r="200" spans="1:10" ht="104" x14ac:dyDescent="0.2">
      <c r="A200" s="7" t="s">
        <v>2114</v>
      </c>
      <c r="B200" s="8" t="s">
        <v>584</v>
      </c>
      <c r="C200" s="8" t="s">
        <v>1723</v>
      </c>
      <c r="D200" s="6" t="s">
        <v>1721</v>
      </c>
      <c r="E200" s="7" t="s">
        <v>1722</v>
      </c>
      <c r="F200" s="7" t="s">
        <v>587</v>
      </c>
      <c r="G200" s="8" t="s">
        <v>1729</v>
      </c>
      <c r="H200" s="8" t="s">
        <v>1730</v>
      </c>
      <c r="I200" s="7" t="s">
        <v>25</v>
      </c>
      <c r="J200" s="15">
        <v>25</v>
      </c>
    </row>
    <row r="201" spans="1:10" ht="104" x14ac:dyDescent="0.2">
      <c r="A201" s="7" t="s">
        <v>2114</v>
      </c>
      <c r="B201" s="8" t="s">
        <v>584</v>
      </c>
      <c r="C201" s="8" t="s">
        <v>2545</v>
      </c>
      <c r="D201" s="6" t="s">
        <v>586</v>
      </c>
      <c r="E201" s="7" t="s">
        <v>587</v>
      </c>
      <c r="F201" s="7" t="s">
        <v>1560</v>
      </c>
      <c r="G201" s="8" t="s">
        <v>590</v>
      </c>
      <c r="H201" s="8" t="s">
        <v>2546</v>
      </c>
      <c r="I201" s="7" t="s">
        <v>25</v>
      </c>
      <c r="J201" s="15">
        <v>25</v>
      </c>
    </row>
    <row r="202" spans="1:10" ht="117" x14ac:dyDescent="0.2">
      <c r="A202" s="7" t="s">
        <v>2114</v>
      </c>
      <c r="B202" s="8" t="s">
        <v>584</v>
      </c>
      <c r="C202" s="8" t="s">
        <v>2545</v>
      </c>
      <c r="D202" s="6" t="s">
        <v>586</v>
      </c>
      <c r="E202" s="7" t="s">
        <v>587</v>
      </c>
      <c r="F202" s="7" t="s">
        <v>1560</v>
      </c>
      <c r="G202" s="8" t="s">
        <v>588</v>
      </c>
      <c r="H202" s="8" t="s">
        <v>2547</v>
      </c>
      <c r="I202" s="7" t="s">
        <v>25</v>
      </c>
      <c r="J202" s="15">
        <v>25</v>
      </c>
    </row>
    <row r="203" spans="1:10" ht="117" x14ac:dyDescent="0.2">
      <c r="A203" s="7" t="s">
        <v>2114</v>
      </c>
      <c r="B203" s="8" t="s">
        <v>584</v>
      </c>
      <c r="C203" s="8" t="s">
        <v>2545</v>
      </c>
      <c r="D203" s="6" t="s">
        <v>586</v>
      </c>
      <c r="E203" s="7" t="s">
        <v>587</v>
      </c>
      <c r="F203" s="7" t="s">
        <v>1560</v>
      </c>
      <c r="G203" s="8" t="s">
        <v>596</v>
      </c>
      <c r="H203" s="8" t="s">
        <v>2548</v>
      </c>
      <c r="I203" s="7" t="s">
        <v>25</v>
      </c>
      <c r="J203" s="15">
        <v>25</v>
      </c>
    </row>
    <row r="204" spans="1:10" ht="91" x14ac:dyDescent="0.2">
      <c r="A204" s="7" t="s">
        <v>2114</v>
      </c>
      <c r="B204" s="8" t="s">
        <v>584</v>
      </c>
      <c r="C204" s="8" t="s">
        <v>2545</v>
      </c>
      <c r="D204" s="6" t="s">
        <v>586</v>
      </c>
      <c r="E204" s="7" t="s">
        <v>587</v>
      </c>
      <c r="F204" s="7" t="s">
        <v>1560</v>
      </c>
      <c r="G204" s="8" t="s">
        <v>592</v>
      </c>
      <c r="H204" s="8" t="s">
        <v>2549</v>
      </c>
      <c r="I204" s="7" t="s">
        <v>25</v>
      </c>
      <c r="J204" s="15">
        <v>25</v>
      </c>
    </row>
    <row r="205" spans="1:10" ht="65" x14ac:dyDescent="0.2">
      <c r="A205" s="7" t="s">
        <v>2114</v>
      </c>
      <c r="B205" s="8" t="s">
        <v>73</v>
      </c>
      <c r="C205" s="8" t="s">
        <v>722</v>
      </c>
      <c r="D205" s="6" t="s">
        <v>720</v>
      </c>
      <c r="E205" s="7" t="s">
        <v>721</v>
      </c>
      <c r="F205" s="7" t="s">
        <v>76</v>
      </c>
      <c r="G205" s="8" t="s">
        <v>723</v>
      </c>
      <c r="H205" s="8" t="s">
        <v>724</v>
      </c>
      <c r="I205" s="7" t="s">
        <v>17</v>
      </c>
      <c r="J205" s="15">
        <v>15</v>
      </c>
    </row>
    <row r="206" spans="1:10" ht="52" x14ac:dyDescent="0.2">
      <c r="A206" s="7" t="s">
        <v>2114</v>
      </c>
      <c r="B206" s="8" t="s">
        <v>73</v>
      </c>
      <c r="C206" s="8" t="s">
        <v>722</v>
      </c>
      <c r="D206" s="6" t="s">
        <v>720</v>
      </c>
      <c r="E206" s="7" t="s">
        <v>721</v>
      </c>
      <c r="F206" s="7" t="s">
        <v>76</v>
      </c>
      <c r="G206" s="8" t="s">
        <v>725</v>
      </c>
      <c r="H206" s="8" t="s">
        <v>726</v>
      </c>
      <c r="I206" s="7" t="s">
        <v>17</v>
      </c>
      <c r="J206" s="15">
        <v>15</v>
      </c>
    </row>
    <row r="207" spans="1:10" ht="52" x14ac:dyDescent="0.2">
      <c r="A207" s="7" t="s">
        <v>2114</v>
      </c>
      <c r="B207" s="8" t="s">
        <v>73</v>
      </c>
      <c r="C207" s="8" t="s">
        <v>722</v>
      </c>
      <c r="D207" s="6" t="s">
        <v>720</v>
      </c>
      <c r="E207" s="7" t="s">
        <v>721</v>
      </c>
      <c r="F207" s="7" t="s">
        <v>76</v>
      </c>
      <c r="G207" s="8" t="s">
        <v>727</v>
      </c>
      <c r="H207" s="8" t="s">
        <v>728</v>
      </c>
      <c r="I207" s="7" t="s">
        <v>17</v>
      </c>
      <c r="J207" s="15">
        <v>35</v>
      </c>
    </row>
    <row r="208" spans="1:10" ht="52" x14ac:dyDescent="0.2">
      <c r="A208" s="7" t="s">
        <v>2114</v>
      </c>
      <c r="B208" s="8" t="s">
        <v>73</v>
      </c>
      <c r="C208" s="8" t="s">
        <v>722</v>
      </c>
      <c r="D208" s="6" t="s">
        <v>720</v>
      </c>
      <c r="E208" s="7" t="s">
        <v>721</v>
      </c>
      <c r="F208" s="7" t="s">
        <v>76</v>
      </c>
      <c r="G208" s="8" t="s">
        <v>729</v>
      </c>
      <c r="H208" s="8" t="s">
        <v>730</v>
      </c>
      <c r="I208" s="7" t="s">
        <v>17</v>
      </c>
      <c r="J208" s="15">
        <v>35</v>
      </c>
    </row>
    <row r="209" spans="1:10" ht="117" x14ac:dyDescent="0.2">
      <c r="A209" s="7" t="s">
        <v>2114</v>
      </c>
      <c r="B209" s="8" t="s">
        <v>73</v>
      </c>
      <c r="C209" s="8" t="s">
        <v>1565</v>
      </c>
      <c r="D209" s="6" t="s">
        <v>824</v>
      </c>
      <c r="E209" s="7" t="s">
        <v>825</v>
      </c>
      <c r="F209" s="7" t="s">
        <v>265</v>
      </c>
      <c r="G209" s="8" t="s">
        <v>1566</v>
      </c>
      <c r="H209" s="8" t="s">
        <v>3371</v>
      </c>
      <c r="I209" s="7" t="s">
        <v>25</v>
      </c>
      <c r="J209" s="13">
        <v>20</v>
      </c>
    </row>
    <row r="210" spans="1:10" ht="143" x14ac:dyDescent="0.2">
      <c r="A210" s="7" t="s">
        <v>2114</v>
      </c>
      <c r="B210" s="8" t="s">
        <v>73</v>
      </c>
      <c r="C210" s="8" t="s">
        <v>1565</v>
      </c>
      <c r="D210" s="6" t="s">
        <v>824</v>
      </c>
      <c r="E210" s="7" t="s">
        <v>825</v>
      </c>
      <c r="F210" s="7" t="s">
        <v>265</v>
      </c>
      <c r="G210" s="8" t="s">
        <v>1567</v>
      </c>
      <c r="H210" s="8" t="s">
        <v>3372</v>
      </c>
      <c r="I210" s="7" t="s">
        <v>25</v>
      </c>
      <c r="J210" s="13">
        <v>15</v>
      </c>
    </row>
    <row r="211" spans="1:10" ht="143" x14ac:dyDescent="0.2">
      <c r="A211" s="7" t="s">
        <v>2114</v>
      </c>
      <c r="B211" s="8" t="s">
        <v>73</v>
      </c>
      <c r="C211" s="8" t="s">
        <v>1565</v>
      </c>
      <c r="D211" s="6" t="s">
        <v>824</v>
      </c>
      <c r="E211" s="7" t="s">
        <v>825</v>
      </c>
      <c r="F211" s="7" t="s">
        <v>265</v>
      </c>
      <c r="G211" s="8" t="s">
        <v>1568</v>
      </c>
      <c r="H211" s="8" t="s">
        <v>3373</v>
      </c>
      <c r="I211" s="7" t="s">
        <v>25</v>
      </c>
      <c r="J211" s="13">
        <v>15</v>
      </c>
    </row>
    <row r="212" spans="1:10" ht="78" x14ac:dyDescent="0.2">
      <c r="A212" s="7" t="s">
        <v>2114</v>
      </c>
      <c r="B212" s="8" t="s">
        <v>73</v>
      </c>
      <c r="C212" s="8" t="s">
        <v>1565</v>
      </c>
      <c r="D212" s="6" t="s">
        <v>824</v>
      </c>
      <c r="E212" s="7" t="s">
        <v>825</v>
      </c>
      <c r="F212" s="7" t="s">
        <v>265</v>
      </c>
      <c r="G212" s="8" t="s">
        <v>1569</v>
      </c>
      <c r="H212" s="8" t="s">
        <v>3374</v>
      </c>
      <c r="I212" s="7" t="s">
        <v>25</v>
      </c>
      <c r="J212" s="13">
        <v>25</v>
      </c>
    </row>
    <row r="213" spans="1:10" ht="104" x14ac:dyDescent="0.2">
      <c r="A213" s="7" t="s">
        <v>2114</v>
      </c>
      <c r="B213" s="8" t="s">
        <v>73</v>
      </c>
      <c r="C213" s="8" t="s">
        <v>1565</v>
      </c>
      <c r="D213" s="6" t="s">
        <v>824</v>
      </c>
      <c r="E213" s="7" t="s">
        <v>825</v>
      </c>
      <c r="F213" s="7" t="s">
        <v>265</v>
      </c>
      <c r="G213" s="8" t="s">
        <v>1570</v>
      </c>
      <c r="H213" s="8" t="s">
        <v>3375</v>
      </c>
      <c r="I213" s="7" t="s">
        <v>25</v>
      </c>
      <c r="J213" s="13">
        <v>25</v>
      </c>
    </row>
    <row r="214" spans="1:10" ht="39" x14ac:dyDescent="0.2">
      <c r="A214" s="7" t="s">
        <v>2114</v>
      </c>
      <c r="B214" s="8" t="s">
        <v>73</v>
      </c>
      <c r="C214" s="8" t="s">
        <v>74</v>
      </c>
      <c r="D214" s="6" t="s">
        <v>71</v>
      </c>
      <c r="E214" s="7" t="s">
        <v>72</v>
      </c>
      <c r="F214" s="7" t="s">
        <v>76</v>
      </c>
      <c r="G214" s="8" t="s">
        <v>77</v>
      </c>
      <c r="H214" s="8" t="s">
        <v>78</v>
      </c>
      <c r="I214" s="7" t="s">
        <v>17</v>
      </c>
      <c r="J214" s="15">
        <v>30</v>
      </c>
    </row>
    <row r="215" spans="1:10" ht="65" x14ac:dyDescent="0.2">
      <c r="A215" s="7" t="s">
        <v>2114</v>
      </c>
      <c r="B215" s="8" t="s">
        <v>73</v>
      </c>
      <c r="C215" s="8" t="s">
        <v>74</v>
      </c>
      <c r="D215" s="6" t="s">
        <v>71</v>
      </c>
      <c r="E215" s="7" t="s">
        <v>72</v>
      </c>
      <c r="F215" s="7" t="s">
        <v>76</v>
      </c>
      <c r="G215" s="8" t="s">
        <v>79</v>
      </c>
      <c r="H215" s="8" t="s">
        <v>80</v>
      </c>
      <c r="I215" s="7" t="s">
        <v>17</v>
      </c>
      <c r="J215" s="15">
        <v>20</v>
      </c>
    </row>
    <row r="216" spans="1:10" ht="52" x14ac:dyDescent="0.2">
      <c r="A216" s="7" t="s">
        <v>2114</v>
      </c>
      <c r="B216" s="8" t="s">
        <v>73</v>
      </c>
      <c r="C216" s="8" t="s">
        <v>74</v>
      </c>
      <c r="D216" s="6" t="s">
        <v>71</v>
      </c>
      <c r="E216" s="7" t="s">
        <v>72</v>
      </c>
      <c r="F216" s="7" t="s">
        <v>76</v>
      </c>
      <c r="G216" s="8" t="s">
        <v>81</v>
      </c>
      <c r="H216" s="8" t="s">
        <v>82</v>
      </c>
      <c r="I216" s="7" t="s">
        <v>17</v>
      </c>
      <c r="J216" s="15">
        <v>15</v>
      </c>
    </row>
    <row r="217" spans="1:10" ht="52" x14ac:dyDescent="0.2">
      <c r="A217" s="7" t="s">
        <v>2114</v>
      </c>
      <c r="B217" s="8" t="s">
        <v>73</v>
      </c>
      <c r="C217" s="8" t="s">
        <v>74</v>
      </c>
      <c r="D217" s="6" t="s">
        <v>71</v>
      </c>
      <c r="E217" s="7" t="s">
        <v>72</v>
      </c>
      <c r="F217" s="7" t="s">
        <v>76</v>
      </c>
      <c r="G217" s="8" t="s">
        <v>83</v>
      </c>
      <c r="H217" s="8" t="s">
        <v>84</v>
      </c>
      <c r="I217" s="7" t="s">
        <v>17</v>
      </c>
      <c r="J217" s="15">
        <v>35</v>
      </c>
    </row>
    <row r="218" spans="1:10" ht="39" x14ac:dyDescent="0.2">
      <c r="A218" s="7" t="s">
        <v>2114</v>
      </c>
      <c r="B218" s="8" t="s">
        <v>73</v>
      </c>
      <c r="C218" s="8" t="s">
        <v>74</v>
      </c>
      <c r="D218" s="6" t="s">
        <v>1382</v>
      </c>
      <c r="E218" s="7" t="s">
        <v>1383</v>
      </c>
      <c r="F218" s="7" t="s">
        <v>76</v>
      </c>
      <c r="G218" s="8" t="s">
        <v>1338</v>
      </c>
      <c r="H218" s="8" t="s">
        <v>1384</v>
      </c>
      <c r="I218" s="7" t="s">
        <v>17</v>
      </c>
      <c r="J218" s="15">
        <v>25</v>
      </c>
    </row>
    <row r="219" spans="1:10" ht="52" x14ac:dyDescent="0.2">
      <c r="A219" s="7" t="s">
        <v>2114</v>
      </c>
      <c r="B219" s="8" t="s">
        <v>73</v>
      </c>
      <c r="C219" s="8" t="s">
        <v>74</v>
      </c>
      <c r="D219" s="6" t="s">
        <v>1382</v>
      </c>
      <c r="E219" s="7" t="s">
        <v>1383</v>
      </c>
      <c r="F219" s="7" t="s">
        <v>76</v>
      </c>
      <c r="G219" s="8" t="s">
        <v>1385</v>
      </c>
      <c r="H219" s="8" t="s">
        <v>1386</v>
      </c>
      <c r="I219" s="7" t="s">
        <v>17</v>
      </c>
      <c r="J219" s="15">
        <v>40</v>
      </c>
    </row>
    <row r="220" spans="1:10" ht="65" x14ac:dyDescent="0.2">
      <c r="A220" s="7" t="s">
        <v>2114</v>
      </c>
      <c r="B220" s="8" t="s">
        <v>73</v>
      </c>
      <c r="C220" s="8" t="s">
        <v>74</v>
      </c>
      <c r="D220" s="6" t="s">
        <v>1382</v>
      </c>
      <c r="E220" s="7" t="s">
        <v>1383</v>
      </c>
      <c r="F220" s="7" t="s">
        <v>76</v>
      </c>
      <c r="G220" s="8" t="s">
        <v>1387</v>
      </c>
      <c r="H220" s="8" t="s">
        <v>1388</v>
      </c>
      <c r="I220" s="7" t="s">
        <v>17</v>
      </c>
      <c r="J220" s="15">
        <v>35</v>
      </c>
    </row>
    <row r="221" spans="1:10" ht="65" x14ac:dyDescent="0.2">
      <c r="A221" s="7" t="s">
        <v>2114</v>
      </c>
      <c r="B221" s="8" t="s">
        <v>73</v>
      </c>
      <c r="C221" s="8" t="s">
        <v>74</v>
      </c>
      <c r="D221" s="6" t="s">
        <v>2349</v>
      </c>
      <c r="E221" s="7" t="s">
        <v>2350</v>
      </c>
      <c r="F221" s="7" t="s">
        <v>76</v>
      </c>
      <c r="G221" s="8" t="s">
        <v>725</v>
      </c>
      <c r="H221" s="8" t="s">
        <v>2351</v>
      </c>
      <c r="I221" s="7" t="s">
        <v>17</v>
      </c>
      <c r="J221" s="15">
        <v>25</v>
      </c>
    </row>
    <row r="222" spans="1:10" ht="39" x14ac:dyDescent="0.2">
      <c r="A222" s="7" t="s">
        <v>2114</v>
      </c>
      <c r="B222" s="8" t="s">
        <v>73</v>
      </c>
      <c r="C222" s="8" t="s">
        <v>74</v>
      </c>
      <c r="D222" s="6" t="s">
        <v>2349</v>
      </c>
      <c r="E222" s="7" t="s">
        <v>2350</v>
      </c>
      <c r="F222" s="7" t="s">
        <v>76</v>
      </c>
      <c r="G222" s="8" t="s">
        <v>1338</v>
      </c>
      <c r="H222" s="8" t="s">
        <v>2352</v>
      </c>
      <c r="I222" s="7" t="s">
        <v>17</v>
      </c>
      <c r="J222" s="15">
        <v>20</v>
      </c>
    </row>
    <row r="223" spans="1:10" ht="78" x14ac:dyDescent="0.2">
      <c r="A223" s="7" t="s">
        <v>2114</v>
      </c>
      <c r="B223" s="8" t="s">
        <v>73</v>
      </c>
      <c r="C223" s="8" t="s">
        <v>74</v>
      </c>
      <c r="D223" s="6" t="s">
        <v>2349</v>
      </c>
      <c r="E223" s="7" t="s">
        <v>2350</v>
      </c>
      <c r="F223" s="7" t="s">
        <v>76</v>
      </c>
      <c r="G223" s="8" t="s">
        <v>2353</v>
      </c>
      <c r="H223" s="8" t="s">
        <v>2354</v>
      </c>
      <c r="I223" s="7" t="s">
        <v>25</v>
      </c>
      <c r="J223" s="15">
        <v>25</v>
      </c>
    </row>
    <row r="224" spans="1:10" ht="91" x14ac:dyDescent="0.2">
      <c r="A224" s="7" t="s">
        <v>2114</v>
      </c>
      <c r="B224" s="8" t="s">
        <v>73</v>
      </c>
      <c r="C224" s="8" t="s">
        <v>74</v>
      </c>
      <c r="D224" s="6" t="s">
        <v>2349</v>
      </c>
      <c r="E224" s="7" t="s">
        <v>2350</v>
      </c>
      <c r="F224" s="7" t="s">
        <v>76</v>
      </c>
      <c r="G224" s="8" t="s">
        <v>2355</v>
      </c>
      <c r="H224" s="8" t="s">
        <v>2356</v>
      </c>
      <c r="I224" s="7" t="s">
        <v>17</v>
      </c>
      <c r="J224" s="15">
        <v>30</v>
      </c>
    </row>
    <row r="225" spans="1:10" ht="65" x14ac:dyDescent="0.2">
      <c r="A225" s="7" t="s">
        <v>2114</v>
      </c>
      <c r="B225" s="8" t="s">
        <v>73</v>
      </c>
      <c r="C225" s="8" t="s">
        <v>2119</v>
      </c>
      <c r="D225" s="6" t="s">
        <v>2117</v>
      </c>
      <c r="E225" s="7" t="s">
        <v>2118</v>
      </c>
      <c r="F225" s="7" t="s">
        <v>822</v>
      </c>
      <c r="G225" s="8" t="s">
        <v>2120</v>
      </c>
      <c r="H225" s="8" t="s">
        <v>2121</v>
      </c>
      <c r="I225" s="7" t="s">
        <v>25</v>
      </c>
      <c r="J225" s="15">
        <v>25</v>
      </c>
    </row>
    <row r="226" spans="1:10" ht="39" x14ac:dyDescent="0.2">
      <c r="A226" s="7" t="s">
        <v>2114</v>
      </c>
      <c r="B226" s="8" t="s">
        <v>73</v>
      </c>
      <c r="C226" s="8" t="s">
        <v>2119</v>
      </c>
      <c r="D226" s="6" t="s">
        <v>2117</v>
      </c>
      <c r="E226" s="7" t="s">
        <v>2118</v>
      </c>
      <c r="F226" s="7" t="s">
        <v>822</v>
      </c>
      <c r="G226" s="8" t="s">
        <v>2122</v>
      </c>
      <c r="H226" s="8" t="s">
        <v>2123</v>
      </c>
      <c r="I226" s="7" t="s">
        <v>17</v>
      </c>
      <c r="J226" s="15">
        <v>15</v>
      </c>
    </row>
    <row r="227" spans="1:10" ht="52" x14ac:dyDescent="0.2">
      <c r="A227" s="7" t="s">
        <v>2114</v>
      </c>
      <c r="B227" s="8" t="s">
        <v>73</v>
      </c>
      <c r="C227" s="8" t="s">
        <v>2119</v>
      </c>
      <c r="D227" s="6" t="s">
        <v>2117</v>
      </c>
      <c r="E227" s="7" t="s">
        <v>2118</v>
      </c>
      <c r="F227" s="7" t="s">
        <v>822</v>
      </c>
      <c r="G227" s="8" t="s">
        <v>2124</v>
      </c>
      <c r="H227" s="8" t="s">
        <v>2125</v>
      </c>
      <c r="I227" s="7" t="s">
        <v>17</v>
      </c>
      <c r="J227" s="15">
        <v>20</v>
      </c>
    </row>
    <row r="228" spans="1:10" ht="39" x14ac:dyDescent="0.2">
      <c r="A228" s="7" t="s">
        <v>2114</v>
      </c>
      <c r="B228" s="8" t="s">
        <v>73</v>
      </c>
      <c r="C228" s="8" t="s">
        <v>2119</v>
      </c>
      <c r="D228" s="6" t="s">
        <v>2117</v>
      </c>
      <c r="E228" s="7" t="s">
        <v>2118</v>
      </c>
      <c r="F228" s="7" t="s">
        <v>822</v>
      </c>
      <c r="G228" s="8" t="s">
        <v>2126</v>
      </c>
      <c r="H228" s="8" t="s">
        <v>2127</v>
      </c>
      <c r="I228" s="7" t="s">
        <v>17</v>
      </c>
      <c r="J228" s="15">
        <v>15</v>
      </c>
    </row>
    <row r="229" spans="1:10" ht="39" x14ac:dyDescent="0.2">
      <c r="A229" s="7" t="s">
        <v>2114</v>
      </c>
      <c r="B229" s="8" t="s">
        <v>73</v>
      </c>
      <c r="C229" s="8" t="s">
        <v>2119</v>
      </c>
      <c r="D229" s="6" t="s">
        <v>2117</v>
      </c>
      <c r="E229" s="7" t="s">
        <v>2118</v>
      </c>
      <c r="F229" s="7" t="s">
        <v>822</v>
      </c>
      <c r="G229" s="8" t="s">
        <v>2128</v>
      </c>
      <c r="H229" s="8" t="s">
        <v>2129</v>
      </c>
      <c r="I229" s="7" t="s">
        <v>17</v>
      </c>
      <c r="J229" s="15">
        <v>25</v>
      </c>
    </row>
    <row r="230" spans="1:10" ht="65" x14ac:dyDescent="0.2">
      <c r="A230" s="7" t="s">
        <v>2114</v>
      </c>
      <c r="B230" s="8" t="s">
        <v>73</v>
      </c>
      <c r="C230" s="8" t="s">
        <v>1802</v>
      </c>
      <c r="D230" s="6" t="s">
        <v>1800</v>
      </c>
      <c r="E230" s="7" t="s">
        <v>1801</v>
      </c>
      <c r="F230" s="7" t="s">
        <v>822</v>
      </c>
      <c r="G230" s="8" t="s">
        <v>1803</v>
      </c>
      <c r="H230" s="8" t="s">
        <v>1804</v>
      </c>
      <c r="I230" s="7" t="s">
        <v>17</v>
      </c>
      <c r="J230" s="15">
        <v>25</v>
      </c>
    </row>
    <row r="231" spans="1:10" ht="78" x14ac:dyDescent="0.2">
      <c r="A231" s="7" t="s">
        <v>2114</v>
      </c>
      <c r="B231" s="8" t="s">
        <v>73</v>
      </c>
      <c r="C231" s="8" t="s">
        <v>1802</v>
      </c>
      <c r="D231" s="6" t="s">
        <v>1800</v>
      </c>
      <c r="E231" s="7" t="s">
        <v>1801</v>
      </c>
      <c r="F231" s="7" t="s">
        <v>822</v>
      </c>
      <c r="G231" s="8" t="s">
        <v>1805</v>
      </c>
      <c r="H231" s="8" t="s">
        <v>1806</v>
      </c>
      <c r="I231" s="7" t="s">
        <v>17</v>
      </c>
      <c r="J231" s="15">
        <v>25</v>
      </c>
    </row>
    <row r="232" spans="1:10" ht="65" x14ac:dyDescent="0.2">
      <c r="A232" s="7" t="s">
        <v>2114</v>
      </c>
      <c r="B232" s="8" t="s">
        <v>73</v>
      </c>
      <c r="C232" s="8" t="s">
        <v>1802</v>
      </c>
      <c r="D232" s="6" t="s">
        <v>1800</v>
      </c>
      <c r="E232" s="7" t="s">
        <v>1801</v>
      </c>
      <c r="F232" s="7" t="s">
        <v>822</v>
      </c>
      <c r="G232" s="8" t="s">
        <v>1807</v>
      </c>
      <c r="H232" s="8" t="s">
        <v>1808</v>
      </c>
      <c r="I232" s="7" t="s">
        <v>17</v>
      </c>
      <c r="J232" s="15">
        <v>15</v>
      </c>
    </row>
    <row r="233" spans="1:10" ht="91" x14ac:dyDescent="0.2">
      <c r="A233" s="7" t="s">
        <v>2114</v>
      </c>
      <c r="B233" s="8" t="s">
        <v>73</v>
      </c>
      <c r="C233" s="8" t="s">
        <v>1802</v>
      </c>
      <c r="D233" s="6" t="s">
        <v>1800</v>
      </c>
      <c r="E233" s="7" t="s">
        <v>1801</v>
      </c>
      <c r="F233" s="7" t="s">
        <v>822</v>
      </c>
      <c r="G233" s="8" t="s">
        <v>830</v>
      </c>
      <c r="H233" s="8" t="s">
        <v>1809</v>
      </c>
      <c r="I233" s="7" t="s">
        <v>25</v>
      </c>
      <c r="J233" s="15">
        <v>15</v>
      </c>
    </row>
    <row r="234" spans="1:10" ht="52" x14ac:dyDescent="0.2">
      <c r="A234" s="7" t="s">
        <v>2114</v>
      </c>
      <c r="B234" s="8" t="s">
        <v>73</v>
      </c>
      <c r="C234" s="8" t="s">
        <v>1802</v>
      </c>
      <c r="D234" s="6" t="s">
        <v>1800</v>
      </c>
      <c r="E234" s="7" t="s">
        <v>1801</v>
      </c>
      <c r="F234" s="7" t="s">
        <v>822</v>
      </c>
      <c r="G234" s="8" t="s">
        <v>1810</v>
      </c>
      <c r="H234" s="8" t="s">
        <v>1811</v>
      </c>
      <c r="I234" s="7" t="s">
        <v>17</v>
      </c>
      <c r="J234" s="15">
        <v>20</v>
      </c>
    </row>
    <row r="235" spans="1:10" ht="65" x14ac:dyDescent="0.2">
      <c r="A235" s="7" t="s">
        <v>2114</v>
      </c>
      <c r="B235" s="8" t="s">
        <v>73</v>
      </c>
      <c r="C235" s="8" t="s">
        <v>1335</v>
      </c>
      <c r="D235" s="6" t="s">
        <v>75</v>
      </c>
      <c r="E235" s="7" t="s">
        <v>76</v>
      </c>
      <c r="F235" s="7" t="s">
        <v>825</v>
      </c>
      <c r="G235" s="8" t="s">
        <v>1336</v>
      </c>
      <c r="H235" s="8" t="s">
        <v>1337</v>
      </c>
      <c r="I235" s="7" t="s">
        <v>17</v>
      </c>
      <c r="J235" s="15">
        <v>30</v>
      </c>
    </row>
    <row r="236" spans="1:10" ht="39" x14ac:dyDescent="0.2">
      <c r="A236" s="7" t="s">
        <v>2114</v>
      </c>
      <c r="B236" s="8" t="s">
        <v>73</v>
      </c>
      <c r="C236" s="8" t="s">
        <v>1335</v>
      </c>
      <c r="D236" s="6" t="s">
        <v>75</v>
      </c>
      <c r="E236" s="7" t="s">
        <v>76</v>
      </c>
      <c r="F236" s="7" t="s">
        <v>825</v>
      </c>
      <c r="G236" s="8" t="s">
        <v>1338</v>
      </c>
      <c r="H236" s="8" t="s">
        <v>1339</v>
      </c>
      <c r="I236" s="7" t="s">
        <v>25</v>
      </c>
      <c r="J236" s="15">
        <v>20</v>
      </c>
    </row>
    <row r="237" spans="1:10" ht="78" x14ac:dyDescent="0.2">
      <c r="A237" s="7" t="s">
        <v>2114</v>
      </c>
      <c r="B237" s="8" t="s">
        <v>73</v>
      </c>
      <c r="C237" s="8" t="s">
        <v>1335</v>
      </c>
      <c r="D237" s="6" t="s">
        <v>75</v>
      </c>
      <c r="E237" s="7" t="s">
        <v>76</v>
      </c>
      <c r="F237" s="7" t="s">
        <v>825</v>
      </c>
      <c r="G237" s="8" t="s">
        <v>1340</v>
      </c>
      <c r="H237" s="8" t="s">
        <v>1341</v>
      </c>
      <c r="I237" s="7" t="s">
        <v>25</v>
      </c>
      <c r="J237" s="15">
        <v>30</v>
      </c>
    </row>
    <row r="238" spans="1:10" ht="104" x14ac:dyDescent="0.2">
      <c r="A238" s="7" t="s">
        <v>2114</v>
      </c>
      <c r="B238" s="8" t="s">
        <v>73</v>
      </c>
      <c r="C238" s="8" t="s">
        <v>1335</v>
      </c>
      <c r="D238" s="6" t="s">
        <v>75</v>
      </c>
      <c r="E238" s="7" t="s">
        <v>76</v>
      </c>
      <c r="F238" s="7" t="s">
        <v>825</v>
      </c>
      <c r="G238" s="8" t="s">
        <v>1342</v>
      </c>
      <c r="H238" s="8" t="s">
        <v>1343</v>
      </c>
      <c r="I238" s="7" t="s">
        <v>17</v>
      </c>
      <c r="J238" s="15">
        <v>20</v>
      </c>
    </row>
    <row r="239" spans="1:10" ht="78" x14ac:dyDescent="0.2">
      <c r="A239" s="7" t="s">
        <v>2114</v>
      </c>
      <c r="B239" s="8" t="s">
        <v>73</v>
      </c>
      <c r="C239" s="8" t="s">
        <v>823</v>
      </c>
      <c r="D239" s="6" t="s">
        <v>821</v>
      </c>
      <c r="E239" s="7" t="s">
        <v>822</v>
      </c>
      <c r="F239" s="7" t="s">
        <v>825</v>
      </c>
      <c r="G239" s="8" t="s">
        <v>826</v>
      </c>
      <c r="H239" s="8" t="s">
        <v>827</v>
      </c>
      <c r="I239" s="7" t="s">
        <v>17</v>
      </c>
      <c r="J239" s="15">
        <v>20</v>
      </c>
    </row>
    <row r="240" spans="1:10" ht="91" x14ac:dyDescent="0.2">
      <c r="A240" s="7" t="s">
        <v>2114</v>
      </c>
      <c r="B240" s="8" t="s">
        <v>73</v>
      </c>
      <c r="C240" s="8" t="s">
        <v>823</v>
      </c>
      <c r="D240" s="6" t="s">
        <v>821</v>
      </c>
      <c r="E240" s="7" t="s">
        <v>822</v>
      </c>
      <c r="F240" s="7" t="s">
        <v>825</v>
      </c>
      <c r="G240" s="8" t="s">
        <v>828</v>
      </c>
      <c r="H240" s="8" t="s">
        <v>829</v>
      </c>
      <c r="I240" s="7" t="s">
        <v>25</v>
      </c>
      <c r="J240" s="15">
        <v>15</v>
      </c>
    </row>
    <row r="241" spans="1:10" ht="104" x14ac:dyDescent="0.2">
      <c r="A241" s="7" t="s">
        <v>2114</v>
      </c>
      <c r="B241" s="8" t="s">
        <v>73</v>
      </c>
      <c r="C241" s="8" t="s">
        <v>823</v>
      </c>
      <c r="D241" s="6" t="s">
        <v>821</v>
      </c>
      <c r="E241" s="7" t="s">
        <v>822</v>
      </c>
      <c r="F241" s="7" t="s">
        <v>825</v>
      </c>
      <c r="G241" s="8" t="s">
        <v>830</v>
      </c>
      <c r="H241" s="8" t="s">
        <v>831</v>
      </c>
      <c r="I241" s="7" t="s">
        <v>25</v>
      </c>
      <c r="J241" s="15">
        <v>20</v>
      </c>
    </row>
    <row r="242" spans="1:10" ht="52" x14ac:dyDescent="0.2">
      <c r="A242" s="7" t="s">
        <v>2114</v>
      </c>
      <c r="B242" s="8" t="s">
        <v>73</v>
      </c>
      <c r="C242" s="8" t="s">
        <v>823</v>
      </c>
      <c r="D242" s="6" t="s">
        <v>821</v>
      </c>
      <c r="E242" s="7" t="s">
        <v>822</v>
      </c>
      <c r="F242" s="7" t="s">
        <v>825</v>
      </c>
      <c r="G242" s="8" t="s">
        <v>832</v>
      </c>
      <c r="H242" s="8" t="s">
        <v>833</v>
      </c>
      <c r="I242" s="7" t="s">
        <v>25</v>
      </c>
      <c r="J242" s="15">
        <v>25</v>
      </c>
    </row>
    <row r="243" spans="1:10" ht="91" x14ac:dyDescent="0.2">
      <c r="A243" s="7" t="s">
        <v>2114</v>
      </c>
      <c r="B243" s="8" t="s">
        <v>73</v>
      </c>
      <c r="C243" s="8" t="s">
        <v>823</v>
      </c>
      <c r="D243" s="6" t="s">
        <v>821</v>
      </c>
      <c r="E243" s="7" t="s">
        <v>822</v>
      </c>
      <c r="F243" s="7" t="s">
        <v>825</v>
      </c>
      <c r="G243" s="8" t="s">
        <v>834</v>
      </c>
      <c r="H243" s="8" t="s">
        <v>835</v>
      </c>
      <c r="I243" s="7" t="s">
        <v>25</v>
      </c>
      <c r="J243" s="15">
        <v>20</v>
      </c>
    </row>
    <row r="244" spans="1:10" ht="332" x14ac:dyDescent="0.2">
      <c r="A244" s="7" t="s">
        <v>2114</v>
      </c>
      <c r="B244" s="8" t="s">
        <v>304</v>
      </c>
      <c r="C244" s="8" t="s">
        <v>1011</v>
      </c>
      <c r="D244" s="6" t="s">
        <v>1009</v>
      </c>
      <c r="E244" s="7" t="s">
        <v>1010</v>
      </c>
      <c r="F244" s="7" t="s">
        <v>963</v>
      </c>
      <c r="G244" s="8" t="s">
        <v>1012</v>
      </c>
      <c r="H244" s="8" t="s">
        <v>1013</v>
      </c>
      <c r="I244" s="7" t="s">
        <v>25</v>
      </c>
      <c r="J244" s="15">
        <v>25</v>
      </c>
    </row>
    <row r="245" spans="1:10" ht="104" x14ac:dyDescent="0.2">
      <c r="A245" s="7" t="s">
        <v>2114</v>
      </c>
      <c r="B245" s="8" t="s">
        <v>304</v>
      </c>
      <c r="C245" s="8" t="s">
        <v>1011</v>
      </c>
      <c r="D245" s="6" t="s">
        <v>1009</v>
      </c>
      <c r="E245" s="7" t="s">
        <v>1010</v>
      </c>
      <c r="F245" s="7" t="s">
        <v>963</v>
      </c>
      <c r="G245" s="8" t="s">
        <v>971</v>
      </c>
      <c r="H245" s="8" t="s">
        <v>1014</v>
      </c>
      <c r="I245" s="7" t="s">
        <v>25</v>
      </c>
      <c r="J245" s="15">
        <v>25</v>
      </c>
    </row>
    <row r="246" spans="1:10" ht="234" x14ac:dyDescent="0.2">
      <c r="A246" s="7" t="s">
        <v>2114</v>
      </c>
      <c r="B246" s="8" t="s">
        <v>304</v>
      </c>
      <c r="C246" s="8" t="s">
        <v>1011</v>
      </c>
      <c r="D246" s="6" t="s">
        <v>1009</v>
      </c>
      <c r="E246" s="7" t="s">
        <v>1010</v>
      </c>
      <c r="F246" s="7" t="s">
        <v>963</v>
      </c>
      <c r="G246" s="8" t="s">
        <v>1015</v>
      </c>
      <c r="H246" s="8" t="s">
        <v>1016</v>
      </c>
      <c r="I246" s="7" t="s">
        <v>25</v>
      </c>
      <c r="J246" s="15">
        <v>20</v>
      </c>
    </row>
    <row r="247" spans="1:10" ht="65" x14ac:dyDescent="0.2">
      <c r="A247" s="7" t="s">
        <v>2114</v>
      </c>
      <c r="B247" s="8" t="s">
        <v>304</v>
      </c>
      <c r="C247" s="8" t="s">
        <v>1011</v>
      </c>
      <c r="D247" s="6" t="s">
        <v>1009</v>
      </c>
      <c r="E247" s="7" t="s">
        <v>1010</v>
      </c>
      <c r="F247" s="7" t="s">
        <v>963</v>
      </c>
      <c r="G247" s="8" t="s">
        <v>1017</v>
      </c>
      <c r="H247" s="8" t="s">
        <v>1018</v>
      </c>
      <c r="I247" s="7" t="s">
        <v>17</v>
      </c>
      <c r="J247" s="15">
        <v>10</v>
      </c>
    </row>
    <row r="248" spans="1:10" ht="91" x14ac:dyDescent="0.2">
      <c r="A248" s="7" t="s">
        <v>2114</v>
      </c>
      <c r="B248" s="8" t="s">
        <v>304</v>
      </c>
      <c r="C248" s="8" t="s">
        <v>1011</v>
      </c>
      <c r="D248" s="6" t="s">
        <v>1009</v>
      </c>
      <c r="E248" s="7" t="s">
        <v>1010</v>
      </c>
      <c r="F248" s="7" t="s">
        <v>963</v>
      </c>
      <c r="G248" s="8" t="s">
        <v>1019</v>
      </c>
      <c r="H248" s="8" t="s">
        <v>1020</v>
      </c>
      <c r="I248" s="7" t="s">
        <v>17</v>
      </c>
      <c r="J248" s="15">
        <v>10</v>
      </c>
    </row>
    <row r="249" spans="1:10" ht="195" x14ac:dyDescent="0.2">
      <c r="A249" s="7" t="s">
        <v>2114</v>
      </c>
      <c r="B249" s="8" t="s">
        <v>304</v>
      </c>
      <c r="C249" s="8" t="s">
        <v>1011</v>
      </c>
      <c r="D249" s="6" t="s">
        <v>1009</v>
      </c>
      <c r="E249" s="7" t="s">
        <v>1010</v>
      </c>
      <c r="F249" s="7" t="s">
        <v>963</v>
      </c>
      <c r="G249" s="8" t="s">
        <v>969</v>
      </c>
      <c r="H249" s="8" t="s">
        <v>1021</v>
      </c>
      <c r="I249" s="7" t="s">
        <v>25</v>
      </c>
      <c r="J249" s="15">
        <v>10</v>
      </c>
    </row>
    <row r="250" spans="1:10" ht="234" x14ac:dyDescent="0.2">
      <c r="A250" s="7" t="s">
        <v>2114</v>
      </c>
      <c r="B250" s="8" t="s">
        <v>304</v>
      </c>
      <c r="C250" s="8" t="s">
        <v>1090</v>
      </c>
      <c r="D250" s="6" t="s">
        <v>1088</v>
      </c>
      <c r="E250" s="7" t="s">
        <v>1089</v>
      </c>
      <c r="F250" s="7" t="s">
        <v>963</v>
      </c>
      <c r="G250" s="8" t="s">
        <v>1015</v>
      </c>
      <c r="H250" s="8" t="s">
        <v>1091</v>
      </c>
      <c r="I250" s="7" t="s">
        <v>25</v>
      </c>
      <c r="J250" s="15">
        <v>20</v>
      </c>
    </row>
    <row r="251" spans="1:10" ht="356" x14ac:dyDescent="0.2">
      <c r="A251" s="7" t="s">
        <v>2114</v>
      </c>
      <c r="B251" s="8" t="s">
        <v>304</v>
      </c>
      <c r="C251" s="8" t="s">
        <v>1090</v>
      </c>
      <c r="D251" s="6" t="s">
        <v>1088</v>
      </c>
      <c r="E251" s="7" t="s">
        <v>1089</v>
      </c>
      <c r="F251" s="7" t="s">
        <v>963</v>
      </c>
      <c r="G251" s="8" t="s">
        <v>1012</v>
      </c>
      <c r="H251" s="8" t="s">
        <v>1092</v>
      </c>
      <c r="I251" s="7" t="s">
        <v>25</v>
      </c>
      <c r="J251" s="15">
        <v>25</v>
      </c>
    </row>
    <row r="252" spans="1:10" ht="65" x14ac:dyDescent="0.2">
      <c r="A252" s="7" t="s">
        <v>2114</v>
      </c>
      <c r="B252" s="8" t="s">
        <v>304</v>
      </c>
      <c r="C252" s="8" t="s">
        <v>1090</v>
      </c>
      <c r="D252" s="6" t="s">
        <v>1088</v>
      </c>
      <c r="E252" s="7" t="s">
        <v>1089</v>
      </c>
      <c r="F252" s="7" t="s">
        <v>963</v>
      </c>
      <c r="G252" s="8" t="s">
        <v>1093</v>
      </c>
      <c r="H252" s="8" t="s">
        <v>1094</v>
      </c>
      <c r="I252" s="7" t="s">
        <v>17</v>
      </c>
      <c r="J252" s="15">
        <v>10</v>
      </c>
    </row>
    <row r="253" spans="1:10" ht="195" x14ac:dyDescent="0.2">
      <c r="A253" s="7" t="s">
        <v>2114</v>
      </c>
      <c r="B253" s="8" t="s">
        <v>304</v>
      </c>
      <c r="C253" s="8" t="s">
        <v>1090</v>
      </c>
      <c r="D253" s="6" t="s">
        <v>1088</v>
      </c>
      <c r="E253" s="7" t="s">
        <v>1089</v>
      </c>
      <c r="F253" s="7" t="s">
        <v>963</v>
      </c>
      <c r="G253" s="8" t="s">
        <v>969</v>
      </c>
      <c r="H253" s="8" t="s">
        <v>1095</v>
      </c>
      <c r="I253" s="7" t="s">
        <v>25</v>
      </c>
      <c r="J253" s="15">
        <v>10</v>
      </c>
    </row>
    <row r="254" spans="1:10" ht="280.75" customHeight="1" x14ac:dyDescent="0.2">
      <c r="A254" s="7" t="s">
        <v>2114</v>
      </c>
      <c r="B254" s="8" t="s">
        <v>304</v>
      </c>
      <c r="C254" s="8" t="s">
        <v>1090</v>
      </c>
      <c r="D254" s="6" t="s">
        <v>1088</v>
      </c>
      <c r="E254" s="7" t="s">
        <v>1089</v>
      </c>
      <c r="F254" s="7" t="s">
        <v>963</v>
      </c>
      <c r="G254" s="8" t="s">
        <v>1096</v>
      </c>
      <c r="H254" s="8" t="s">
        <v>1097</v>
      </c>
      <c r="I254" s="7" t="s">
        <v>17</v>
      </c>
      <c r="J254" s="15">
        <v>10</v>
      </c>
    </row>
    <row r="255" spans="1:10" ht="161.5" customHeight="1" x14ac:dyDescent="0.2">
      <c r="A255" s="7" t="s">
        <v>2114</v>
      </c>
      <c r="B255" s="8" t="s">
        <v>304</v>
      </c>
      <c r="C255" s="8" t="s">
        <v>1090</v>
      </c>
      <c r="D255" s="6" t="s">
        <v>1088</v>
      </c>
      <c r="E255" s="7" t="s">
        <v>1089</v>
      </c>
      <c r="F255" s="7" t="s">
        <v>963</v>
      </c>
      <c r="G255" s="8" t="s">
        <v>971</v>
      </c>
      <c r="H255" s="8" t="s">
        <v>1098</v>
      </c>
      <c r="I255" s="7" t="s">
        <v>25</v>
      </c>
      <c r="J255" s="15">
        <v>25</v>
      </c>
    </row>
    <row r="256" spans="1:10" ht="259.25" customHeight="1" x14ac:dyDescent="0.2">
      <c r="A256" s="7" t="s">
        <v>2114</v>
      </c>
      <c r="B256" s="8" t="s">
        <v>304</v>
      </c>
      <c r="C256" s="8" t="s">
        <v>857</v>
      </c>
      <c r="D256" s="6" t="s">
        <v>855</v>
      </c>
      <c r="E256" s="7" t="s">
        <v>856</v>
      </c>
      <c r="F256" s="7" t="s">
        <v>265</v>
      </c>
      <c r="G256" s="8" t="s">
        <v>310</v>
      </c>
      <c r="H256" s="8" t="s">
        <v>3376</v>
      </c>
      <c r="I256" s="7" t="s">
        <v>25</v>
      </c>
      <c r="J256" s="13">
        <v>20</v>
      </c>
    </row>
    <row r="257" spans="1:10" ht="225" customHeight="1" x14ac:dyDescent="0.2">
      <c r="A257" s="7" t="s">
        <v>2114</v>
      </c>
      <c r="B257" s="8" t="s">
        <v>304</v>
      </c>
      <c r="C257" s="8" t="s">
        <v>857</v>
      </c>
      <c r="D257" s="6" t="s">
        <v>855</v>
      </c>
      <c r="E257" s="7" t="s">
        <v>856</v>
      </c>
      <c r="F257" s="7" t="s">
        <v>265</v>
      </c>
      <c r="G257" s="8" t="s">
        <v>858</v>
      </c>
      <c r="H257" s="8" t="s">
        <v>3377</v>
      </c>
      <c r="I257" s="7" t="s">
        <v>25</v>
      </c>
      <c r="J257" s="13">
        <v>15</v>
      </c>
    </row>
    <row r="258" spans="1:10" ht="225.5" customHeight="1" x14ac:dyDescent="0.2">
      <c r="A258" s="7" t="s">
        <v>2114</v>
      </c>
      <c r="B258" s="8" t="s">
        <v>304</v>
      </c>
      <c r="C258" s="8" t="s">
        <v>857</v>
      </c>
      <c r="D258" s="6" t="s">
        <v>855</v>
      </c>
      <c r="E258" s="7" t="s">
        <v>856</v>
      </c>
      <c r="F258" s="7" t="s">
        <v>265</v>
      </c>
      <c r="G258" s="8" t="s">
        <v>859</v>
      </c>
      <c r="H258" s="8" t="s">
        <v>3378</v>
      </c>
      <c r="I258" s="7" t="s">
        <v>25</v>
      </c>
      <c r="J258" s="13">
        <v>20</v>
      </c>
    </row>
    <row r="259" spans="1:10" ht="352.25" customHeight="1" x14ac:dyDescent="0.2">
      <c r="A259" s="7" t="s">
        <v>2114</v>
      </c>
      <c r="B259" s="8" t="s">
        <v>304</v>
      </c>
      <c r="C259" s="8" t="s">
        <v>857</v>
      </c>
      <c r="D259" s="6" t="s">
        <v>855</v>
      </c>
      <c r="E259" s="7" t="s">
        <v>856</v>
      </c>
      <c r="F259" s="7" t="s">
        <v>265</v>
      </c>
      <c r="G259" s="8" t="s">
        <v>308</v>
      </c>
      <c r="H259" s="8" t="s">
        <v>3379</v>
      </c>
      <c r="I259" s="7" t="s">
        <v>25</v>
      </c>
      <c r="J259" s="13">
        <v>25</v>
      </c>
    </row>
    <row r="260" spans="1:10" ht="52" x14ac:dyDescent="0.2">
      <c r="A260" s="7" t="s">
        <v>2114</v>
      </c>
      <c r="B260" s="8" t="s">
        <v>304</v>
      </c>
      <c r="C260" s="8" t="s">
        <v>857</v>
      </c>
      <c r="D260" s="6" t="s">
        <v>855</v>
      </c>
      <c r="E260" s="7" t="s">
        <v>856</v>
      </c>
      <c r="F260" s="7" t="s">
        <v>265</v>
      </c>
      <c r="G260" s="8" t="s">
        <v>860</v>
      </c>
      <c r="H260" s="8" t="s">
        <v>3380</v>
      </c>
      <c r="I260" s="7" t="s">
        <v>25</v>
      </c>
      <c r="J260" s="13">
        <v>20</v>
      </c>
    </row>
    <row r="261" spans="1:10" ht="130" x14ac:dyDescent="0.2">
      <c r="A261" s="7" t="s">
        <v>2114</v>
      </c>
      <c r="B261" s="8" t="s">
        <v>304</v>
      </c>
      <c r="C261" s="8" t="s">
        <v>2180</v>
      </c>
      <c r="D261" s="6" t="s">
        <v>2178</v>
      </c>
      <c r="E261" s="7" t="s">
        <v>2179</v>
      </c>
      <c r="F261" s="7" t="s">
        <v>307</v>
      </c>
      <c r="G261" s="8" t="s">
        <v>2181</v>
      </c>
      <c r="H261" s="8" t="s">
        <v>2182</v>
      </c>
      <c r="I261" s="7" t="s">
        <v>17</v>
      </c>
      <c r="J261" s="15">
        <v>30</v>
      </c>
    </row>
    <row r="262" spans="1:10" ht="104" x14ac:dyDescent="0.2">
      <c r="A262" s="7" t="s">
        <v>2114</v>
      </c>
      <c r="B262" s="8" t="s">
        <v>304</v>
      </c>
      <c r="C262" s="8" t="s">
        <v>2180</v>
      </c>
      <c r="D262" s="6" t="s">
        <v>2178</v>
      </c>
      <c r="E262" s="7" t="s">
        <v>2179</v>
      </c>
      <c r="F262" s="7" t="s">
        <v>307</v>
      </c>
      <c r="G262" s="8" t="s">
        <v>2183</v>
      </c>
      <c r="H262" s="8" t="s">
        <v>2184</v>
      </c>
      <c r="I262" s="7" t="s">
        <v>17</v>
      </c>
      <c r="J262" s="15">
        <v>20</v>
      </c>
    </row>
    <row r="263" spans="1:10" ht="104" x14ac:dyDescent="0.2">
      <c r="A263" s="7" t="s">
        <v>2114</v>
      </c>
      <c r="B263" s="8" t="s">
        <v>304</v>
      </c>
      <c r="C263" s="8" t="s">
        <v>2180</v>
      </c>
      <c r="D263" s="6" t="s">
        <v>2178</v>
      </c>
      <c r="E263" s="7" t="s">
        <v>2179</v>
      </c>
      <c r="F263" s="7" t="s">
        <v>307</v>
      </c>
      <c r="G263" s="8" t="s">
        <v>2185</v>
      </c>
      <c r="H263" s="8" t="s">
        <v>2186</v>
      </c>
      <c r="I263" s="7" t="s">
        <v>17</v>
      </c>
      <c r="J263" s="15">
        <v>20</v>
      </c>
    </row>
    <row r="264" spans="1:10" ht="296" x14ac:dyDescent="0.2">
      <c r="A264" s="7" t="s">
        <v>2114</v>
      </c>
      <c r="B264" s="8" t="s">
        <v>304</v>
      </c>
      <c r="C264" s="8" t="s">
        <v>2180</v>
      </c>
      <c r="D264" s="6" t="s">
        <v>2178</v>
      </c>
      <c r="E264" s="7" t="s">
        <v>2179</v>
      </c>
      <c r="F264" s="7" t="s">
        <v>307</v>
      </c>
      <c r="G264" s="8" t="s">
        <v>1746</v>
      </c>
      <c r="H264" s="8" t="s">
        <v>2187</v>
      </c>
      <c r="I264" s="7" t="s">
        <v>25</v>
      </c>
      <c r="J264" s="15">
        <v>10</v>
      </c>
    </row>
    <row r="265" spans="1:10" ht="169" x14ac:dyDescent="0.2">
      <c r="A265" s="7" t="s">
        <v>2114</v>
      </c>
      <c r="B265" s="8" t="s">
        <v>304</v>
      </c>
      <c r="C265" s="8" t="s">
        <v>2180</v>
      </c>
      <c r="D265" s="6" t="s">
        <v>2178</v>
      </c>
      <c r="E265" s="7" t="s">
        <v>2179</v>
      </c>
      <c r="F265" s="7" t="s">
        <v>307</v>
      </c>
      <c r="G265" s="8" t="s">
        <v>2188</v>
      </c>
      <c r="H265" s="8" t="s">
        <v>2189</v>
      </c>
      <c r="I265" s="7" t="s">
        <v>17</v>
      </c>
      <c r="J265" s="15">
        <v>20</v>
      </c>
    </row>
    <row r="266" spans="1:10" ht="296" x14ac:dyDescent="0.2">
      <c r="A266" s="7" t="s">
        <v>2114</v>
      </c>
      <c r="B266" s="8" t="s">
        <v>304</v>
      </c>
      <c r="C266" s="8" t="s">
        <v>305</v>
      </c>
      <c r="D266" s="6" t="s">
        <v>302</v>
      </c>
      <c r="E266" s="7" t="s">
        <v>303</v>
      </c>
      <c r="F266" s="7" t="s">
        <v>307</v>
      </c>
      <c r="G266" s="8" t="s">
        <v>308</v>
      </c>
      <c r="H266" s="8" t="s">
        <v>309</v>
      </c>
      <c r="I266" s="7" t="s">
        <v>25</v>
      </c>
      <c r="J266" s="15">
        <v>10</v>
      </c>
    </row>
    <row r="267" spans="1:10" ht="104" x14ac:dyDescent="0.2">
      <c r="A267" s="7" t="s">
        <v>2114</v>
      </c>
      <c r="B267" s="8" t="s">
        <v>304</v>
      </c>
      <c r="C267" s="8" t="s">
        <v>305</v>
      </c>
      <c r="D267" s="6" t="s">
        <v>302</v>
      </c>
      <c r="E267" s="7" t="s">
        <v>303</v>
      </c>
      <c r="F267" s="7" t="s">
        <v>307</v>
      </c>
      <c r="G267" s="8" t="s">
        <v>310</v>
      </c>
      <c r="H267" s="8" t="s">
        <v>311</v>
      </c>
      <c r="I267" s="7" t="s">
        <v>25</v>
      </c>
      <c r="J267" s="15">
        <v>30</v>
      </c>
    </row>
    <row r="268" spans="1:10" ht="104" x14ac:dyDescent="0.2">
      <c r="A268" s="7" t="s">
        <v>2114</v>
      </c>
      <c r="B268" s="8" t="s">
        <v>304</v>
      </c>
      <c r="C268" s="8" t="s">
        <v>305</v>
      </c>
      <c r="D268" s="6" t="s">
        <v>302</v>
      </c>
      <c r="E268" s="7" t="s">
        <v>303</v>
      </c>
      <c r="F268" s="7" t="s">
        <v>307</v>
      </c>
      <c r="G268" s="8" t="s">
        <v>312</v>
      </c>
      <c r="H268" s="8" t="s">
        <v>313</v>
      </c>
      <c r="I268" s="7" t="s">
        <v>17</v>
      </c>
      <c r="J268" s="15">
        <v>20</v>
      </c>
    </row>
    <row r="269" spans="1:10" ht="65" x14ac:dyDescent="0.2">
      <c r="A269" s="7" t="s">
        <v>2114</v>
      </c>
      <c r="B269" s="8" t="s">
        <v>304</v>
      </c>
      <c r="C269" s="8" t="s">
        <v>305</v>
      </c>
      <c r="D269" s="6" t="s">
        <v>302</v>
      </c>
      <c r="E269" s="7" t="s">
        <v>303</v>
      </c>
      <c r="F269" s="7" t="s">
        <v>307</v>
      </c>
      <c r="G269" s="8" t="s">
        <v>314</v>
      </c>
      <c r="H269" s="8" t="s">
        <v>315</v>
      </c>
      <c r="I269" s="7" t="s">
        <v>17</v>
      </c>
      <c r="J269" s="15">
        <v>20</v>
      </c>
    </row>
    <row r="270" spans="1:10" ht="91" x14ac:dyDescent="0.2">
      <c r="A270" s="7" t="s">
        <v>2114</v>
      </c>
      <c r="B270" s="8" t="s">
        <v>304</v>
      </c>
      <c r="C270" s="8" t="s">
        <v>305</v>
      </c>
      <c r="D270" s="6" t="s">
        <v>302</v>
      </c>
      <c r="E270" s="7" t="s">
        <v>303</v>
      </c>
      <c r="F270" s="7" t="s">
        <v>307</v>
      </c>
      <c r="G270" s="8" t="s">
        <v>316</v>
      </c>
      <c r="H270" s="8" t="s">
        <v>317</v>
      </c>
      <c r="I270" s="7" t="s">
        <v>17</v>
      </c>
      <c r="J270" s="15">
        <v>20</v>
      </c>
    </row>
    <row r="271" spans="1:10" ht="296" x14ac:dyDescent="0.2">
      <c r="A271" s="7" t="s">
        <v>2114</v>
      </c>
      <c r="B271" s="8" t="s">
        <v>304</v>
      </c>
      <c r="C271" s="8" t="s">
        <v>1745</v>
      </c>
      <c r="D271" s="6" t="s">
        <v>1743</v>
      </c>
      <c r="E271" s="7" t="s">
        <v>1744</v>
      </c>
      <c r="F271" s="7" t="s">
        <v>307</v>
      </c>
      <c r="G271" s="8" t="s">
        <v>1746</v>
      </c>
      <c r="H271" s="8" t="s">
        <v>1747</v>
      </c>
      <c r="I271" s="7" t="s">
        <v>25</v>
      </c>
      <c r="J271" s="15">
        <v>10</v>
      </c>
    </row>
    <row r="272" spans="1:10" ht="182" x14ac:dyDescent="0.2">
      <c r="A272" s="7" t="s">
        <v>2114</v>
      </c>
      <c r="B272" s="8" t="s">
        <v>304</v>
      </c>
      <c r="C272" s="8" t="s">
        <v>1745</v>
      </c>
      <c r="D272" s="6" t="s">
        <v>1743</v>
      </c>
      <c r="E272" s="7" t="s">
        <v>1744</v>
      </c>
      <c r="F272" s="7" t="s">
        <v>307</v>
      </c>
      <c r="G272" s="8" t="s">
        <v>1748</v>
      </c>
      <c r="H272" s="8" t="s">
        <v>1749</v>
      </c>
      <c r="I272" s="7" t="s">
        <v>17</v>
      </c>
      <c r="J272" s="15">
        <v>15</v>
      </c>
    </row>
    <row r="273" spans="1:10" ht="169" x14ac:dyDescent="0.2">
      <c r="A273" s="7" t="s">
        <v>2114</v>
      </c>
      <c r="B273" s="8" t="s">
        <v>304</v>
      </c>
      <c r="C273" s="8" t="s">
        <v>1745</v>
      </c>
      <c r="D273" s="6" t="s">
        <v>1743</v>
      </c>
      <c r="E273" s="7" t="s">
        <v>1744</v>
      </c>
      <c r="F273" s="7" t="s">
        <v>307</v>
      </c>
      <c r="G273" s="8" t="s">
        <v>1750</v>
      </c>
      <c r="H273" s="8" t="s">
        <v>1751</v>
      </c>
      <c r="I273" s="7" t="s">
        <v>17</v>
      </c>
      <c r="J273" s="15">
        <v>15</v>
      </c>
    </row>
    <row r="274" spans="1:10" ht="117" x14ac:dyDescent="0.2">
      <c r="A274" s="7" t="s">
        <v>2114</v>
      </c>
      <c r="B274" s="8" t="s">
        <v>304</v>
      </c>
      <c r="C274" s="8" t="s">
        <v>1745</v>
      </c>
      <c r="D274" s="6" t="s">
        <v>1743</v>
      </c>
      <c r="E274" s="7" t="s">
        <v>1744</v>
      </c>
      <c r="F274" s="7" t="s">
        <v>307</v>
      </c>
      <c r="G274" s="8" t="s">
        <v>1752</v>
      </c>
      <c r="H274" s="8" t="s">
        <v>1753</v>
      </c>
      <c r="I274" s="7" t="s">
        <v>25</v>
      </c>
      <c r="J274" s="15">
        <v>20</v>
      </c>
    </row>
    <row r="275" spans="1:10" ht="208" x14ac:dyDescent="0.2">
      <c r="A275" s="7" t="s">
        <v>2114</v>
      </c>
      <c r="B275" s="8" t="s">
        <v>304</v>
      </c>
      <c r="C275" s="8" t="s">
        <v>1745</v>
      </c>
      <c r="D275" s="6" t="s">
        <v>1743</v>
      </c>
      <c r="E275" s="7" t="s">
        <v>1744</v>
      </c>
      <c r="F275" s="7" t="s">
        <v>307</v>
      </c>
      <c r="G275" s="8" t="s">
        <v>1754</v>
      </c>
      <c r="H275" s="8" t="s">
        <v>1755</v>
      </c>
      <c r="I275" s="7" t="s">
        <v>17</v>
      </c>
      <c r="J275" s="15">
        <v>20</v>
      </c>
    </row>
    <row r="276" spans="1:10" ht="222.5" customHeight="1" x14ac:dyDescent="0.2">
      <c r="A276" s="7" t="s">
        <v>2114</v>
      </c>
      <c r="B276" s="8" t="s">
        <v>304</v>
      </c>
      <c r="C276" s="8" t="s">
        <v>1745</v>
      </c>
      <c r="D276" s="6" t="s">
        <v>1743</v>
      </c>
      <c r="E276" s="7" t="s">
        <v>1744</v>
      </c>
      <c r="F276" s="7" t="s">
        <v>307</v>
      </c>
      <c r="G276" s="8" t="s">
        <v>858</v>
      </c>
      <c r="H276" s="8" t="s">
        <v>1756</v>
      </c>
      <c r="I276" s="7" t="s">
        <v>25</v>
      </c>
      <c r="J276" s="15">
        <v>20</v>
      </c>
    </row>
    <row r="277" spans="1:10" ht="96.5" customHeight="1" x14ac:dyDescent="0.2">
      <c r="A277" s="7" t="s">
        <v>2114</v>
      </c>
      <c r="B277" s="8" t="s">
        <v>304</v>
      </c>
      <c r="C277" s="8" t="s">
        <v>2263</v>
      </c>
      <c r="D277" s="6" t="s">
        <v>2261</v>
      </c>
      <c r="E277" s="7" t="s">
        <v>2262</v>
      </c>
      <c r="F277" s="7" t="s">
        <v>307</v>
      </c>
      <c r="G277" s="8" t="s">
        <v>1746</v>
      </c>
      <c r="H277" s="8" t="s">
        <v>2264</v>
      </c>
      <c r="I277" s="7" t="s">
        <v>25</v>
      </c>
      <c r="J277" s="15">
        <v>10</v>
      </c>
    </row>
    <row r="278" spans="1:10" ht="122.5" customHeight="1" x14ac:dyDescent="0.2">
      <c r="A278" s="7" t="s">
        <v>2114</v>
      </c>
      <c r="B278" s="8" t="s">
        <v>304</v>
      </c>
      <c r="C278" s="8" t="s">
        <v>2263</v>
      </c>
      <c r="D278" s="6" t="s">
        <v>2261</v>
      </c>
      <c r="E278" s="7" t="s">
        <v>2262</v>
      </c>
      <c r="F278" s="7" t="s">
        <v>307</v>
      </c>
      <c r="G278" s="8" t="s">
        <v>2265</v>
      </c>
      <c r="H278" s="8" t="s">
        <v>2266</v>
      </c>
      <c r="I278" s="7" t="s">
        <v>17</v>
      </c>
      <c r="J278" s="15">
        <v>20</v>
      </c>
    </row>
    <row r="279" spans="1:10" ht="139.75" customHeight="1" x14ac:dyDescent="0.2">
      <c r="A279" s="7" t="s">
        <v>2114</v>
      </c>
      <c r="B279" s="8" t="s">
        <v>304</v>
      </c>
      <c r="C279" s="8" t="s">
        <v>2263</v>
      </c>
      <c r="D279" s="6" t="s">
        <v>2261</v>
      </c>
      <c r="E279" s="7" t="s">
        <v>2262</v>
      </c>
      <c r="F279" s="7" t="s">
        <v>307</v>
      </c>
      <c r="G279" s="8" t="s">
        <v>2267</v>
      </c>
      <c r="H279" s="8" t="s">
        <v>2268</v>
      </c>
      <c r="I279" s="7" t="s">
        <v>17</v>
      </c>
      <c r="J279" s="15">
        <v>20</v>
      </c>
    </row>
    <row r="280" spans="1:10" ht="147" customHeight="1" x14ac:dyDescent="0.2">
      <c r="A280" s="7" t="s">
        <v>2114</v>
      </c>
      <c r="B280" s="8" t="s">
        <v>304</v>
      </c>
      <c r="C280" s="8" t="s">
        <v>2263</v>
      </c>
      <c r="D280" s="6" t="s">
        <v>2261</v>
      </c>
      <c r="E280" s="7" t="s">
        <v>2262</v>
      </c>
      <c r="F280" s="7" t="s">
        <v>307</v>
      </c>
      <c r="G280" s="8" t="s">
        <v>2269</v>
      </c>
      <c r="H280" s="8" t="s">
        <v>2270</v>
      </c>
      <c r="I280" s="7" t="s">
        <v>17</v>
      </c>
      <c r="J280" s="15">
        <v>10</v>
      </c>
    </row>
    <row r="281" spans="1:10" ht="173.5" customHeight="1" x14ac:dyDescent="0.2">
      <c r="A281" s="7" t="s">
        <v>2114</v>
      </c>
      <c r="B281" s="8" t="s">
        <v>304</v>
      </c>
      <c r="C281" s="8" t="s">
        <v>2263</v>
      </c>
      <c r="D281" s="6" t="s">
        <v>2261</v>
      </c>
      <c r="E281" s="7" t="s">
        <v>2262</v>
      </c>
      <c r="F281" s="7" t="s">
        <v>307</v>
      </c>
      <c r="G281" s="8" t="s">
        <v>2271</v>
      </c>
      <c r="H281" s="8" t="s">
        <v>2272</v>
      </c>
      <c r="I281" s="7" t="s">
        <v>17</v>
      </c>
      <c r="J281" s="15">
        <v>20</v>
      </c>
    </row>
    <row r="282" spans="1:10" ht="117" x14ac:dyDescent="0.2">
      <c r="A282" s="7" t="s">
        <v>2114</v>
      </c>
      <c r="B282" s="8" t="s">
        <v>304</v>
      </c>
      <c r="C282" s="8" t="s">
        <v>2263</v>
      </c>
      <c r="D282" s="6" t="s">
        <v>2261</v>
      </c>
      <c r="E282" s="7" t="s">
        <v>2262</v>
      </c>
      <c r="F282" s="7" t="s">
        <v>307</v>
      </c>
      <c r="G282" s="8" t="s">
        <v>1846</v>
      </c>
      <c r="H282" s="8" t="s">
        <v>2273</v>
      </c>
      <c r="I282" s="7" t="s">
        <v>25</v>
      </c>
      <c r="J282" s="15">
        <v>20</v>
      </c>
    </row>
    <row r="283" spans="1:10" ht="320" x14ac:dyDescent="0.2">
      <c r="A283" s="7" t="s">
        <v>2114</v>
      </c>
      <c r="B283" s="8" t="s">
        <v>304</v>
      </c>
      <c r="C283" s="8" t="s">
        <v>964</v>
      </c>
      <c r="D283" s="6" t="s">
        <v>962</v>
      </c>
      <c r="E283" s="7" t="s">
        <v>963</v>
      </c>
      <c r="F283" s="7" t="s">
        <v>856</v>
      </c>
      <c r="G283" s="8" t="s">
        <v>965</v>
      </c>
      <c r="H283" s="8" t="s">
        <v>966</v>
      </c>
      <c r="I283" s="7" t="s">
        <v>25</v>
      </c>
      <c r="J283" s="15">
        <v>25</v>
      </c>
    </row>
    <row r="284" spans="1:10" ht="234" x14ac:dyDescent="0.2">
      <c r="A284" s="7" t="s">
        <v>2114</v>
      </c>
      <c r="B284" s="8" t="s">
        <v>304</v>
      </c>
      <c r="C284" s="8" t="s">
        <v>964</v>
      </c>
      <c r="D284" s="6" t="s">
        <v>962</v>
      </c>
      <c r="E284" s="7" t="s">
        <v>963</v>
      </c>
      <c r="F284" s="7" t="s">
        <v>856</v>
      </c>
      <c r="G284" s="8" t="s">
        <v>967</v>
      </c>
      <c r="H284" s="8" t="s">
        <v>968</v>
      </c>
      <c r="I284" s="7" t="s">
        <v>25</v>
      </c>
      <c r="J284" s="15">
        <v>20</v>
      </c>
    </row>
    <row r="285" spans="1:10" ht="182" x14ac:dyDescent="0.2">
      <c r="A285" s="7" t="s">
        <v>2114</v>
      </c>
      <c r="B285" s="8" t="s">
        <v>304</v>
      </c>
      <c r="C285" s="8" t="s">
        <v>964</v>
      </c>
      <c r="D285" s="6" t="s">
        <v>962</v>
      </c>
      <c r="E285" s="7" t="s">
        <v>963</v>
      </c>
      <c r="F285" s="7" t="s">
        <v>856</v>
      </c>
      <c r="G285" s="8" t="s">
        <v>969</v>
      </c>
      <c r="H285" s="8" t="s">
        <v>970</v>
      </c>
      <c r="I285" s="7" t="s">
        <v>25</v>
      </c>
      <c r="J285" s="15">
        <v>15</v>
      </c>
    </row>
    <row r="286" spans="1:10" ht="104" x14ac:dyDescent="0.2">
      <c r="A286" s="7" t="s">
        <v>2114</v>
      </c>
      <c r="B286" s="8" t="s">
        <v>304</v>
      </c>
      <c r="C286" s="8" t="s">
        <v>964</v>
      </c>
      <c r="D286" s="6" t="s">
        <v>962</v>
      </c>
      <c r="E286" s="7" t="s">
        <v>963</v>
      </c>
      <c r="F286" s="7" t="s">
        <v>856</v>
      </c>
      <c r="G286" s="8" t="s">
        <v>971</v>
      </c>
      <c r="H286" s="8" t="s">
        <v>972</v>
      </c>
      <c r="I286" s="7" t="s">
        <v>25</v>
      </c>
      <c r="J286" s="15">
        <v>25</v>
      </c>
    </row>
    <row r="287" spans="1:10" ht="65" x14ac:dyDescent="0.2">
      <c r="A287" s="7" t="s">
        <v>2114</v>
      </c>
      <c r="B287" s="8" t="s">
        <v>304</v>
      </c>
      <c r="C287" s="8" t="s">
        <v>964</v>
      </c>
      <c r="D287" s="6" t="s">
        <v>962</v>
      </c>
      <c r="E287" s="7" t="s">
        <v>963</v>
      </c>
      <c r="F287" s="7" t="s">
        <v>856</v>
      </c>
      <c r="G287" s="8" t="s">
        <v>973</v>
      </c>
      <c r="H287" s="8" t="s">
        <v>974</v>
      </c>
      <c r="I287" s="7" t="s">
        <v>17</v>
      </c>
      <c r="J287" s="15">
        <v>15</v>
      </c>
    </row>
    <row r="288" spans="1:10" ht="320" x14ac:dyDescent="0.2">
      <c r="A288" s="7" t="s">
        <v>2114</v>
      </c>
      <c r="B288" s="8" t="s">
        <v>304</v>
      </c>
      <c r="C288" s="8" t="s">
        <v>1840</v>
      </c>
      <c r="D288" s="6" t="s">
        <v>306</v>
      </c>
      <c r="E288" s="7" t="s">
        <v>307</v>
      </c>
      <c r="F288" s="7" t="s">
        <v>856</v>
      </c>
      <c r="G288" s="8" t="s">
        <v>308</v>
      </c>
      <c r="H288" s="8" t="s">
        <v>1841</v>
      </c>
      <c r="I288" s="7" t="s">
        <v>25</v>
      </c>
      <c r="J288" s="15">
        <v>10</v>
      </c>
    </row>
    <row r="289" spans="1:10" ht="117" x14ac:dyDescent="0.2">
      <c r="A289" s="7" t="s">
        <v>2114</v>
      </c>
      <c r="B289" s="8" t="s">
        <v>304</v>
      </c>
      <c r="C289" s="8" t="s">
        <v>1840</v>
      </c>
      <c r="D289" s="6" t="s">
        <v>306</v>
      </c>
      <c r="E289" s="7" t="s">
        <v>307</v>
      </c>
      <c r="F289" s="7" t="s">
        <v>856</v>
      </c>
      <c r="G289" s="8" t="s">
        <v>1752</v>
      </c>
      <c r="H289" s="8" t="s">
        <v>1842</v>
      </c>
      <c r="I289" s="7" t="s">
        <v>25</v>
      </c>
      <c r="J289" s="15">
        <v>20</v>
      </c>
    </row>
    <row r="290" spans="1:10" ht="65" x14ac:dyDescent="0.2">
      <c r="A290" s="7" t="s">
        <v>2114</v>
      </c>
      <c r="B290" s="8" t="s">
        <v>304</v>
      </c>
      <c r="C290" s="8" t="s">
        <v>1840</v>
      </c>
      <c r="D290" s="6" t="s">
        <v>306</v>
      </c>
      <c r="E290" s="7" t="s">
        <v>307</v>
      </c>
      <c r="F290" s="7" t="s">
        <v>856</v>
      </c>
      <c r="G290" s="8" t="s">
        <v>1843</v>
      </c>
      <c r="H290" s="8" t="s">
        <v>1844</v>
      </c>
      <c r="I290" s="7" t="s">
        <v>17</v>
      </c>
      <c r="J290" s="15">
        <v>20</v>
      </c>
    </row>
    <row r="291" spans="1:10" ht="104" x14ac:dyDescent="0.2">
      <c r="A291" s="7" t="s">
        <v>2114</v>
      </c>
      <c r="B291" s="8" t="s">
        <v>304</v>
      </c>
      <c r="C291" s="8" t="s">
        <v>1840</v>
      </c>
      <c r="D291" s="6" t="s">
        <v>306</v>
      </c>
      <c r="E291" s="7" t="s">
        <v>307</v>
      </c>
      <c r="F291" s="7" t="s">
        <v>856</v>
      </c>
      <c r="G291" s="8" t="s">
        <v>858</v>
      </c>
      <c r="H291" s="8" t="s">
        <v>1845</v>
      </c>
      <c r="I291" s="7" t="s">
        <v>25</v>
      </c>
      <c r="J291" s="15">
        <v>20</v>
      </c>
    </row>
    <row r="292" spans="1:10" ht="117" x14ac:dyDescent="0.2">
      <c r="A292" s="7" t="s">
        <v>2114</v>
      </c>
      <c r="B292" s="8" t="s">
        <v>304</v>
      </c>
      <c r="C292" s="8" t="s">
        <v>1840</v>
      </c>
      <c r="D292" s="6" t="s">
        <v>306</v>
      </c>
      <c r="E292" s="7" t="s">
        <v>307</v>
      </c>
      <c r="F292" s="7" t="s">
        <v>856</v>
      </c>
      <c r="G292" s="8" t="s">
        <v>1846</v>
      </c>
      <c r="H292" s="8" t="s">
        <v>1847</v>
      </c>
      <c r="I292" s="7" t="s">
        <v>25</v>
      </c>
      <c r="J292" s="15">
        <v>10</v>
      </c>
    </row>
    <row r="293" spans="1:10" ht="104" x14ac:dyDescent="0.2">
      <c r="A293" s="7" t="s">
        <v>2114</v>
      </c>
      <c r="B293" s="8" t="s">
        <v>304</v>
      </c>
      <c r="C293" s="8" t="s">
        <v>1840</v>
      </c>
      <c r="D293" s="6" t="s">
        <v>306</v>
      </c>
      <c r="E293" s="7" t="s">
        <v>307</v>
      </c>
      <c r="F293" s="7" t="s">
        <v>856</v>
      </c>
      <c r="G293" s="8" t="s">
        <v>310</v>
      </c>
      <c r="H293" s="8" t="s">
        <v>1848</v>
      </c>
      <c r="I293" s="7" t="s">
        <v>25</v>
      </c>
      <c r="J293" s="15">
        <v>20</v>
      </c>
    </row>
    <row r="294" spans="1:10" ht="65" x14ac:dyDescent="0.2">
      <c r="A294" s="7" t="s">
        <v>2114</v>
      </c>
      <c r="B294" s="8" t="s">
        <v>111</v>
      </c>
      <c r="C294" s="8" t="s">
        <v>1501</v>
      </c>
      <c r="D294" s="6" t="s">
        <v>1418</v>
      </c>
      <c r="E294" s="7" t="s">
        <v>1419</v>
      </c>
      <c r="F294" s="7" t="s">
        <v>265</v>
      </c>
      <c r="G294" s="8" t="s">
        <v>1502</v>
      </c>
      <c r="H294" s="8" t="s">
        <v>3412</v>
      </c>
      <c r="I294" s="7" t="s">
        <v>25</v>
      </c>
      <c r="J294" s="13">
        <v>25</v>
      </c>
    </row>
    <row r="295" spans="1:10" ht="104" x14ac:dyDescent="0.2">
      <c r="A295" s="7" t="s">
        <v>2114</v>
      </c>
      <c r="B295" s="8" t="s">
        <v>111</v>
      </c>
      <c r="C295" s="8" t="s">
        <v>1501</v>
      </c>
      <c r="D295" s="6" t="s">
        <v>1418</v>
      </c>
      <c r="E295" s="7" t="s">
        <v>1419</v>
      </c>
      <c r="F295" s="7" t="s">
        <v>265</v>
      </c>
      <c r="G295" s="8" t="s">
        <v>1503</v>
      </c>
      <c r="H295" s="8" t="s">
        <v>3413</v>
      </c>
      <c r="I295" s="7" t="s">
        <v>25</v>
      </c>
      <c r="J295" s="13">
        <v>25</v>
      </c>
    </row>
    <row r="296" spans="1:10" ht="143" x14ac:dyDescent="0.2">
      <c r="A296" s="7" t="s">
        <v>2114</v>
      </c>
      <c r="B296" s="8" t="s">
        <v>111</v>
      </c>
      <c r="C296" s="8" t="s">
        <v>1501</v>
      </c>
      <c r="D296" s="6" t="s">
        <v>1418</v>
      </c>
      <c r="E296" s="7" t="s">
        <v>1419</v>
      </c>
      <c r="F296" s="7" t="s">
        <v>265</v>
      </c>
      <c r="G296" s="8" t="s">
        <v>1504</v>
      </c>
      <c r="H296" s="8" t="s">
        <v>3414</v>
      </c>
      <c r="I296" s="7" t="s">
        <v>25</v>
      </c>
      <c r="J296" s="13">
        <v>25</v>
      </c>
    </row>
    <row r="297" spans="1:10" ht="39" x14ac:dyDescent="0.2">
      <c r="A297" s="7" t="s">
        <v>2114</v>
      </c>
      <c r="B297" s="8" t="s">
        <v>111</v>
      </c>
      <c r="C297" s="8" t="s">
        <v>1501</v>
      </c>
      <c r="D297" s="6" t="s">
        <v>1418</v>
      </c>
      <c r="E297" s="7" t="s">
        <v>1419</v>
      </c>
      <c r="F297" s="7" t="s">
        <v>265</v>
      </c>
      <c r="G297" s="8" t="s">
        <v>1327</v>
      </c>
      <c r="H297" s="8" t="s">
        <v>3415</v>
      </c>
      <c r="I297" s="7" t="s">
        <v>25</v>
      </c>
      <c r="J297" s="13">
        <v>25</v>
      </c>
    </row>
    <row r="298" spans="1:10" ht="26" x14ac:dyDescent="0.2">
      <c r="A298" s="7" t="s">
        <v>2114</v>
      </c>
      <c r="B298" s="8" t="s">
        <v>111</v>
      </c>
      <c r="C298" s="8" t="s">
        <v>112</v>
      </c>
      <c r="D298" s="6" t="s">
        <v>109</v>
      </c>
      <c r="E298" s="7" t="s">
        <v>110</v>
      </c>
      <c r="F298" s="7" t="s">
        <v>114</v>
      </c>
      <c r="G298" s="8" t="s">
        <v>115</v>
      </c>
      <c r="H298" s="8" t="s">
        <v>116</v>
      </c>
      <c r="I298" s="7" t="s">
        <v>17</v>
      </c>
      <c r="J298" s="15">
        <v>15</v>
      </c>
    </row>
    <row r="299" spans="1:10" ht="52" x14ac:dyDescent="0.2">
      <c r="A299" s="7" t="s">
        <v>2114</v>
      </c>
      <c r="B299" s="8" t="s">
        <v>111</v>
      </c>
      <c r="C299" s="8" t="s">
        <v>112</v>
      </c>
      <c r="D299" s="6" t="s">
        <v>109</v>
      </c>
      <c r="E299" s="7" t="s">
        <v>110</v>
      </c>
      <c r="F299" s="7" t="s">
        <v>114</v>
      </c>
      <c r="G299" s="8" t="s">
        <v>117</v>
      </c>
      <c r="H299" s="8" t="s">
        <v>118</v>
      </c>
      <c r="I299" s="7" t="s">
        <v>25</v>
      </c>
      <c r="J299" s="15">
        <v>25</v>
      </c>
    </row>
    <row r="300" spans="1:10" ht="52" x14ac:dyDescent="0.2">
      <c r="A300" s="7" t="s">
        <v>2114</v>
      </c>
      <c r="B300" s="8" t="s">
        <v>111</v>
      </c>
      <c r="C300" s="8" t="s">
        <v>112</v>
      </c>
      <c r="D300" s="6" t="s">
        <v>109</v>
      </c>
      <c r="E300" s="7" t="s">
        <v>110</v>
      </c>
      <c r="F300" s="7" t="s">
        <v>114</v>
      </c>
      <c r="G300" s="8" t="s">
        <v>119</v>
      </c>
      <c r="H300" s="8" t="s">
        <v>120</v>
      </c>
      <c r="I300" s="7" t="s">
        <v>17</v>
      </c>
      <c r="J300" s="15">
        <v>15</v>
      </c>
    </row>
    <row r="301" spans="1:10" ht="39" x14ac:dyDescent="0.2">
      <c r="A301" s="7" t="s">
        <v>2114</v>
      </c>
      <c r="B301" s="8" t="s">
        <v>111</v>
      </c>
      <c r="C301" s="8" t="s">
        <v>112</v>
      </c>
      <c r="D301" s="6" t="s">
        <v>109</v>
      </c>
      <c r="E301" s="7" t="s">
        <v>110</v>
      </c>
      <c r="F301" s="7" t="s">
        <v>114</v>
      </c>
      <c r="G301" s="8" t="s">
        <v>121</v>
      </c>
      <c r="H301" s="8" t="s">
        <v>122</v>
      </c>
      <c r="I301" s="7" t="s">
        <v>25</v>
      </c>
      <c r="J301" s="15">
        <v>20</v>
      </c>
    </row>
    <row r="302" spans="1:10" ht="104" x14ac:dyDescent="0.2">
      <c r="A302" s="7" t="s">
        <v>2114</v>
      </c>
      <c r="B302" s="8" t="s">
        <v>111</v>
      </c>
      <c r="C302" s="8" t="s">
        <v>112</v>
      </c>
      <c r="D302" s="6" t="s">
        <v>109</v>
      </c>
      <c r="E302" s="7" t="s">
        <v>110</v>
      </c>
      <c r="F302" s="7" t="s">
        <v>114</v>
      </c>
      <c r="G302" s="8" t="s">
        <v>123</v>
      </c>
      <c r="H302" s="8" t="s">
        <v>124</v>
      </c>
      <c r="I302" s="7" t="s">
        <v>25</v>
      </c>
      <c r="J302" s="15">
        <v>25</v>
      </c>
    </row>
    <row r="303" spans="1:10" ht="104" x14ac:dyDescent="0.2">
      <c r="A303" s="7" t="s">
        <v>2114</v>
      </c>
      <c r="B303" s="8" t="s">
        <v>111</v>
      </c>
      <c r="C303" s="8" t="s">
        <v>2339</v>
      </c>
      <c r="D303" s="6" t="s">
        <v>2337</v>
      </c>
      <c r="E303" s="7" t="s">
        <v>2338</v>
      </c>
      <c r="F303" s="7" t="s">
        <v>2249</v>
      </c>
      <c r="G303" s="8" t="s">
        <v>2340</v>
      </c>
      <c r="H303" s="8" t="s">
        <v>2341</v>
      </c>
      <c r="I303" s="7" t="s">
        <v>17</v>
      </c>
      <c r="J303" s="15">
        <v>20</v>
      </c>
    </row>
    <row r="304" spans="1:10" ht="52" x14ac:dyDescent="0.2">
      <c r="A304" s="7" t="s">
        <v>2114</v>
      </c>
      <c r="B304" s="8" t="s">
        <v>111</v>
      </c>
      <c r="C304" s="8" t="s">
        <v>2339</v>
      </c>
      <c r="D304" s="6" t="s">
        <v>2337</v>
      </c>
      <c r="E304" s="7" t="s">
        <v>2338</v>
      </c>
      <c r="F304" s="7" t="s">
        <v>2249</v>
      </c>
      <c r="G304" s="8" t="s">
        <v>2342</v>
      </c>
      <c r="H304" s="8" t="s">
        <v>2343</v>
      </c>
      <c r="I304" s="7" t="s">
        <v>25</v>
      </c>
      <c r="J304" s="15">
        <v>15</v>
      </c>
    </row>
    <row r="305" spans="1:10" ht="78" x14ac:dyDescent="0.2">
      <c r="A305" s="7" t="s">
        <v>2114</v>
      </c>
      <c r="B305" s="8" t="s">
        <v>111</v>
      </c>
      <c r="C305" s="8" t="s">
        <v>2339</v>
      </c>
      <c r="D305" s="6" t="s">
        <v>2337</v>
      </c>
      <c r="E305" s="7" t="s">
        <v>2338</v>
      </c>
      <c r="F305" s="7" t="s">
        <v>2249</v>
      </c>
      <c r="G305" s="8" t="s">
        <v>2251</v>
      </c>
      <c r="H305" s="8" t="s">
        <v>2344</v>
      </c>
      <c r="I305" s="7" t="s">
        <v>25</v>
      </c>
      <c r="J305" s="15">
        <v>20</v>
      </c>
    </row>
    <row r="306" spans="1:10" ht="78" x14ac:dyDescent="0.2">
      <c r="A306" s="7" t="s">
        <v>2114</v>
      </c>
      <c r="B306" s="8" t="s">
        <v>111</v>
      </c>
      <c r="C306" s="8" t="s">
        <v>2339</v>
      </c>
      <c r="D306" s="6" t="s">
        <v>2337</v>
      </c>
      <c r="E306" s="7" t="s">
        <v>2338</v>
      </c>
      <c r="F306" s="7" t="s">
        <v>2249</v>
      </c>
      <c r="G306" s="8" t="s">
        <v>2345</v>
      </c>
      <c r="H306" s="8" t="s">
        <v>2346</v>
      </c>
      <c r="I306" s="7" t="s">
        <v>25</v>
      </c>
      <c r="J306" s="15">
        <v>20</v>
      </c>
    </row>
    <row r="307" spans="1:10" ht="78" x14ac:dyDescent="0.2">
      <c r="A307" s="7" t="s">
        <v>2114</v>
      </c>
      <c r="B307" s="8" t="s">
        <v>111</v>
      </c>
      <c r="C307" s="8" t="s">
        <v>2339</v>
      </c>
      <c r="D307" s="6" t="s">
        <v>2337</v>
      </c>
      <c r="E307" s="7" t="s">
        <v>2338</v>
      </c>
      <c r="F307" s="7" t="s">
        <v>2249</v>
      </c>
      <c r="G307" s="8" t="s">
        <v>2255</v>
      </c>
      <c r="H307" s="8" t="s">
        <v>2347</v>
      </c>
      <c r="I307" s="7" t="s">
        <v>25</v>
      </c>
      <c r="J307" s="15">
        <v>15</v>
      </c>
    </row>
    <row r="308" spans="1:10" ht="65" x14ac:dyDescent="0.2">
      <c r="A308" s="7" t="s">
        <v>2114</v>
      </c>
      <c r="B308" s="8" t="s">
        <v>111</v>
      </c>
      <c r="C308" s="8" t="s">
        <v>2339</v>
      </c>
      <c r="D308" s="6" t="s">
        <v>2337</v>
      </c>
      <c r="E308" s="7" t="s">
        <v>2338</v>
      </c>
      <c r="F308" s="7" t="s">
        <v>2249</v>
      </c>
      <c r="G308" s="8" t="s">
        <v>2257</v>
      </c>
      <c r="H308" s="8" t="s">
        <v>2348</v>
      </c>
      <c r="I308" s="7" t="s">
        <v>25</v>
      </c>
      <c r="J308" s="15">
        <v>10</v>
      </c>
    </row>
    <row r="309" spans="1:10" ht="52" x14ac:dyDescent="0.2">
      <c r="A309" s="7" t="s">
        <v>2114</v>
      </c>
      <c r="B309" s="8" t="s">
        <v>111</v>
      </c>
      <c r="C309" s="8" t="s">
        <v>886</v>
      </c>
      <c r="D309" s="6" t="s">
        <v>884</v>
      </c>
      <c r="E309" s="7" t="s">
        <v>885</v>
      </c>
      <c r="F309" s="7" t="s">
        <v>114</v>
      </c>
      <c r="G309" s="8" t="s">
        <v>887</v>
      </c>
      <c r="H309" s="8" t="s">
        <v>888</v>
      </c>
      <c r="I309" s="7" t="s">
        <v>25</v>
      </c>
      <c r="J309" s="15">
        <v>25</v>
      </c>
    </row>
    <row r="310" spans="1:10" ht="171" customHeight="1" x14ac:dyDescent="0.2">
      <c r="A310" s="7" t="s">
        <v>2114</v>
      </c>
      <c r="B310" s="8" t="s">
        <v>111</v>
      </c>
      <c r="C310" s="8" t="s">
        <v>886</v>
      </c>
      <c r="D310" s="6" t="s">
        <v>884</v>
      </c>
      <c r="E310" s="7" t="s">
        <v>885</v>
      </c>
      <c r="F310" s="7" t="s">
        <v>114</v>
      </c>
      <c r="G310" s="8" t="s">
        <v>115</v>
      </c>
      <c r="H310" s="8" t="s">
        <v>889</v>
      </c>
      <c r="I310" s="7" t="s">
        <v>17</v>
      </c>
      <c r="J310" s="15">
        <v>15</v>
      </c>
    </row>
    <row r="311" spans="1:10" ht="52" x14ac:dyDescent="0.2">
      <c r="A311" s="7" t="s">
        <v>2114</v>
      </c>
      <c r="B311" s="8" t="s">
        <v>111</v>
      </c>
      <c r="C311" s="8" t="s">
        <v>886</v>
      </c>
      <c r="D311" s="6" t="s">
        <v>884</v>
      </c>
      <c r="E311" s="7" t="s">
        <v>885</v>
      </c>
      <c r="F311" s="7" t="s">
        <v>114</v>
      </c>
      <c r="G311" s="8" t="s">
        <v>890</v>
      </c>
      <c r="H311" s="8" t="s">
        <v>891</v>
      </c>
      <c r="I311" s="7" t="s">
        <v>17</v>
      </c>
      <c r="J311" s="15">
        <v>15</v>
      </c>
    </row>
    <row r="312" spans="1:10" ht="104" x14ac:dyDescent="0.2">
      <c r="A312" s="7" t="s">
        <v>2114</v>
      </c>
      <c r="B312" s="8" t="s">
        <v>111</v>
      </c>
      <c r="C312" s="8" t="s">
        <v>886</v>
      </c>
      <c r="D312" s="6" t="s">
        <v>884</v>
      </c>
      <c r="E312" s="7" t="s">
        <v>885</v>
      </c>
      <c r="F312" s="7" t="s">
        <v>114</v>
      </c>
      <c r="G312" s="8" t="s">
        <v>123</v>
      </c>
      <c r="H312" s="8" t="s">
        <v>124</v>
      </c>
      <c r="I312" s="7" t="s">
        <v>25</v>
      </c>
      <c r="J312" s="15">
        <v>25</v>
      </c>
    </row>
    <row r="313" spans="1:10" ht="39" x14ac:dyDescent="0.2">
      <c r="A313" s="7" t="s">
        <v>2114</v>
      </c>
      <c r="B313" s="8" t="s">
        <v>111</v>
      </c>
      <c r="C313" s="8" t="s">
        <v>886</v>
      </c>
      <c r="D313" s="6" t="s">
        <v>884</v>
      </c>
      <c r="E313" s="7" t="s">
        <v>885</v>
      </c>
      <c r="F313" s="7" t="s">
        <v>114</v>
      </c>
      <c r="G313" s="8" t="s">
        <v>121</v>
      </c>
      <c r="H313" s="8" t="s">
        <v>122</v>
      </c>
      <c r="I313" s="7" t="s">
        <v>25</v>
      </c>
      <c r="J313" s="15">
        <v>20</v>
      </c>
    </row>
    <row r="314" spans="1:10" ht="39" x14ac:dyDescent="0.2">
      <c r="A314" s="7" t="s">
        <v>2114</v>
      </c>
      <c r="B314" s="8" t="s">
        <v>111</v>
      </c>
      <c r="C314" s="8" t="s">
        <v>1324</v>
      </c>
      <c r="D314" s="6" t="s">
        <v>1322</v>
      </c>
      <c r="E314" s="7" t="s">
        <v>1323</v>
      </c>
      <c r="F314" s="7" t="s">
        <v>1326</v>
      </c>
      <c r="G314" s="8" t="s">
        <v>1327</v>
      </c>
      <c r="H314" s="8" t="s">
        <v>1328</v>
      </c>
      <c r="I314" s="7" t="s">
        <v>25</v>
      </c>
      <c r="J314" s="15">
        <v>30</v>
      </c>
    </row>
    <row r="315" spans="1:10" ht="104" x14ac:dyDescent="0.2">
      <c r="A315" s="7" t="s">
        <v>2114</v>
      </c>
      <c r="B315" s="8" t="s">
        <v>111</v>
      </c>
      <c r="C315" s="8" t="s">
        <v>1324</v>
      </c>
      <c r="D315" s="6" t="s">
        <v>1322</v>
      </c>
      <c r="E315" s="7" t="s">
        <v>1323</v>
      </c>
      <c r="F315" s="7" t="s">
        <v>1326</v>
      </c>
      <c r="G315" s="8" t="s">
        <v>1329</v>
      </c>
      <c r="H315" s="8" t="s">
        <v>1330</v>
      </c>
      <c r="I315" s="7" t="s">
        <v>17</v>
      </c>
      <c r="J315" s="15">
        <v>20</v>
      </c>
    </row>
    <row r="316" spans="1:10" ht="78" x14ac:dyDescent="0.2">
      <c r="A316" s="7" t="s">
        <v>2114</v>
      </c>
      <c r="B316" s="8" t="s">
        <v>111</v>
      </c>
      <c r="C316" s="8" t="s">
        <v>1324</v>
      </c>
      <c r="D316" s="6" t="s">
        <v>1322</v>
      </c>
      <c r="E316" s="7" t="s">
        <v>1323</v>
      </c>
      <c r="F316" s="7" t="s">
        <v>1326</v>
      </c>
      <c r="G316" s="8" t="s">
        <v>1331</v>
      </c>
      <c r="H316" s="8" t="s">
        <v>1332</v>
      </c>
      <c r="I316" s="7" t="s">
        <v>17</v>
      </c>
      <c r="J316" s="15">
        <v>20</v>
      </c>
    </row>
    <row r="317" spans="1:10" ht="143" x14ac:dyDescent="0.2">
      <c r="A317" s="7" t="s">
        <v>2114</v>
      </c>
      <c r="B317" s="8" t="s">
        <v>111</v>
      </c>
      <c r="C317" s="8" t="s">
        <v>1324</v>
      </c>
      <c r="D317" s="6" t="s">
        <v>1322</v>
      </c>
      <c r="E317" s="7" t="s">
        <v>1323</v>
      </c>
      <c r="F317" s="7" t="s">
        <v>1326</v>
      </c>
      <c r="G317" s="8" t="s">
        <v>1333</v>
      </c>
      <c r="H317" s="8" t="s">
        <v>1334</v>
      </c>
      <c r="I317" s="7" t="s">
        <v>25</v>
      </c>
      <c r="J317" s="15">
        <v>30</v>
      </c>
    </row>
    <row r="318" spans="1:10" ht="143" x14ac:dyDescent="0.2">
      <c r="A318" s="7" t="s">
        <v>2114</v>
      </c>
      <c r="B318" s="8" t="s">
        <v>111</v>
      </c>
      <c r="C318" s="8" t="s">
        <v>1324</v>
      </c>
      <c r="D318" s="6" t="s">
        <v>2217</v>
      </c>
      <c r="E318" s="7" t="s">
        <v>2218</v>
      </c>
      <c r="F318" s="7" t="s">
        <v>1326</v>
      </c>
      <c r="G318" s="8" t="s">
        <v>1333</v>
      </c>
      <c r="H318" s="8" t="s">
        <v>2219</v>
      </c>
      <c r="I318" s="7" t="s">
        <v>25</v>
      </c>
      <c r="J318" s="15">
        <v>30</v>
      </c>
    </row>
    <row r="319" spans="1:10" ht="39" x14ac:dyDescent="0.2">
      <c r="A319" s="7" t="s">
        <v>2114</v>
      </c>
      <c r="B319" s="8" t="s">
        <v>111</v>
      </c>
      <c r="C319" s="8" t="s">
        <v>1324</v>
      </c>
      <c r="D319" s="6" t="s">
        <v>2217</v>
      </c>
      <c r="E319" s="7" t="s">
        <v>2218</v>
      </c>
      <c r="F319" s="7" t="s">
        <v>1326</v>
      </c>
      <c r="G319" s="8" t="s">
        <v>1327</v>
      </c>
      <c r="H319" s="8" t="s">
        <v>2220</v>
      </c>
      <c r="I319" s="7" t="s">
        <v>25</v>
      </c>
      <c r="J319" s="15">
        <v>30</v>
      </c>
    </row>
    <row r="320" spans="1:10" ht="104" x14ac:dyDescent="0.2">
      <c r="A320" s="7" t="s">
        <v>2114</v>
      </c>
      <c r="B320" s="8" t="s">
        <v>111</v>
      </c>
      <c r="C320" s="8" t="s">
        <v>1324</v>
      </c>
      <c r="D320" s="6" t="s">
        <v>2217</v>
      </c>
      <c r="E320" s="7" t="s">
        <v>2218</v>
      </c>
      <c r="F320" s="7" t="s">
        <v>1326</v>
      </c>
      <c r="G320" s="8" t="s">
        <v>1329</v>
      </c>
      <c r="H320" s="8" t="s">
        <v>2221</v>
      </c>
      <c r="I320" s="7" t="s">
        <v>17</v>
      </c>
      <c r="J320" s="15">
        <v>20</v>
      </c>
    </row>
    <row r="321" spans="1:10" ht="78" x14ac:dyDescent="0.2">
      <c r="A321" s="7" t="s">
        <v>2114</v>
      </c>
      <c r="B321" s="8" t="s">
        <v>111</v>
      </c>
      <c r="C321" s="8" t="s">
        <v>1324</v>
      </c>
      <c r="D321" s="6" t="s">
        <v>2217</v>
      </c>
      <c r="E321" s="7" t="s">
        <v>2218</v>
      </c>
      <c r="F321" s="7" t="s">
        <v>1326</v>
      </c>
      <c r="G321" s="8" t="s">
        <v>1331</v>
      </c>
      <c r="H321" s="8" t="s">
        <v>2222</v>
      </c>
      <c r="I321" s="7" t="s">
        <v>17</v>
      </c>
      <c r="J321" s="15">
        <v>20</v>
      </c>
    </row>
    <row r="322" spans="1:10" ht="52" x14ac:dyDescent="0.2">
      <c r="A322" s="7" t="s">
        <v>2114</v>
      </c>
      <c r="B322" s="8" t="s">
        <v>111</v>
      </c>
      <c r="C322" s="8" t="s">
        <v>1417</v>
      </c>
      <c r="D322" s="6" t="s">
        <v>113</v>
      </c>
      <c r="E322" s="7" t="s">
        <v>114</v>
      </c>
      <c r="F322" s="7" t="s">
        <v>1419</v>
      </c>
      <c r="G322" s="8" t="s">
        <v>117</v>
      </c>
      <c r="H322" s="8" t="s">
        <v>118</v>
      </c>
      <c r="I322" s="7" t="s">
        <v>25</v>
      </c>
      <c r="J322" s="15">
        <v>25</v>
      </c>
    </row>
    <row r="323" spans="1:10" ht="26" x14ac:dyDescent="0.2">
      <c r="A323" s="7" t="s">
        <v>2114</v>
      </c>
      <c r="B323" s="8" t="s">
        <v>111</v>
      </c>
      <c r="C323" s="8" t="s">
        <v>1417</v>
      </c>
      <c r="D323" s="6" t="s">
        <v>113</v>
      </c>
      <c r="E323" s="7" t="s">
        <v>114</v>
      </c>
      <c r="F323" s="7" t="s">
        <v>1419</v>
      </c>
      <c r="G323" s="8" t="s">
        <v>115</v>
      </c>
      <c r="H323" s="8" t="s">
        <v>1420</v>
      </c>
      <c r="I323" s="7" t="s">
        <v>25</v>
      </c>
      <c r="J323" s="15">
        <v>15</v>
      </c>
    </row>
    <row r="324" spans="1:10" ht="26" x14ac:dyDescent="0.2">
      <c r="A324" s="7" t="s">
        <v>2114</v>
      </c>
      <c r="B324" s="8" t="s">
        <v>111</v>
      </c>
      <c r="C324" s="8" t="s">
        <v>1417</v>
      </c>
      <c r="D324" s="6" t="s">
        <v>113</v>
      </c>
      <c r="E324" s="7" t="s">
        <v>114</v>
      </c>
      <c r="F324" s="7" t="s">
        <v>1419</v>
      </c>
      <c r="G324" s="8" t="s">
        <v>1421</v>
      </c>
      <c r="H324" s="8" t="s">
        <v>1422</v>
      </c>
      <c r="I324" s="7" t="s">
        <v>17</v>
      </c>
      <c r="J324" s="15">
        <v>10</v>
      </c>
    </row>
    <row r="325" spans="1:10" ht="52" x14ac:dyDescent="0.2">
      <c r="A325" s="7" t="s">
        <v>2114</v>
      </c>
      <c r="B325" s="8" t="s">
        <v>111</v>
      </c>
      <c r="C325" s="8" t="s">
        <v>1417</v>
      </c>
      <c r="D325" s="6" t="s">
        <v>113</v>
      </c>
      <c r="E325" s="7" t="s">
        <v>114</v>
      </c>
      <c r="F325" s="7" t="s">
        <v>1419</v>
      </c>
      <c r="G325" s="8" t="s">
        <v>119</v>
      </c>
      <c r="H325" s="8" t="s">
        <v>1423</v>
      </c>
      <c r="I325" s="7" t="s">
        <v>25</v>
      </c>
      <c r="J325" s="15">
        <v>15</v>
      </c>
    </row>
    <row r="326" spans="1:10" ht="39" x14ac:dyDescent="0.2">
      <c r="A326" s="7" t="s">
        <v>2114</v>
      </c>
      <c r="B326" s="8" t="s">
        <v>111</v>
      </c>
      <c r="C326" s="8" t="s">
        <v>1417</v>
      </c>
      <c r="D326" s="6" t="s">
        <v>113</v>
      </c>
      <c r="E326" s="7" t="s">
        <v>114</v>
      </c>
      <c r="F326" s="7" t="s">
        <v>1419</v>
      </c>
      <c r="G326" s="8" t="s">
        <v>121</v>
      </c>
      <c r="H326" s="8" t="s">
        <v>1424</v>
      </c>
      <c r="I326" s="7" t="s">
        <v>25</v>
      </c>
      <c r="J326" s="15">
        <v>10</v>
      </c>
    </row>
    <row r="327" spans="1:10" ht="104" x14ac:dyDescent="0.2">
      <c r="A327" s="7" t="s">
        <v>2114</v>
      </c>
      <c r="B327" s="8" t="s">
        <v>111</v>
      </c>
      <c r="C327" s="8" t="s">
        <v>1417</v>
      </c>
      <c r="D327" s="6" t="s">
        <v>113</v>
      </c>
      <c r="E327" s="7" t="s">
        <v>114</v>
      </c>
      <c r="F327" s="7" t="s">
        <v>1419</v>
      </c>
      <c r="G327" s="8" t="s">
        <v>123</v>
      </c>
      <c r="H327" s="8" t="s">
        <v>1425</v>
      </c>
      <c r="I327" s="7" t="s">
        <v>25</v>
      </c>
      <c r="J327" s="15">
        <v>25</v>
      </c>
    </row>
    <row r="328" spans="1:10" ht="78" x14ac:dyDescent="0.2">
      <c r="A328" s="7" t="s">
        <v>2114</v>
      </c>
      <c r="B328" s="8" t="s">
        <v>111</v>
      </c>
      <c r="C328" s="8" t="s">
        <v>2250</v>
      </c>
      <c r="D328" s="6" t="s">
        <v>2248</v>
      </c>
      <c r="E328" s="7" t="s">
        <v>2249</v>
      </c>
      <c r="F328" s="7" t="s">
        <v>1419</v>
      </c>
      <c r="G328" s="8" t="s">
        <v>2251</v>
      </c>
      <c r="H328" s="8" t="s">
        <v>2252</v>
      </c>
      <c r="I328" s="7" t="s">
        <v>17</v>
      </c>
      <c r="J328" s="15">
        <v>20</v>
      </c>
    </row>
    <row r="329" spans="1:10" ht="78" x14ac:dyDescent="0.2">
      <c r="A329" s="7" t="s">
        <v>2114</v>
      </c>
      <c r="B329" s="8" t="s">
        <v>111</v>
      </c>
      <c r="C329" s="8" t="s">
        <v>2250</v>
      </c>
      <c r="D329" s="6" t="s">
        <v>2248</v>
      </c>
      <c r="E329" s="7" t="s">
        <v>2249</v>
      </c>
      <c r="F329" s="7" t="s">
        <v>1419</v>
      </c>
      <c r="G329" s="8" t="s">
        <v>2253</v>
      </c>
      <c r="H329" s="8" t="s">
        <v>2254</v>
      </c>
      <c r="I329" s="7" t="s">
        <v>25</v>
      </c>
      <c r="J329" s="15">
        <v>25</v>
      </c>
    </row>
    <row r="330" spans="1:10" ht="91" x14ac:dyDescent="0.2">
      <c r="A330" s="7" t="s">
        <v>2114</v>
      </c>
      <c r="B330" s="8" t="s">
        <v>111</v>
      </c>
      <c r="C330" s="8" t="s">
        <v>2250</v>
      </c>
      <c r="D330" s="6" t="s">
        <v>2248</v>
      </c>
      <c r="E330" s="7" t="s">
        <v>2249</v>
      </c>
      <c r="F330" s="7" t="s">
        <v>1419</v>
      </c>
      <c r="G330" s="8" t="s">
        <v>2255</v>
      </c>
      <c r="H330" s="8" t="s">
        <v>2256</v>
      </c>
      <c r="I330" s="7" t="s">
        <v>25</v>
      </c>
      <c r="J330" s="15">
        <v>25</v>
      </c>
    </row>
    <row r="331" spans="1:10" ht="65" x14ac:dyDescent="0.2">
      <c r="A331" s="7" t="s">
        <v>2114</v>
      </c>
      <c r="B331" s="8" t="s">
        <v>111</v>
      </c>
      <c r="C331" s="8" t="s">
        <v>2250</v>
      </c>
      <c r="D331" s="6" t="s">
        <v>2248</v>
      </c>
      <c r="E331" s="7" t="s">
        <v>2249</v>
      </c>
      <c r="F331" s="7" t="s">
        <v>1419</v>
      </c>
      <c r="G331" s="8" t="s">
        <v>2257</v>
      </c>
      <c r="H331" s="8" t="s">
        <v>2258</v>
      </c>
      <c r="I331" s="7" t="s">
        <v>17</v>
      </c>
      <c r="J331" s="15">
        <v>10</v>
      </c>
    </row>
    <row r="332" spans="1:10" ht="65" x14ac:dyDescent="0.2">
      <c r="A332" s="7" t="s">
        <v>2114</v>
      </c>
      <c r="B332" s="8" t="s">
        <v>111</v>
      </c>
      <c r="C332" s="8" t="s">
        <v>2250</v>
      </c>
      <c r="D332" s="6" t="s">
        <v>2248</v>
      </c>
      <c r="E332" s="7" t="s">
        <v>2249</v>
      </c>
      <c r="F332" s="7" t="s">
        <v>1419</v>
      </c>
      <c r="G332" s="8" t="s">
        <v>2259</v>
      </c>
      <c r="H332" s="8" t="s">
        <v>2260</v>
      </c>
      <c r="I332" s="7" t="s">
        <v>17</v>
      </c>
      <c r="J332" s="15">
        <v>20</v>
      </c>
    </row>
    <row r="333" spans="1:10" ht="39" x14ac:dyDescent="0.2">
      <c r="A333" s="7" t="s">
        <v>2114</v>
      </c>
      <c r="B333" s="8" t="s">
        <v>111</v>
      </c>
      <c r="C333" s="8" t="s">
        <v>2320</v>
      </c>
      <c r="D333" s="6" t="s">
        <v>1325</v>
      </c>
      <c r="E333" s="7" t="s">
        <v>1326</v>
      </c>
      <c r="F333" s="7" t="s">
        <v>1419</v>
      </c>
      <c r="G333" s="8" t="s">
        <v>1327</v>
      </c>
      <c r="H333" s="8" t="s">
        <v>2321</v>
      </c>
      <c r="I333" s="7" t="s">
        <v>25</v>
      </c>
      <c r="J333" s="15">
        <v>20</v>
      </c>
    </row>
    <row r="334" spans="1:10" ht="143" x14ac:dyDescent="0.2">
      <c r="A334" s="7" t="s">
        <v>2114</v>
      </c>
      <c r="B334" s="8" t="s">
        <v>111</v>
      </c>
      <c r="C334" s="8" t="s">
        <v>2320</v>
      </c>
      <c r="D334" s="6" t="s">
        <v>1325</v>
      </c>
      <c r="E334" s="7" t="s">
        <v>1326</v>
      </c>
      <c r="F334" s="7" t="s">
        <v>1419</v>
      </c>
      <c r="G334" s="8" t="s">
        <v>1333</v>
      </c>
      <c r="H334" s="8" t="s">
        <v>2322</v>
      </c>
      <c r="I334" s="7" t="s">
        <v>17</v>
      </c>
      <c r="J334" s="15">
        <v>20</v>
      </c>
    </row>
    <row r="335" spans="1:10" ht="104" x14ac:dyDescent="0.2">
      <c r="A335" s="7" t="s">
        <v>2114</v>
      </c>
      <c r="B335" s="8" t="s">
        <v>111</v>
      </c>
      <c r="C335" s="8" t="s">
        <v>2320</v>
      </c>
      <c r="D335" s="6" t="s">
        <v>1325</v>
      </c>
      <c r="E335" s="7" t="s">
        <v>1326</v>
      </c>
      <c r="F335" s="7" t="s">
        <v>1419</v>
      </c>
      <c r="G335" s="8" t="s">
        <v>1329</v>
      </c>
      <c r="H335" s="8" t="s">
        <v>2323</v>
      </c>
      <c r="I335" s="7" t="s">
        <v>25</v>
      </c>
      <c r="J335" s="15">
        <v>20</v>
      </c>
    </row>
    <row r="336" spans="1:10" ht="52" x14ac:dyDescent="0.2">
      <c r="A336" s="7" t="s">
        <v>2114</v>
      </c>
      <c r="B336" s="8" t="s">
        <v>111</v>
      </c>
      <c r="C336" s="8" t="s">
        <v>2320</v>
      </c>
      <c r="D336" s="6" t="s">
        <v>1325</v>
      </c>
      <c r="E336" s="7" t="s">
        <v>1326</v>
      </c>
      <c r="F336" s="7" t="s">
        <v>1419</v>
      </c>
      <c r="G336" s="8" t="s">
        <v>2324</v>
      </c>
      <c r="H336" s="8" t="s">
        <v>2325</v>
      </c>
      <c r="I336" s="7" t="s">
        <v>17</v>
      </c>
      <c r="J336" s="15">
        <v>20</v>
      </c>
    </row>
    <row r="337" spans="1:10" ht="78" x14ac:dyDescent="0.2">
      <c r="A337" s="7" t="s">
        <v>2114</v>
      </c>
      <c r="B337" s="8" t="s">
        <v>111</v>
      </c>
      <c r="C337" s="8" t="s">
        <v>2320</v>
      </c>
      <c r="D337" s="6" t="s">
        <v>1325</v>
      </c>
      <c r="E337" s="7" t="s">
        <v>1326</v>
      </c>
      <c r="F337" s="7" t="s">
        <v>1419</v>
      </c>
      <c r="G337" s="8" t="s">
        <v>1331</v>
      </c>
      <c r="H337" s="8" t="s">
        <v>2326</v>
      </c>
      <c r="I337" s="7" t="s">
        <v>17</v>
      </c>
      <c r="J337" s="15">
        <v>20</v>
      </c>
    </row>
    <row r="338" spans="1:10" ht="130" x14ac:dyDescent="0.2">
      <c r="A338" s="7" t="s">
        <v>2114</v>
      </c>
      <c r="B338" s="8" t="s">
        <v>600</v>
      </c>
      <c r="C338" s="8" t="s">
        <v>2800</v>
      </c>
      <c r="D338" s="6" t="s">
        <v>2798</v>
      </c>
      <c r="E338" s="7" t="s">
        <v>2799</v>
      </c>
      <c r="F338" s="7" t="s">
        <v>1045</v>
      </c>
      <c r="G338" s="8" t="s">
        <v>2801</v>
      </c>
      <c r="H338" s="8" t="s">
        <v>2802</v>
      </c>
      <c r="I338" s="7" t="s">
        <v>17</v>
      </c>
      <c r="J338" s="15">
        <v>20</v>
      </c>
    </row>
    <row r="339" spans="1:10" ht="91" x14ac:dyDescent="0.2">
      <c r="A339" s="7" t="s">
        <v>2114</v>
      </c>
      <c r="B339" s="8" t="s">
        <v>600</v>
      </c>
      <c r="C339" s="8" t="s">
        <v>2800</v>
      </c>
      <c r="D339" s="6" t="s">
        <v>2798</v>
      </c>
      <c r="E339" s="7" t="s">
        <v>2799</v>
      </c>
      <c r="F339" s="7" t="s">
        <v>1045</v>
      </c>
      <c r="G339" s="8" t="s">
        <v>1347</v>
      </c>
      <c r="H339" s="8" t="s">
        <v>2803</v>
      </c>
      <c r="I339" s="7" t="s">
        <v>25</v>
      </c>
      <c r="J339" s="15">
        <v>15</v>
      </c>
    </row>
    <row r="340" spans="1:10" ht="91" x14ac:dyDescent="0.2">
      <c r="A340" s="7" t="s">
        <v>2114</v>
      </c>
      <c r="B340" s="8" t="s">
        <v>600</v>
      </c>
      <c r="C340" s="8" t="s">
        <v>2800</v>
      </c>
      <c r="D340" s="6" t="s">
        <v>2798</v>
      </c>
      <c r="E340" s="7" t="s">
        <v>2799</v>
      </c>
      <c r="F340" s="7" t="s">
        <v>1045</v>
      </c>
      <c r="G340" s="8" t="s">
        <v>1349</v>
      </c>
      <c r="H340" s="8" t="s">
        <v>2804</v>
      </c>
      <c r="I340" s="7" t="s">
        <v>17</v>
      </c>
      <c r="J340" s="15">
        <v>20</v>
      </c>
    </row>
    <row r="341" spans="1:10" ht="130" x14ac:dyDescent="0.2">
      <c r="A341" s="7" t="s">
        <v>2114</v>
      </c>
      <c r="B341" s="8" t="s">
        <v>600</v>
      </c>
      <c r="C341" s="8" t="s">
        <v>2800</v>
      </c>
      <c r="D341" s="6" t="s">
        <v>2798</v>
      </c>
      <c r="E341" s="7" t="s">
        <v>2799</v>
      </c>
      <c r="F341" s="7" t="s">
        <v>1045</v>
      </c>
      <c r="G341" s="8" t="s">
        <v>2805</v>
      </c>
      <c r="H341" s="8" t="s">
        <v>2806</v>
      </c>
      <c r="I341" s="7" t="s">
        <v>17</v>
      </c>
      <c r="J341" s="15">
        <v>20</v>
      </c>
    </row>
    <row r="342" spans="1:10" ht="143" x14ac:dyDescent="0.2">
      <c r="A342" s="7" t="s">
        <v>2114</v>
      </c>
      <c r="B342" s="8" t="s">
        <v>600</v>
      </c>
      <c r="C342" s="8" t="s">
        <v>2800</v>
      </c>
      <c r="D342" s="6" t="s">
        <v>2798</v>
      </c>
      <c r="E342" s="7" t="s">
        <v>2799</v>
      </c>
      <c r="F342" s="7" t="s">
        <v>1045</v>
      </c>
      <c r="G342" s="8" t="s">
        <v>1356</v>
      </c>
      <c r="H342" s="8" t="s">
        <v>2807</v>
      </c>
      <c r="I342" s="7" t="s">
        <v>17</v>
      </c>
      <c r="J342" s="15">
        <v>25</v>
      </c>
    </row>
    <row r="343" spans="1:10" ht="91" x14ac:dyDescent="0.2">
      <c r="A343" s="7" t="s">
        <v>2114</v>
      </c>
      <c r="B343" s="8" t="s">
        <v>600</v>
      </c>
      <c r="C343" s="8" t="s">
        <v>1043</v>
      </c>
      <c r="D343" s="6" t="s">
        <v>1041</v>
      </c>
      <c r="E343" s="7" t="s">
        <v>1042</v>
      </c>
      <c r="F343" s="7" t="s">
        <v>1045</v>
      </c>
      <c r="G343" s="8" t="s">
        <v>1046</v>
      </c>
      <c r="H343" s="8" t="s">
        <v>1047</v>
      </c>
      <c r="I343" s="7" t="s">
        <v>17</v>
      </c>
      <c r="J343" s="15">
        <v>10</v>
      </c>
    </row>
    <row r="344" spans="1:10" ht="104" x14ac:dyDescent="0.2">
      <c r="A344" s="7" t="s">
        <v>2114</v>
      </c>
      <c r="B344" s="8" t="s">
        <v>600</v>
      </c>
      <c r="C344" s="8" t="s">
        <v>1043</v>
      </c>
      <c r="D344" s="6" t="s">
        <v>1041</v>
      </c>
      <c r="E344" s="7" t="s">
        <v>1042</v>
      </c>
      <c r="F344" s="7" t="s">
        <v>1045</v>
      </c>
      <c r="G344" s="8" t="s">
        <v>1048</v>
      </c>
      <c r="H344" s="8" t="s">
        <v>1049</v>
      </c>
      <c r="I344" s="7" t="s">
        <v>17</v>
      </c>
      <c r="J344" s="15">
        <v>20</v>
      </c>
    </row>
    <row r="345" spans="1:10" ht="78" x14ac:dyDescent="0.2">
      <c r="A345" s="7" t="s">
        <v>2114</v>
      </c>
      <c r="B345" s="8" t="s">
        <v>600</v>
      </c>
      <c r="C345" s="8" t="s">
        <v>1043</v>
      </c>
      <c r="D345" s="6" t="s">
        <v>1041</v>
      </c>
      <c r="E345" s="7" t="s">
        <v>1042</v>
      </c>
      <c r="F345" s="7" t="s">
        <v>1045</v>
      </c>
      <c r="G345" s="8" t="s">
        <v>1050</v>
      </c>
      <c r="H345" s="8" t="s">
        <v>1051</v>
      </c>
      <c r="I345" s="7" t="s">
        <v>17</v>
      </c>
      <c r="J345" s="15">
        <v>15</v>
      </c>
    </row>
    <row r="346" spans="1:10" ht="104" x14ac:dyDescent="0.2">
      <c r="A346" s="7" t="s">
        <v>2114</v>
      </c>
      <c r="B346" s="8" t="s">
        <v>600</v>
      </c>
      <c r="C346" s="8" t="s">
        <v>1043</v>
      </c>
      <c r="D346" s="6" t="s">
        <v>1041</v>
      </c>
      <c r="E346" s="7" t="s">
        <v>1042</v>
      </c>
      <c r="F346" s="7" t="s">
        <v>1045</v>
      </c>
      <c r="G346" s="8" t="s">
        <v>1052</v>
      </c>
      <c r="H346" s="8" t="s">
        <v>1053</v>
      </c>
      <c r="I346" s="7" t="s">
        <v>25</v>
      </c>
      <c r="J346" s="15">
        <v>20</v>
      </c>
    </row>
    <row r="347" spans="1:10" ht="117" x14ac:dyDescent="0.2">
      <c r="A347" s="7" t="s">
        <v>2114</v>
      </c>
      <c r="B347" s="8" t="s">
        <v>600</v>
      </c>
      <c r="C347" s="8" t="s">
        <v>1043</v>
      </c>
      <c r="D347" s="6" t="s">
        <v>1041</v>
      </c>
      <c r="E347" s="7" t="s">
        <v>1042</v>
      </c>
      <c r="F347" s="7" t="s">
        <v>1045</v>
      </c>
      <c r="G347" s="8" t="s">
        <v>1054</v>
      </c>
      <c r="H347" s="8" t="s">
        <v>1055</v>
      </c>
      <c r="I347" s="7" t="s">
        <v>17</v>
      </c>
      <c r="J347" s="15">
        <v>20</v>
      </c>
    </row>
    <row r="348" spans="1:10" ht="130" x14ac:dyDescent="0.2">
      <c r="A348" s="7" t="s">
        <v>2114</v>
      </c>
      <c r="B348" s="8" t="s">
        <v>600</v>
      </c>
      <c r="C348" s="8" t="s">
        <v>1043</v>
      </c>
      <c r="D348" s="6" t="s">
        <v>1041</v>
      </c>
      <c r="E348" s="7" t="s">
        <v>1042</v>
      </c>
      <c r="F348" s="7" t="s">
        <v>1045</v>
      </c>
      <c r="G348" s="8" t="s">
        <v>1056</v>
      </c>
      <c r="H348" s="8" t="s">
        <v>1057</v>
      </c>
      <c r="I348" s="7" t="s">
        <v>17</v>
      </c>
      <c r="J348" s="15">
        <v>15</v>
      </c>
    </row>
    <row r="349" spans="1:10" ht="143" x14ac:dyDescent="0.2">
      <c r="A349" s="7" t="s">
        <v>2114</v>
      </c>
      <c r="B349" s="8" t="s">
        <v>600</v>
      </c>
      <c r="C349" s="8" t="s">
        <v>1274</v>
      </c>
      <c r="D349" s="6" t="s">
        <v>1272</v>
      </c>
      <c r="E349" s="7" t="s">
        <v>1273</v>
      </c>
      <c r="F349" s="7" t="s">
        <v>1045</v>
      </c>
      <c r="G349" s="8" t="s">
        <v>1275</v>
      </c>
      <c r="H349" s="8" t="s">
        <v>1276</v>
      </c>
      <c r="I349" s="7" t="s">
        <v>17</v>
      </c>
      <c r="J349" s="15">
        <v>20</v>
      </c>
    </row>
    <row r="350" spans="1:10" ht="91" x14ac:dyDescent="0.2">
      <c r="A350" s="7" t="s">
        <v>2114</v>
      </c>
      <c r="B350" s="8" t="s">
        <v>600</v>
      </c>
      <c r="C350" s="8" t="s">
        <v>1274</v>
      </c>
      <c r="D350" s="6" t="s">
        <v>1272</v>
      </c>
      <c r="E350" s="7" t="s">
        <v>1273</v>
      </c>
      <c r="F350" s="7" t="s">
        <v>1045</v>
      </c>
      <c r="G350" s="8" t="s">
        <v>1277</v>
      </c>
      <c r="H350" s="8" t="s">
        <v>1278</v>
      </c>
      <c r="I350" s="7" t="s">
        <v>17</v>
      </c>
      <c r="J350" s="15">
        <v>25</v>
      </c>
    </row>
    <row r="351" spans="1:10" ht="130" x14ac:dyDescent="0.2">
      <c r="A351" s="7" t="s">
        <v>2114</v>
      </c>
      <c r="B351" s="8" t="s">
        <v>600</v>
      </c>
      <c r="C351" s="8" t="s">
        <v>1274</v>
      </c>
      <c r="D351" s="6" t="s">
        <v>1272</v>
      </c>
      <c r="E351" s="7" t="s">
        <v>1273</v>
      </c>
      <c r="F351" s="7" t="s">
        <v>1045</v>
      </c>
      <c r="G351" s="8" t="s">
        <v>1279</v>
      </c>
      <c r="H351" s="8" t="s">
        <v>1280</v>
      </c>
      <c r="I351" s="7" t="s">
        <v>17</v>
      </c>
      <c r="J351" s="15">
        <v>10</v>
      </c>
    </row>
    <row r="352" spans="1:10" ht="142.75" customHeight="1" x14ac:dyDescent="0.2">
      <c r="A352" s="7" t="s">
        <v>2114</v>
      </c>
      <c r="B352" s="8" t="s">
        <v>600</v>
      </c>
      <c r="C352" s="8" t="s">
        <v>1274</v>
      </c>
      <c r="D352" s="6" t="s">
        <v>1272</v>
      </c>
      <c r="E352" s="7" t="s">
        <v>1273</v>
      </c>
      <c r="F352" s="7" t="s">
        <v>1045</v>
      </c>
      <c r="G352" s="8" t="s">
        <v>1281</v>
      </c>
      <c r="H352" s="8" t="s">
        <v>1282</v>
      </c>
      <c r="I352" s="7" t="s">
        <v>25</v>
      </c>
      <c r="J352" s="15">
        <v>25</v>
      </c>
    </row>
    <row r="353" spans="1:10" ht="156" x14ac:dyDescent="0.2">
      <c r="A353" s="7" t="s">
        <v>2114</v>
      </c>
      <c r="B353" s="8" t="s">
        <v>600</v>
      </c>
      <c r="C353" s="8" t="s">
        <v>1274</v>
      </c>
      <c r="D353" s="6" t="s">
        <v>1272</v>
      </c>
      <c r="E353" s="7" t="s">
        <v>1273</v>
      </c>
      <c r="F353" s="7" t="s">
        <v>1045</v>
      </c>
      <c r="G353" s="8" t="s">
        <v>1283</v>
      </c>
      <c r="H353" s="8" t="s">
        <v>1284</v>
      </c>
      <c r="I353" s="7" t="s">
        <v>17</v>
      </c>
      <c r="J353" s="15">
        <v>20</v>
      </c>
    </row>
    <row r="354" spans="1:10" ht="78" x14ac:dyDescent="0.2">
      <c r="A354" s="7" t="s">
        <v>2114</v>
      </c>
      <c r="B354" s="8" t="s">
        <v>600</v>
      </c>
      <c r="C354" s="8" t="s">
        <v>601</v>
      </c>
      <c r="D354" s="6" t="s">
        <v>598</v>
      </c>
      <c r="E354" s="7" t="s">
        <v>599</v>
      </c>
      <c r="F354" s="7" t="s">
        <v>265</v>
      </c>
      <c r="G354" s="8" t="s">
        <v>602</v>
      </c>
      <c r="H354" s="8" t="s">
        <v>2986</v>
      </c>
      <c r="I354" s="7" t="s">
        <v>25</v>
      </c>
      <c r="J354" s="13">
        <v>20</v>
      </c>
    </row>
    <row r="355" spans="1:10" ht="65" x14ac:dyDescent="0.2">
      <c r="A355" s="7" t="s">
        <v>2114</v>
      </c>
      <c r="B355" s="8" t="s">
        <v>600</v>
      </c>
      <c r="C355" s="8" t="s">
        <v>601</v>
      </c>
      <c r="D355" s="6" t="s">
        <v>598</v>
      </c>
      <c r="E355" s="7" t="s">
        <v>599</v>
      </c>
      <c r="F355" s="7" t="s">
        <v>265</v>
      </c>
      <c r="G355" s="8" t="s">
        <v>603</v>
      </c>
      <c r="H355" s="8" t="s">
        <v>2987</v>
      </c>
      <c r="I355" s="7" t="s">
        <v>25</v>
      </c>
      <c r="J355" s="13">
        <v>20</v>
      </c>
    </row>
    <row r="356" spans="1:10" ht="65" x14ac:dyDescent="0.2">
      <c r="A356" s="7" t="s">
        <v>2114</v>
      </c>
      <c r="B356" s="8" t="s">
        <v>600</v>
      </c>
      <c r="C356" s="8" t="s">
        <v>601</v>
      </c>
      <c r="D356" s="6" t="s">
        <v>598</v>
      </c>
      <c r="E356" s="7" t="s">
        <v>599</v>
      </c>
      <c r="F356" s="7" t="s">
        <v>265</v>
      </c>
      <c r="G356" s="8" t="s">
        <v>604</v>
      </c>
      <c r="H356" s="8" t="s">
        <v>2988</v>
      </c>
      <c r="I356" s="7" t="s">
        <v>25</v>
      </c>
      <c r="J356" s="13">
        <v>20</v>
      </c>
    </row>
    <row r="357" spans="1:10" ht="117" x14ac:dyDescent="0.2">
      <c r="A357" s="7" t="s">
        <v>2114</v>
      </c>
      <c r="B357" s="8" t="s">
        <v>600</v>
      </c>
      <c r="C357" s="8" t="s">
        <v>601</v>
      </c>
      <c r="D357" s="6" t="s">
        <v>598</v>
      </c>
      <c r="E357" s="7" t="s">
        <v>599</v>
      </c>
      <c r="F357" s="7" t="s">
        <v>265</v>
      </c>
      <c r="G357" s="8" t="s">
        <v>605</v>
      </c>
      <c r="H357" s="8" t="s">
        <v>606</v>
      </c>
      <c r="I357" s="7" t="s">
        <v>25</v>
      </c>
      <c r="J357" s="13">
        <v>25</v>
      </c>
    </row>
    <row r="358" spans="1:10" ht="104" x14ac:dyDescent="0.2">
      <c r="A358" s="7" t="s">
        <v>2114</v>
      </c>
      <c r="B358" s="8" t="s">
        <v>600</v>
      </c>
      <c r="C358" s="8" t="s">
        <v>601</v>
      </c>
      <c r="D358" s="6" t="s">
        <v>598</v>
      </c>
      <c r="E358" s="7" t="s">
        <v>599</v>
      </c>
      <c r="F358" s="7" t="s">
        <v>265</v>
      </c>
      <c r="G358" s="8" t="s">
        <v>607</v>
      </c>
      <c r="H358" s="8" t="s">
        <v>2989</v>
      </c>
      <c r="I358" s="7" t="s">
        <v>25</v>
      </c>
      <c r="J358" s="13">
        <v>15</v>
      </c>
    </row>
    <row r="359" spans="1:10" ht="182" x14ac:dyDescent="0.2">
      <c r="A359" s="7" t="s">
        <v>2114</v>
      </c>
      <c r="B359" s="8" t="s">
        <v>600</v>
      </c>
      <c r="C359" s="8" t="s">
        <v>2310</v>
      </c>
      <c r="D359" s="6" t="s">
        <v>2308</v>
      </c>
      <c r="E359" s="7" t="s">
        <v>2309</v>
      </c>
      <c r="F359" s="7" t="s">
        <v>1045</v>
      </c>
      <c r="G359" s="8" t="s">
        <v>858</v>
      </c>
      <c r="H359" s="8" t="s">
        <v>2311</v>
      </c>
      <c r="I359" s="7" t="s">
        <v>25</v>
      </c>
      <c r="J359" s="15">
        <v>15</v>
      </c>
    </row>
    <row r="360" spans="1:10" ht="91" x14ac:dyDescent="0.2">
      <c r="A360" s="7" t="s">
        <v>2114</v>
      </c>
      <c r="B360" s="8" t="s">
        <v>600</v>
      </c>
      <c r="C360" s="8" t="s">
        <v>2310</v>
      </c>
      <c r="D360" s="6" t="s">
        <v>2308</v>
      </c>
      <c r="E360" s="7" t="s">
        <v>2309</v>
      </c>
      <c r="F360" s="7" t="s">
        <v>1045</v>
      </c>
      <c r="G360" s="8" t="s">
        <v>2312</v>
      </c>
      <c r="H360" s="8" t="s">
        <v>2313</v>
      </c>
      <c r="I360" s="7" t="s">
        <v>17</v>
      </c>
      <c r="J360" s="15">
        <v>15</v>
      </c>
    </row>
    <row r="361" spans="1:10" ht="91" x14ac:dyDescent="0.2">
      <c r="A361" s="7" t="s">
        <v>2114</v>
      </c>
      <c r="B361" s="8" t="s">
        <v>600</v>
      </c>
      <c r="C361" s="8" t="s">
        <v>2310</v>
      </c>
      <c r="D361" s="6" t="s">
        <v>2308</v>
      </c>
      <c r="E361" s="7" t="s">
        <v>2309</v>
      </c>
      <c r="F361" s="7" t="s">
        <v>1045</v>
      </c>
      <c r="G361" s="8" t="s">
        <v>2314</v>
      </c>
      <c r="H361" s="8" t="s">
        <v>2315</v>
      </c>
      <c r="I361" s="7" t="s">
        <v>17</v>
      </c>
      <c r="J361" s="15">
        <v>15</v>
      </c>
    </row>
    <row r="362" spans="1:10" ht="78" x14ac:dyDescent="0.2">
      <c r="A362" s="7" t="s">
        <v>2114</v>
      </c>
      <c r="B362" s="8" t="s">
        <v>600</v>
      </c>
      <c r="C362" s="8" t="s">
        <v>2310</v>
      </c>
      <c r="D362" s="6" t="s">
        <v>2308</v>
      </c>
      <c r="E362" s="7" t="s">
        <v>2309</v>
      </c>
      <c r="F362" s="7" t="s">
        <v>1045</v>
      </c>
      <c r="G362" s="8" t="s">
        <v>2316</v>
      </c>
      <c r="H362" s="8" t="s">
        <v>2317</v>
      </c>
      <c r="I362" s="7" t="s">
        <v>17</v>
      </c>
      <c r="J362" s="15">
        <v>15</v>
      </c>
    </row>
    <row r="363" spans="1:10" ht="104" x14ac:dyDescent="0.2">
      <c r="A363" s="7" t="s">
        <v>2114</v>
      </c>
      <c r="B363" s="8" t="s">
        <v>600</v>
      </c>
      <c r="C363" s="8" t="s">
        <v>2310</v>
      </c>
      <c r="D363" s="6" t="s">
        <v>2308</v>
      </c>
      <c r="E363" s="7" t="s">
        <v>2309</v>
      </c>
      <c r="F363" s="7" t="s">
        <v>1045</v>
      </c>
      <c r="G363" s="8" t="s">
        <v>603</v>
      </c>
      <c r="H363" s="8" t="s">
        <v>2318</v>
      </c>
      <c r="I363" s="7" t="s">
        <v>25</v>
      </c>
      <c r="J363" s="15">
        <v>20</v>
      </c>
    </row>
    <row r="364" spans="1:10" ht="182" x14ac:dyDescent="0.2">
      <c r="A364" s="7" t="s">
        <v>2114</v>
      </c>
      <c r="B364" s="8" t="s">
        <v>600</v>
      </c>
      <c r="C364" s="8" t="s">
        <v>2310</v>
      </c>
      <c r="D364" s="6" t="s">
        <v>2308</v>
      </c>
      <c r="E364" s="7" t="s">
        <v>2309</v>
      </c>
      <c r="F364" s="7" t="s">
        <v>1045</v>
      </c>
      <c r="G364" s="8" t="s">
        <v>605</v>
      </c>
      <c r="H364" s="8" t="s">
        <v>2319</v>
      </c>
      <c r="I364" s="7" t="s">
        <v>25</v>
      </c>
      <c r="J364" s="15">
        <v>20</v>
      </c>
    </row>
    <row r="365" spans="1:10" ht="169" x14ac:dyDescent="0.2">
      <c r="A365" s="7" t="s">
        <v>2114</v>
      </c>
      <c r="B365" s="8" t="s">
        <v>600</v>
      </c>
      <c r="C365" s="8" t="s">
        <v>1360</v>
      </c>
      <c r="D365" s="6" t="s">
        <v>1358</v>
      </c>
      <c r="E365" s="7" t="s">
        <v>1359</v>
      </c>
      <c r="F365" s="7" t="s">
        <v>1045</v>
      </c>
      <c r="G365" s="8" t="s">
        <v>1361</v>
      </c>
      <c r="H365" s="8" t="s">
        <v>1362</v>
      </c>
      <c r="I365" s="7" t="s">
        <v>17</v>
      </c>
      <c r="J365" s="15">
        <v>15</v>
      </c>
    </row>
    <row r="366" spans="1:10" ht="78" x14ac:dyDescent="0.2">
      <c r="A366" s="7" t="s">
        <v>2114</v>
      </c>
      <c r="B366" s="8" t="s">
        <v>600</v>
      </c>
      <c r="C366" s="8" t="s">
        <v>1360</v>
      </c>
      <c r="D366" s="6" t="s">
        <v>1358</v>
      </c>
      <c r="E366" s="7" t="s">
        <v>1359</v>
      </c>
      <c r="F366" s="7" t="s">
        <v>1045</v>
      </c>
      <c r="G366" s="8" t="s">
        <v>1363</v>
      </c>
      <c r="H366" s="8" t="s">
        <v>1364</v>
      </c>
      <c r="I366" s="7" t="s">
        <v>17</v>
      </c>
      <c r="J366" s="15">
        <v>20</v>
      </c>
    </row>
    <row r="367" spans="1:10" ht="182" x14ac:dyDescent="0.2">
      <c r="A367" s="7" t="s">
        <v>2114</v>
      </c>
      <c r="B367" s="8" t="s">
        <v>600</v>
      </c>
      <c r="C367" s="8" t="s">
        <v>1360</v>
      </c>
      <c r="D367" s="6" t="s">
        <v>1358</v>
      </c>
      <c r="E367" s="7" t="s">
        <v>1359</v>
      </c>
      <c r="F367" s="7" t="s">
        <v>1045</v>
      </c>
      <c r="G367" s="8" t="s">
        <v>1365</v>
      </c>
      <c r="H367" s="8" t="s">
        <v>1366</v>
      </c>
      <c r="I367" s="7" t="s">
        <v>17</v>
      </c>
      <c r="J367" s="15">
        <v>10</v>
      </c>
    </row>
    <row r="368" spans="1:10" ht="104" x14ac:dyDescent="0.2">
      <c r="A368" s="7" t="s">
        <v>2114</v>
      </c>
      <c r="B368" s="8" t="s">
        <v>600</v>
      </c>
      <c r="C368" s="8" t="s">
        <v>1360</v>
      </c>
      <c r="D368" s="6" t="s">
        <v>1358</v>
      </c>
      <c r="E368" s="7" t="s">
        <v>1359</v>
      </c>
      <c r="F368" s="7" t="s">
        <v>1045</v>
      </c>
      <c r="G368" s="8" t="s">
        <v>1367</v>
      </c>
      <c r="H368" s="8" t="s">
        <v>1368</v>
      </c>
      <c r="I368" s="7" t="s">
        <v>17</v>
      </c>
      <c r="J368" s="15">
        <v>10</v>
      </c>
    </row>
    <row r="369" spans="1:10" ht="195" x14ac:dyDescent="0.2">
      <c r="A369" s="7" t="s">
        <v>2114</v>
      </c>
      <c r="B369" s="8" t="s">
        <v>600</v>
      </c>
      <c r="C369" s="8" t="s">
        <v>1360</v>
      </c>
      <c r="D369" s="6" t="s">
        <v>1358</v>
      </c>
      <c r="E369" s="7" t="s">
        <v>1359</v>
      </c>
      <c r="F369" s="7" t="s">
        <v>1045</v>
      </c>
      <c r="G369" s="8" t="s">
        <v>605</v>
      </c>
      <c r="H369" s="8" t="s">
        <v>1369</v>
      </c>
      <c r="I369" s="7" t="s">
        <v>17</v>
      </c>
      <c r="J369" s="15">
        <v>15</v>
      </c>
    </row>
    <row r="370" spans="1:10" ht="156" x14ac:dyDescent="0.2">
      <c r="A370" s="7" t="s">
        <v>2114</v>
      </c>
      <c r="B370" s="8" t="s">
        <v>600</v>
      </c>
      <c r="C370" s="8" t="s">
        <v>1360</v>
      </c>
      <c r="D370" s="6" t="s">
        <v>1358</v>
      </c>
      <c r="E370" s="7" t="s">
        <v>1359</v>
      </c>
      <c r="F370" s="7" t="s">
        <v>1045</v>
      </c>
      <c r="G370" s="8" t="s">
        <v>1370</v>
      </c>
      <c r="H370" s="8" t="s">
        <v>1371</v>
      </c>
      <c r="I370" s="7" t="s">
        <v>17</v>
      </c>
      <c r="J370" s="15">
        <v>10</v>
      </c>
    </row>
    <row r="371" spans="1:10" ht="91" x14ac:dyDescent="0.2">
      <c r="A371" s="7" t="s">
        <v>2114</v>
      </c>
      <c r="B371" s="8" t="s">
        <v>600</v>
      </c>
      <c r="C371" s="8" t="s">
        <v>1360</v>
      </c>
      <c r="D371" s="6" t="s">
        <v>1358</v>
      </c>
      <c r="E371" s="7" t="s">
        <v>1359</v>
      </c>
      <c r="F371" s="7" t="s">
        <v>1045</v>
      </c>
      <c r="G371" s="8" t="s">
        <v>1372</v>
      </c>
      <c r="H371" s="8" t="s">
        <v>1373</v>
      </c>
      <c r="I371" s="7" t="s">
        <v>25</v>
      </c>
      <c r="J371" s="15">
        <v>20</v>
      </c>
    </row>
    <row r="372" spans="1:10" ht="78" x14ac:dyDescent="0.2">
      <c r="A372" s="7" t="s">
        <v>2114</v>
      </c>
      <c r="B372" s="8" t="s">
        <v>600</v>
      </c>
      <c r="C372" s="8" t="s">
        <v>1346</v>
      </c>
      <c r="D372" s="6" t="s">
        <v>1344</v>
      </c>
      <c r="E372" s="7" t="s">
        <v>1345</v>
      </c>
      <c r="F372" s="7" t="s">
        <v>1045</v>
      </c>
      <c r="G372" s="8" t="s">
        <v>1347</v>
      </c>
      <c r="H372" s="8" t="s">
        <v>1348</v>
      </c>
      <c r="I372" s="7" t="s">
        <v>25</v>
      </c>
      <c r="J372" s="15">
        <v>15</v>
      </c>
    </row>
    <row r="373" spans="1:10" ht="91" x14ac:dyDescent="0.2">
      <c r="A373" s="7" t="s">
        <v>2114</v>
      </c>
      <c r="B373" s="8" t="s">
        <v>600</v>
      </c>
      <c r="C373" s="8" t="s">
        <v>1346</v>
      </c>
      <c r="D373" s="6" t="s">
        <v>1344</v>
      </c>
      <c r="E373" s="7" t="s">
        <v>1345</v>
      </c>
      <c r="F373" s="7" t="s">
        <v>1045</v>
      </c>
      <c r="G373" s="8" t="s">
        <v>1349</v>
      </c>
      <c r="H373" s="8" t="s">
        <v>1350</v>
      </c>
      <c r="I373" s="7" t="s">
        <v>17</v>
      </c>
      <c r="J373" s="15">
        <v>20</v>
      </c>
    </row>
    <row r="374" spans="1:10" ht="117" x14ac:dyDescent="0.2">
      <c r="A374" s="7" t="s">
        <v>2114</v>
      </c>
      <c r="B374" s="8" t="s">
        <v>600</v>
      </c>
      <c r="C374" s="8" t="s">
        <v>1346</v>
      </c>
      <c r="D374" s="6" t="s">
        <v>1344</v>
      </c>
      <c r="E374" s="7" t="s">
        <v>1345</v>
      </c>
      <c r="F374" s="7" t="s">
        <v>1045</v>
      </c>
      <c r="G374" s="8" t="s">
        <v>1351</v>
      </c>
      <c r="H374" s="8" t="s">
        <v>1352</v>
      </c>
      <c r="I374" s="7" t="s">
        <v>17</v>
      </c>
      <c r="J374" s="15">
        <v>15</v>
      </c>
    </row>
    <row r="375" spans="1:10" ht="117" x14ac:dyDescent="0.2">
      <c r="A375" s="7" t="s">
        <v>2114</v>
      </c>
      <c r="B375" s="8" t="s">
        <v>600</v>
      </c>
      <c r="C375" s="8" t="s">
        <v>1346</v>
      </c>
      <c r="D375" s="6" t="s">
        <v>1344</v>
      </c>
      <c r="E375" s="7" t="s">
        <v>1345</v>
      </c>
      <c r="F375" s="7" t="s">
        <v>1045</v>
      </c>
      <c r="G375" s="8" t="s">
        <v>1353</v>
      </c>
      <c r="H375" s="8" t="s">
        <v>1354</v>
      </c>
      <c r="I375" s="7" t="s">
        <v>17</v>
      </c>
      <c r="J375" s="15">
        <v>15</v>
      </c>
    </row>
    <row r="376" spans="1:10" ht="182" x14ac:dyDescent="0.2">
      <c r="A376" s="7" t="s">
        <v>2114</v>
      </c>
      <c r="B376" s="8" t="s">
        <v>600</v>
      </c>
      <c r="C376" s="8" t="s">
        <v>1346</v>
      </c>
      <c r="D376" s="6" t="s">
        <v>1344</v>
      </c>
      <c r="E376" s="7" t="s">
        <v>1345</v>
      </c>
      <c r="F376" s="7" t="s">
        <v>1045</v>
      </c>
      <c r="G376" s="8" t="s">
        <v>605</v>
      </c>
      <c r="H376" s="8" t="s">
        <v>1355</v>
      </c>
      <c r="I376" s="7" t="s">
        <v>25</v>
      </c>
      <c r="J376" s="15">
        <v>15</v>
      </c>
    </row>
    <row r="377" spans="1:10" ht="130" x14ac:dyDescent="0.2">
      <c r="A377" s="7" t="s">
        <v>2114</v>
      </c>
      <c r="B377" s="8" t="s">
        <v>600</v>
      </c>
      <c r="C377" s="8" t="s">
        <v>1346</v>
      </c>
      <c r="D377" s="6" t="s">
        <v>1344</v>
      </c>
      <c r="E377" s="7" t="s">
        <v>1345</v>
      </c>
      <c r="F377" s="7" t="s">
        <v>1045</v>
      </c>
      <c r="G377" s="8" t="s">
        <v>1356</v>
      </c>
      <c r="H377" s="8" t="s">
        <v>1357</v>
      </c>
      <c r="I377" s="7" t="s">
        <v>17</v>
      </c>
      <c r="J377" s="15">
        <v>20</v>
      </c>
    </row>
    <row r="378" spans="1:10" ht="195" x14ac:dyDescent="0.2">
      <c r="A378" s="7" t="s">
        <v>2114</v>
      </c>
      <c r="B378" s="8" t="s">
        <v>600</v>
      </c>
      <c r="C378" s="8" t="s">
        <v>2716</v>
      </c>
      <c r="D378" s="6" t="s">
        <v>2714</v>
      </c>
      <c r="E378" s="7" t="s">
        <v>2715</v>
      </c>
      <c r="F378" s="7" t="s">
        <v>1045</v>
      </c>
      <c r="G378" s="8" t="s">
        <v>605</v>
      </c>
      <c r="H378" s="8" t="s">
        <v>2717</v>
      </c>
      <c r="I378" s="7" t="s">
        <v>25</v>
      </c>
      <c r="J378" s="15">
        <v>20</v>
      </c>
    </row>
    <row r="379" spans="1:10" ht="130" x14ac:dyDescent="0.2">
      <c r="A379" s="7" t="s">
        <v>2114</v>
      </c>
      <c r="B379" s="8" t="s">
        <v>600</v>
      </c>
      <c r="C379" s="8" t="s">
        <v>2716</v>
      </c>
      <c r="D379" s="6" t="s">
        <v>2714</v>
      </c>
      <c r="E379" s="7" t="s">
        <v>2715</v>
      </c>
      <c r="F379" s="7" t="s">
        <v>1045</v>
      </c>
      <c r="G379" s="8" t="s">
        <v>1275</v>
      </c>
      <c r="H379" s="8" t="s">
        <v>2718</v>
      </c>
      <c r="I379" s="7" t="s">
        <v>17</v>
      </c>
      <c r="J379" s="15">
        <v>10</v>
      </c>
    </row>
    <row r="380" spans="1:10" ht="143" x14ac:dyDescent="0.2">
      <c r="A380" s="7" t="s">
        <v>2114</v>
      </c>
      <c r="B380" s="8" t="s">
        <v>600</v>
      </c>
      <c r="C380" s="8" t="s">
        <v>2716</v>
      </c>
      <c r="D380" s="6" t="s">
        <v>2714</v>
      </c>
      <c r="E380" s="7" t="s">
        <v>2715</v>
      </c>
      <c r="F380" s="7" t="s">
        <v>1045</v>
      </c>
      <c r="G380" s="8" t="s">
        <v>1279</v>
      </c>
      <c r="H380" s="8" t="s">
        <v>2719</v>
      </c>
      <c r="I380" s="7" t="s">
        <v>17</v>
      </c>
      <c r="J380" s="15">
        <v>5</v>
      </c>
    </row>
    <row r="381" spans="1:10" ht="156" x14ac:dyDescent="0.2">
      <c r="A381" s="7" t="s">
        <v>2114</v>
      </c>
      <c r="B381" s="8" t="s">
        <v>600</v>
      </c>
      <c r="C381" s="8" t="s">
        <v>2716</v>
      </c>
      <c r="D381" s="6" t="s">
        <v>2714</v>
      </c>
      <c r="E381" s="7" t="s">
        <v>2715</v>
      </c>
      <c r="F381" s="7" t="s">
        <v>1045</v>
      </c>
      <c r="G381" s="8" t="s">
        <v>1283</v>
      </c>
      <c r="H381" s="8" t="s">
        <v>2720</v>
      </c>
      <c r="I381" s="7" t="s">
        <v>17</v>
      </c>
      <c r="J381" s="15">
        <v>10</v>
      </c>
    </row>
    <row r="382" spans="1:10" ht="104" x14ac:dyDescent="0.2">
      <c r="A382" s="7" t="s">
        <v>2114</v>
      </c>
      <c r="B382" s="8" t="s">
        <v>600</v>
      </c>
      <c r="C382" s="8" t="s">
        <v>2716</v>
      </c>
      <c r="D382" s="6" t="s">
        <v>2714</v>
      </c>
      <c r="E382" s="7" t="s">
        <v>2715</v>
      </c>
      <c r="F382" s="7" t="s">
        <v>1045</v>
      </c>
      <c r="G382" s="8" t="s">
        <v>1281</v>
      </c>
      <c r="H382" s="8" t="s">
        <v>2721</v>
      </c>
      <c r="I382" s="7" t="s">
        <v>25</v>
      </c>
      <c r="J382" s="15">
        <v>20</v>
      </c>
    </row>
    <row r="383" spans="1:10" ht="143" x14ac:dyDescent="0.2">
      <c r="A383" s="7" t="s">
        <v>2114</v>
      </c>
      <c r="B383" s="8" t="s">
        <v>600</v>
      </c>
      <c r="C383" s="8" t="s">
        <v>2716</v>
      </c>
      <c r="D383" s="6" t="s">
        <v>2714</v>
      </c>
      <c r="E383" s="7" t="s">
        <v>2715</v>
      </c>
      <c r="F383" s="7" t="s">
        <v>1045</v>
      </c>
      <c r="G383" s="8" t="s">
        <v>2722</v>
      </c>
      <c r="H383" s="8" t="s">
        <v>2723</v>
      </c>
      <c r="I383" s="7" t="s">
        <v>17</v>
      </c>
      <c r="J383" s="15">
        <v>15</v>
      </c>
    </row>
    <row r="384" spans="1:10" ht="91" x14ac:dyDescent="0.2">
      <c r="A384" s="7" t="s">
        <v>2114</v>
      </c>
      <c r="B384" s="8" t="s">
        <v>600</v>
      </c>
      <c r="C384" s="8" t="s">
        <v>2716</v>
      </c>
      <c r="D384" s="6" t="s">
        <v>2714</v>
      </c>
      <c r="E384" s="7" t="s">
        <v>2715</v>
      </c>
      <c r="F384" s="7" t="s">
        <v>1045</v>
      </c>
      <c r="G384" s="8" t="s">
        <v>1277</v>
      </c>
      <c r="H384" s="8" t="s">
        <v>2724</v>
      </c>
      <c r="I384" s="7" t="s">
        <v>17</v>
      </c>
      <c r="J384" s="15">
        <v>10</v>
      </c>
    </row>
    <row r="385" spans="1:10" ht="130" x14ac:dyDescent="0.2">
      <c r="A385" s="7" t="s">
        <v>2114</v>
      </c>
      <c r="B385" s="8" t="s">
        <v>600</v>
      </c>
      <c r="C385" s="8" t="s">
        <v>2716</v>
      </c>
      <c r="D385" s="6" t="s">
        <v>2714</v>
      </c>
      <c r="E385" s="7" t="s">
        <v>2715</v>
      </c>
      <c r="F385" s="7" t="s">
        <v>1045</v>
      </c>
      <c r="G385" s="8" t="s">
        <v>2725</v>
      </c>
      <c r="H385" s="8" t="s">
        <v>2726</v>
      </c>
      <c r="I385" s="7" t="s">
        <v>17</v>
      </c>
      <c r="J385" s="15">
        <v>10</v>
      </c>
    </row>
    <row r="386" spans="1:10" ht="91" x14ac:dyDescent="0.2">
      <c r="A386" s="7" t="s">
        <v>2114</v>
      </c>
      <c r="B386" s="8" t="s">
        <v>600</v>
      </c>
      <c r="C386" s="8" t="s">
        <v>1428</v>
      </c>
      <c r="D386" s="6" t="s">
        <v>1426</v>
      </c>
      <c r="E386" s="7" t="s">
        <v>1427</v>
      </c>
      <c r="F386" s="7" t="s">
        <v>1045</v>
      </c>
      <c r="G386" s="8" t="s">
        <v>1046</v>
      </c>
      <c r="H386" s="8" t="s">
        <v>1429</v>
      </c>
      <c r="I386" s="7" t="s">
        <v>17</v>
      </c>
      <c r="J386" s="15">
        <v>10</v>
      </c>
    </row>
    <row r="387" spans="1:10" ht="65" x14ac:dyDescent="0.2">
      <c r="A387" s="7" t="s">
        <v>2114</v>
      </c>
      <c r="B387" s="8" t="s">
        <v>600</v>
      </c>
      <c r="C387" s="8" t="s">
        <v>1428</v>
      </c>
      <c r="D387" s="6" t="s">
        <v>1426</v>
      </c>
      <c r="E387" s="7" t="s">
        <v>1427</v>
      </c>
      <c r="F387" s="7" t="s">
        <v>1045</v>
      </c>
      <c r="G387" s="8" t="s">
        <v>1430</v>
      </c>
      <c r="H387" s="8" t="s">
        <v>1431</v>
      </c>
      <c r="I387" s="7" t="s">
        <v>17</v>
      </c>
      <c r="J387" s="15">
        <v>15</v>
      </c>
    </row>
    <row r="388" spans="1:10" ht="104" x14ac:dyDescent="0.2">
      <c r="A388" s="7" t="s">
        <v>2114</v>
      </c>
      <c r="B388" s="8" t="s">
        <v>600</v>
      </c>
      <c r="C388" s="8" t="s">
        <v>1428</v>
      </c>
      <c r="D388" s="6" t="s">
        <v>1426</v>
      </c>
      <c r="E388" s="7" t="s">
        <v>1427</v>
      </c>
      <c r="F388" s="7" t="s">
        <v>1045</v>
      </c>
      <c r="G388" s="8" t="s">
        <v>1432</v>
      </c>
      <c r="H388" s="8" t="s">
        <v>1433</v>
      </c>
      <c r="I388" s="7" t="s">
        <v>25</v>
      </c>
      <c r="J388" s="15">
        <v>20</v>
      </c>
    </row>
    <row r="389" spans="1:10" ht="91" x14ac:dyDescent="0.2">
      <c r="A389" s="7" t="s">
        <v>2114</v>
      </c>
      <c r="B389" s="8" t="s">
        <v>600</v>
      </c>
      <c r="C389" s="8" t="s">
        <v>1428</v>
      </c>
      <c r="D389" s="6" t="s">
        <v>1426</v>
      </c>
      <c r="E389" s="7" t="s">
        <v>1427</v>
      </c>
      <c r="F389" s="7" t="s">
        <v>1045</v>
      </c>
      <c r="G389" s="8" t="s">
        <v>1434</v>
      </c>
      <c r="H389" s="8" t="s">
        <v>1435</v>
      </c>
      <c r="I389" s="7" t="s">
        <v>17</v>
      </c>
      <c r="J389" s="15">
        <v>20</v>
      </c>
    </row>
    <row r="390" spans="1:10" ht="117" x14ac:dyDescent="0.2">
      <c r="A390" s="7" t="s">
        <v>2114</v>
      </c>
      <c r="B390" s="8" t="s">
        <v>600</v>
      </c>
      <c r="C390" s="8" t="s">
        <v>1428</v>
      </c>
      <c r="D390" s="6" t="s">
        <v>1426</v>
      </c>
      <c r="E390" s="7" t="s">
        <v>1427</v>
      </c>
      <c r="F390" s="7" t="s">
        <v>1045</v>
      </c>
      <c r="G390" s="8" t="s">
        <v>1436</v>
      </c>
      <c r="H390" s="8" t="s">
        <v>1437</v>
      </c>
      <c r="I390" s="7" t="s">
        <v>17</v>
      </c>
      <c r="J390" s="15">
        <v>15</v>
      </c>
    </row>
    <row r="391" spans="1:10" ht="78" x14ac:dyDescent="0.2">
      <c r="A391" s="7" t="s">
        <v>2114</v>
      </c>
      <c r="B391" s="8" t="s">
        <v>600</v>
      </c>
      <c r="C391" s="8" t="s">
        <v>1428</v>
      </c>
      <c r="D391" s="6" t="s">
        <v>1426</v>
      </c>
      <c r="E391" s="7" t="s">
        <v>1427</v>
      </c>
      <c r="F391" s="7" t="s">
        <v>1045</v>
      </c>
      <c r="G391" s="8" t="s">
        <v>1438</v>
      </c>
      <c r="H391" s="8" t="s">
        <v>1439</v>
      </c>
      <c r="I391" s="7" t="s">
        <v>17</v>
      </c>
      <c r="J391" s="15">
        <v>20</v>
      </c>
    </row>
    <row r="392" spans="1:10" ht="83.5" customHeight="1" x14ac:dyDescent="0.2">
      <c r="A392" s="7" t="s">
        <v>2114</v>
      </c>
      <c r="B392" s="8" t="s">
        <v>600</v>
      </c>
      <c r="C392" s="8" t="s">
        <v>1520</v>
      </c>
      <c r="D392" s="6" t="s">
        <v>1518</v>
      </c>
      <c r="E392" s="7" t="s">
        <v>1519</v>
      </c>
      <c r="F392" s="7" t="s">
        <v>1045</v>
      </c>
      <c r="G392" s="8" t="s">
        <v>1347</v>
      </c>
      <c r="H392" s="10" t="s">
        <v>2970</v>
      </c>
      <c r="I392" s="7" t="s">
        <v>25</v>
      </c>
      <c r="J392" s="15">
        <v>20</v>
      </c>
    </row>
    <row r="393" spans="1:10" ht="91" x14ac:dyDescent="0.2">
      <c r="A393" s="7" t="s">
        <v>2114</v>
      </c>
      <c r="B393" s="8" t="s">
        <v>600</v>
      </c>
      <c r="C393" s="8" t="s">
        <v>1520</v>
      </c>
      <c r="D393" s="6" t="s">
        <v>1518</v>
      </c>
      <c r="E393" s="7" t="s">
        <v>1519</v>
      </c>
      <c r="F393" s="7" t="s">
        <v>1045</v>
      </c>
      <c r="G393" s="8" t="s">
        <v>1367</v>
      </c>
      <c r="H393" s="10" t="s">
        <v>2971</v>
      </c>
      <c r="I393" s="7" t="s">
        <v>17</v>
      </c>
      <c r="J393" s="15">
        <v>15</v>
      </c>
    </row>
    <row r="394" spans="1:10" ht="169" x14ac:dyDescent="0.2">
      <c r="A394" s="7" t="s">
        <v>2114</v>
      </c>
      <c r="B394" s="8" t="s">
        <v>600</v>
      </c>
      <c r="C394" s="8" t="s">
        <v>1520</v>
      </c>
      <c r="D394" s="6" t="s">
        <v>1518</v>
      </c>
      <c r="E394" s="7" t="s">
        <v>1519</v>
      </c>
      <c r="F394" s="7" t="s">
        <v>1045</v>
      </c>
      <c r="G394" s="8" t="s">
        <v>1521</v>
      </c>
      <c r="H394" s="10" t="s">
        <v>2974</v>
      </c>
      <c r="I394" s="7" t="s">
        <v>17</v>
      </c>
      <c r="J394" s="15">
        <v>20</v>
      </c>
    </row>
    <row r="395" spans="1:10" ht="117" x14ac:dyDescent="0.2">
      <c r="A395" s="7" t="s">
        <v>2114</v>
      </c>
      <c r="B395" s="8" t="s">
        <v>600</v>
      </c>
      <c r="C395" s="8" t="s">
        <v>1520</v>
      </c>
      <c r="D395" s="6" t="s">
        <v>1518</v>
      </c>
      <c r="E395" s="7" t="s">
        <v>1519</v>
      </c>
      <c r="F395" s="7" t="s">
        <v>1045</v>
      </c>
      <c r="G395" s="8" t="s">
        <v>1522</v>
      </c>
      <c r="H395" s="10" t="s">
        <v>2972</v>
      </c>
      <c r="I395" s="7" t="s">
        <v>17</v>
      </c>
      <c r="J395" s="15">
        <v>15</v>
      </c>
    </row>
    <row r="396" spans="1:10" ht="221" x14ac:dyDescent="0.2">
      <c r="A396" s="7" t="s">
        <v>2114</v>
      </c>
      <c r="B396" s="8" t="s">
        <v>600</v>
      </c>
      <c r="C396" s="8" t="s">
        <v>1520</v>
      </c>
      <c r="D396" s="6" t="s">
        <v>1518</v>
      </c>
      <c r="E396" s="7" t="s">
        <v>1519</v>
      </c>
      <c r="F396" s="7" t="s">
        <v>1045</v>
      </c>
      <c r="G396" s="8" t="s">
        <v>1523</v>
      </c>
      <c r="H396" s="10" t="s">
        <v>2973</v>
      </c>
      <c r="I396" s="7" t="s">
        <v>17</v>
      </c>
      <c r="J396" s="15">
        <v>15</v>
      </c>
    </row>
    <row r="397" spans="1:10" ht="91" x14ac:dyDescent="0.2">
      <c r="A397" s="7" t="s">
        <v>2114</v>
      </c>
      <c r="B397" s="8" t="s">
        <v>600</v>
      </c>
      <c r="C397" s="8" t="s">
        <v>1520</v>
      </c>
      <c r="D397" s="6" t="s">
        <v>1518</v>
      </c>
      <c r="E397" s="7" t="s">
        <v>1519</v>
      </c>
      <c r="F397" s="7" t="s">
        <v>1045</v>
      </c>
      <c r="G397" s="8" t="s">
        <v>1524</v>
      </c>
      <c r="H397" s="10" t="s">
        <v>1525</v>
      </c>
      <c r="I397" s="7" t="s">
        <v>17</v>
      </c>
      <c r="J397" s="15">
        <v>15</v>
      </c>
    </row>
    <row r="398" spans="1:10" ht="91" x14ac:dyDescent="0.2">
      <c r="A398" s="7" t="s">
        <v>2114</v>
      </c>
      <c r="B398" s="8" t="s">
        <v>600</v>
      </c>
      <c r="C398" s="8" t="s">
        <v>1452</v>
      </c>
      <c r="D398" s="6" t="s">
        <v>1044</v>
      </c>
      <c r="E398" s="7" t="s">
        <v>1045</v>
      </c>
      <c r="F398" s="7" t="s">
        <v>599</v>
      </c>
      <c r="G398" s="8" t="s">
        <v>1453</v>
      </c>
      <c r="H398" s="10" t="s">
        <v>1454</v>
      </c>
      <c r="I398" s="7" t="s">
        <v>25</v>
      </c>
      <c r="J398" s="15">
        <v>20</v>
      </c>
    </row>
    <row r="399" spans="1:10" ht="91" x14ac:dyDescent="0.2">
      <c r="A399" s="7" t="s">
        <v>2114</v>
      </c>
      <c r="B399" s="8" t="s">
        <v>600</v>
      </c>
      <c r="C399" s="8" t="s">
        <v>1452</v>
      </c>
      <c r="D399" s="6" t="s">
        <v>1044</v>
      </c>
      <c r="E399" s="7" t="s">
        <v>1045</v>
      </c>
      <c r="F399" s="7" t="s">
        <v>599</v>
      </c>
      <c r="G399" s="8" t="s">
        <v>1455</v>
      </c>
      <c r="H399" s="10" t="s">
        <v>1456</v>
      </c>
      <c r="I399" s="7" t="s">
        <v>25</v>
      </c>
      <c r="J399" s="15">
        <v>25</v>
      </c>
    </row>
    <row r="400" spans="1:10" ht="195" x14ac:dyDescent="0.2">
      <c r="A400" s="7" t="s">
        <v>2114</v>
      </c>
      <c r="B400" s="8" t="s">
        <v>600</v>
      </c>
      <c r="C400" s="8" t="s">
        <v>1452</v>
      </c>
      <c r="D400" s="6" t="s">
        <v>1044</v>
      </c>
      <c r="E400" s="7" t="s">
        <v>1045</v>
      </c>
      <c r="F400" s="7" t="s">
        <v>599</v>
      </c>
      <c r="G400" s="8" t="s">
        <v>1457</v>
      </c>
      <c r="H400" s="10" t="s">
        <v>1458</v>
      </c>
      <c r="I400" s="7" t="s">
        <v>25</v>
      </c>
      <c r="J400" s="15">
        <v>25</v>
      </c>
    </row>
    <row r="401" spans="1:10" ht="143" x14ac:dyDescent="0.2">
      <c r="A401" s="7" t="s">
        <v>2114</v>
      </c>
      <c r="B401" s="8" t="s">
        <v>600</v>
      </c>
      <c r="C401" s="8" t="s">
        <v>1452</v>
      </c>
      <c r="D401" s="6" t="s">
        <v>1044</v>
      </c>
      <c r="E401" s="7" t="s">
        <v>1045</v>
      </c>
      <c r="F401" s="7" t="s">
        <v>599</v>
      </c>
      <c r="G401" s="8" t="s">
        <v>1459</v>
      </c>
      <c r="H401" s="10" t="s">
        <v>1460</v>
      </c>
      <c r="I401" s="7" t="s">
        <v>17</v>
      </c>
      <c r="J401" s="15">
        <v>20</v>
      </c>
    </row>
    <row r="402" spans="1:10" ht="130" x14ac:dyDescent="0.2">
      <c r="A402" s="7" t="s">
        <v>2114</v>
      </c>
      <c r="B402" s="8" t="s">
        <v>600</v>
      </c>
      <c r="C402" s="8" t="s">
        <v>1452</v>
      </c>
      <c r="D402" s="6" t="s">
        <v>1044</v>
      </c>
      <c r="E402" s="7" t="s">
        <v>1045</v>
      </c>
      <c r="F402" s="7" t="s">
        <v>599</v>
      </c>
      <c r="G402" s="8" t="s">
        <v>1461</v>
      </c>
      <c r="H402" s="10" t="s">
        <v>2969</v>
      </c>
      <c r="I402" s="7" t="s">
        <v>17</v>
      </c>
      <c r="J402" s="15">
        <v>10</v>
      </c>
    </row>
    <row r="403" spans="1:10" ht="143" x14ac:dyDescent="0.2">
      <c r="A403" s="7" t="s">
        <v>2114</v>
      </c>
      <c r="B403" s="8" t="s">
        <v>993</v>
      </c>
      <c r="C403" s="8" t="s">
        <v>2023</v>
      </c>
      <c r="D403" s="6" t="s">
        <v>1989</v>
      </c>
      <c r="E403" s="7" t="s">
        <v>1990</v>
      </c>
      <c r="F403" s="7" t="s">
        <v>265</v>
      </c>
      <c r="G403" s="8" t="s">
        <v>1005</v>
      </c>
      <c r="H403" s="8" t="s">
        <v>2996</v>
      </c>
      <c r="I403" s="7" t="s">
        <v>25</v>
      </c>
      <c r="J403" s="13">
        <v>25</v>
      </c>
    </row>
    <row r="404" spans="1:10" ht="221" x14ac:dyDescent="0.2">
      <c r="A404" s="7" t="s">
        <v>2114</v>
      </c>
      <c r="B404" s="8" t="s">
        <v>993</v>
      </c>
      <c r="C404" s="8" t="s">
        <v>2023</v>
      </c>
      <c r="D404" s="6" t="s">
        <v>1989</v>
      </c>
      <c r="E404" s="7" t="s">
        <v>1990</v>
      </c>
      <c r="F404" s="7" t="s">
        <v>265</v>
      </c>
      <c r="G404" s="8" t="s">
        <v>1998</v>
      </c>
      <c r="H404" s="8" t="s">
        <v>2997</v>
      </c>
      <c r="I404" s="7" t="s">
        <v>25</v>
      </c>
      <c r="J404" s="13">
        <v>20</v>
      </c>
    </row>
    <row r="405" spans="1:10" ht="182" x14ac:dyDescent="0.2">
      <c r="A405" s="7" t="s">
        <v>2114</v>
      </c>
      <c r="B405" s="8" t="s">
        <v>993</v>
      </c>
      <c r="C405" s="8" t="s">
        <v>2023</v>
      </c>
      <c r="D405" s="6" t="s">
        <v>1989</v>
      </c>
      <c r="E405" s="7" t="s">
        <v>1990</v>
      </c>
      <c r="F405" s="7" t="s">
        <v>265</v>
      </c>
      <c r="G405" s="8" t="s">
        <v>1992</v>
      </c>
      <c r="H405" s="8" t="s">
        <v>2998</v>
      </c>
      <c r="I405" s="7" t="s">
        <v>25</v>
      </c>
      <c r="J405" s="13">
        <v>20</v>
      </c>
    </row>
    <row r="406" spans="1:10" ht="169" x14ac:dyDescent="0.2">
      <c r="A406" s="7" t="s">
        <v>2114</v>
      </c>
      <c r="B406" s="8" t="s">
        <v>993</v>
      </c>
      <c r="C406" s="8" t="s">
        <v>2023</v>
      </c>
      <c r="D406" s="6" t="s">
        <v>1989</v>
      </c>
      <c r="E406" s="7" t="s">
        <v>1990</v>
      </c>
      <c r="F406" s="7" t="s">
        <v>265</v>
      </c>
      <c r="G406" s="8" t="s">
        <v>1996</v>
      </c>
      <c r="H406" s="8" t="s">
        <v>2999</v>
      </c>
      <c r="I406" s="7" t="s">
        <v>25</v>
      </c>
      <c r="J406" s="13">
        <v>20</v>
      </c>
    </row>
    <row r="407" spans="1:10" ht="104" x14ac:dyDescent="0.2">
      <c r="A407" s="7" t="s">
        <v>2114</v>
      </c>
      <c r="B407" s="8" t="s">
        <v>993</v>
      </c>
      <c r="C407" s="8" t="s">
        <v>2023</v>
      </c>
      <c r="D407" s="6" t="s">
        <v>1989</v>
      </c>
      <c r="E407" s="7" t="s">
        <v>1990</v>
      </c>
      <c r="F407" s="7" t="s">
        <v>265</v>
      </c>
      <c r="G407" s="8" t="s">
        <v>1703</v>
      </c>
      <c r="H407" s="8" t="s">
        <v>3000</v>
      </c>
      <c r="I407" s="7" t="s">
        <v>25</v>
      </c>
      <c r="J407" s="13">
        <v>15</v>
      </c>
    </row>
    <row r="408" spans="1:10" ht="221" x14ac:dyDescent="0.2">
      <c r="A408" s="7" t="s">
        <v>2114</v>
      </c>
      <c r="B408" s="8" t="s">
        <v>993</v>
      </c>
      <c r="C408" s="8" t="s">
        <v>2537</v>
      </c>
      <c r="D408" s="6" t="s">
        <v>2535</v>
      </c>
      <c r="E408" s="7" t="s">
        <v>2536</v>
      </c>
      <c r="F408" s="7" t="s">
        <v>996</v>
      </c>
      <c r="G408" s="8" t="s">
        <v>1998</v>
      </c>
      <c r="H408" s="8" t="s">
        <v>2538</v>
      </c>
      <c r="I408" s="7" t="s">
        <v>25</v>
      </c>
      <c r="J408" s="15">
        <v>10</v>
      </c>
    </row>
    <row r="409" spans="1:10" ht="182" x14ac:dyDescent="0.2">
      <c r="A409" s="7" t="s">
        <v>2114</v>
      </c>
      <c r="B409" s="8" t="s">
        <v>993</v>
      </c>
      <c r="C409" s="8" t="s">
        <v>2537</v>
      </c>
      <c r="D409" s="6" t="s">
        <v>2535</v>
      </c>
      <c r="E409" s="7" t="s">
        <v>2536</v>
      </c>
      <c r="F409" s="7" t="s">
        <v>996</v>
      </c>
      <c r="G409" s="8" t="s">
        <v>1992</v>
      </c>
      <c r="H409" s="8" t="s">
        <v>2539</v>
      </c>
      <c r="I409" s="7" t="s">
        <v>25</v>
      </c>
      <c r="J409" s="15">
        <v>15</v>
      </c>
    </row>
    <row r="410" spans="1:10" ht="91" x14ac:dyDescent="0.2">
      <c r="A410" s="7" t="s">
        <v>2114</v>
      </c>
      <c r="B410" s="8" t="s">
        <v>993</v>
      </c>
      <c r="C410" s="8" t="s">
        <v>2537</v>
      </c>
      <c r="D410" s="6" t="s">
        <v>2535</v>
      </c>
      <c r="E410" s="7" t="s">
        <v>2536</v>
      </c>
      <c r="F410" s="7" t="s">
        <v>996</v>
      </c>
      <c r="G410" s="8" t="s">
        <v>2540</v>
      </c>
      <c r="H410" s="8" t="s">
        <v>2541</v>
      </c>
      <c r="I410" s="7" t="s">
        <v>17</v>
      </c>
      <c r="J410" s="15">
        <v>10</v>
      </c>
    </row>
    <row r="411" spans="1:10" ht="221" x14ac:dyDescent="0.2">
      <c r="A411" s="7" t="s">
        <v>2114</v>
      </c>
      <c r="B411" s="8" t="s">
        <v>993</v>
      </c>
      <c r="C411" s="8" t="s">
        <v>2537</v>
      </c>
      <c r="D411" s="6" t="s">
        <v>2535</v>
      </c>
      <c r="E411" s="7" t="s">
        <v>2536</v>
      </c>
      <c r="F411" s="7" t="s">
        <v>996</v>
      </c>
      <c r="G411" s="8" t="s">
        <v>1003</v>
      </c>
      <c r="H411" s="8" t="s">
        <v>2542</v>
      </c>
      <c r="I411" s="7" t="s">
        <v>17</v>
      </c>
      <c r="J411" s="15">
        <v>20</v>
      </c>
    </row>
    <row r="412" spans="1:10" ht="182" x14ac:dyDescent="0.2">
      <c r="A412" s="7" t="s">
        <v>2114</v>
      </c>
      <c r="B412" s="8" t="s">
        <v>993</v>
      </c>
      <c r="C412" s="8" t="s">
        <v>2537</v>
      </c>
      <c r="D412" s="6" t="s">
        <v>2535</v>
      </c>
      <c r="E412" s="7" t="s">
        <v>2536</v>
      </c>
      <c r="F412" s="7" t="s">
        <v>996</v>
      </c>
      <c r="G412" s="8" t="s">
        <v>1996</v>
      </c>
      <c r="H412" s="8" t="s">
        <v>2543</v>
      </c>
      <c r="I412" s="7" t="s">
        <v>25</v>
      </c>
      <c r="J412" s="15">
        <v>15</v>
      </c>
    </row>
    <row r="413" spans="1:10" ht="104" x14ac:dyDescent="0.2">
      <c r="A413" s="7" t="s">
        <v>2114</v>
      </c>
      <c r="B413" s="8" t="s">
        <v>993</v>
      </c>
      <c r="C413" s="8" t="s">
        <v>2537</v>
      </c>
      <c r="D413" s="6" t="s">
        <v>2535</v>
      </c>
      <c r="E413" s="7" t="s">
        <v>2536</v>
      </c>
      <c r="F413" s="7" t="s">
        <v>996</v>
      </c>
      <c r="G413" s="8" t="s">
        <v>1703</v>
      </c>
      <c r="H413" s="8" t="s">
        <v>2544</v>
      </c>
      <c r="I413" s="7" t="s">
        <v>17</v>
      </c>
      <c r="J413" s="15">
        <v>30</v>
      </c>
    </row>
    <row r="414" spans="1:10" ht="103.75" customHeight="1" x14ac:dyDescent="0.2">
      <c r="A414" s="7" t="s">
        <v>2114</v>
      </c>
      <c r="B414" s="8" t="s">
        <v>993</v>
      </c>
      <c r="C414" s="8" t="s">
        <v>2171</v>
      </c>
      <c r="D414" s="6" t="s">
        <v>2169</v>
      </c>
      <c r="E414" s="7" t="s">
        <v>2170</v>
      </c>
      <c r="F414" s="7" t="s">
        <v>996</v>
      </c>
      <c r="G414" s="8" t="s">
        <v>1703</v>
      </c>
      <c r="H414" s="8" t="s">
        <v>2172</v>
      </c>
      <c r="I414" s="7" t="s">
        <v>17</v>
      </c>
      <c r="J414" s="15">
        <v>30</v>
      </c>
    </row>
    <row r="415" spans="1:10" ht="94.75" customHeight="1" x14ac:dyDescent="0.2">
      <c r="A415" s="7" t="s">
        <v>2114</v>
      </c>
      <c r="B415" s="8" t="s">
        <v>993</v>
      </c>
      <c r="C415" s="8" t="s">
        <v>2171</v>
      </c>
      <c r="D415" s="6" t="s">
        <v>2169</v>
      </c>
      <c r="E415" s="7" t="s">
        <v>2170</v>
      </c>
      <c r="F415" s="7" t="s">
        <v>996</v>
      </c>
      <c r="G415" s="8" t="s">
        <v>1998</v>
      </c>
      <c r="H415" s="8" t="s">
        <v>2173</v>
      </c>
      <c r="I415" s="7" t="s">
        <v>25</v>
      </c>
      <c r="J415" s="15">
        <v>10</v>
      </c>
    </row>
    <row r="416" spans="1:10" ht="182" x14ac:dyDescent="0.2">
      <c r="A416" s="7" t="s">
        <v>2114</v>
      </c>
      <c r="B416" s="8" t="s">
        <v>993</v>
      </c>
      <c r="C416" s="8" t="s">
        <v>2171</v>
      </c>
      <c r="D416" s="6" t="s">
        <v>2169</v>
      </c>
      <c r="E416" s="7" t="s">
        <v>2170</v>
      </c>
      <c r="F416" s="7" t="s">
        <v>996</v>
      </c>
      <c r="G416" s="8" t="s">
        <v>1996</v>
      </c>
      <c r="H416" s="8" t="s">
        <v>2049</v>
      </c>
      <c r="I416" s="7" t="s">
        <v>25</v>
      </c>
      <c r="J416" s="15">
        <v>15</v>
      </c>
    </row>
    <row r="417" spans="1:10" ht="64.25" customHeight="1" x14ac:dyDescent="0.2">
      <c r="A417" s="7" t="s">
        <v>2114</v>
      </c>
      <c r="B417" s="8" t="s">
        <v>993</v>
      </c>
      <c r="C417" s="8" t="s">
        <v>2171</v>
      </c>
      <c r="D417" s="6" t="s">
        <v>2169</v>
      </c>
      <c r="E417" s="7" t="s">
        <v>2170</v>
      </c>
      <c r="F417" s="7" t="s">
        <v>996</v>
      </c>
      <c r="G417" s="8" t="s">
        <v>2174</v>
      </c>
      <c r="H417" s="8" t="s">
        <v>2175</v>
      </c>
      <c r="I417" s="7" t="s">
        <v>17</v>
      </c>
      <c r="J417" s="15">
        <v>10</v>
      </c>
    </row>
    <row r="418" spans="1:10" ht="182" x14ac:dyDescent="0.2">
      <c r="A418" s="7" t="s">
        <v>2114</v>
      </c>
      <c r="B418" s="8" t="s">
        <v>993</v>
      </c>
      <c r="C418" s="8" t="s">
        <v>2171</v>
      </c>
      <c r="D418" s="6" t="s">
        <v>2169</v>
      </c>
      <c r="E418" s="7" t="s">
        <v>2170</v>
      </c>
      <c r="F418" s="7" t="s">
        <v>996</v>
      </c>
      <c r="G418" s="8" t="s">
        <v>1992</v>
      </c>
      <c r="H418" s="8" t="s">
        <v>2176</v>
      </c>
      <c r="I418" s="7" t="s">
        <v>25</v>
      </c>
      <c r="J418" s="15">
        <v>15</v>
      </c>
    </row>
    <row r="419" spans="1:10" ht="130" x14ac:dyDescent="0.2">
      <c r="A419" s="7" t="s">
        <v>2114</v>
      </c>
      <c r="B419" s="8" t="s">
        <v>993</v>
      </c>
      <c r="C419" s="8" t="s">
        <v>2171</v>
      </c>
      <c r="D419" s="6" t="s">
        <v>2169</v>
      </c>
      <c r="E419" s="7" t="s">
        <v>2170</v>
      </c>
      <c r="F419" s="7" t="s">
        <v>996</v>
      </c>
      <c r="G419" s="8" t="s">
        <v>1003</v>
      </c>
      <c r="H419" s="8" t="s">
        <v>2177</v>
      </c>
      <c r="I419" s="7" t="s">
        <v>17</v>
      </c>
      <c r="J419" s="15">
        <v>20</v>
      </c>
    </row>
    <row r="420" spans="1:10" ht="130" x14ac:dyDescent="0.2">
      <c r="A420" s="7" t="s">
        <v>2114</v>
      </c>
      <c r="B420" s="8" t="s">
        <v>993</v>
      </c>
      <c r="C420" s="8" t="s">
        <v>994</v>
      </c>
      <c r="D420" s="6" t="s">
        <v>991</v>
      </c>
      <c r="E420" s="7" t="s">
        <v>992</v>
      </c>
      <c r="F420" s="7" t="s">
        <v>996</v>
      </c>
      <c r="G420" s="8" t="s">
        <v>997</v>
      </c>
      <c r="H420" s="8" t="s">
        <v>998</v>
      </c>
      <c r="I420" s="7" t="s">
        <v>17</v>
      </c>
      <c r="J420" s="15">
        <v>20</v>
      </c>
    </row>
    <row r="421" spans="1:10" ht="195" x14ac:dyDescent="0.2">
      <c r="A421" s="7" t="s">
        <v>2114</v>
      </c>
      <c r="B421" s="8" t="s">
        <v>993</v>
      </c>
      <c r="C421" s="8" t="s">
        <v>994</v>
      </c>
      <c r="D421" s="6" t="s">
        <v>991</v>
      </c>
      <c r="E421" s="7" t="s">
        <v>992</v>
      </c>
      <c r="F421" s="7" t="s">
        <v>996</v>
      </c>
      <c r="G421" s="8" t="s">
        <v>999</v>
      </c>
      <c r="H421" s="8" t="s">
        <v>1000</v>
      </c>
      <c r="I421" s="7" t="s">
        <v>17</v>
      </c>
      <c r="J421" s="15">
        <v>10</v>
      </c>
    </row>
    <row r="422" spans="1:10" ht="65" x14ac:dyDescent="0.2">
      <c r="A422" s="7" t="s">
        <v>2114</v>
      </c>
      <c r="B422" s="8" t="s">
        <v>993</v>
      </c>
      <c r="C422" s="8" t="s">
        <v>994</v>
      </c>
      <c r="D422" s="6" t="s">
        <v>991</v>
      </c>
      <c r="E422" s="7" t="s">
        <v>992</v>
      </c>
      <c r="F422" s="7" t="s">
        <v>996</v>
      </c>
      <c r="G422" s="8" t="s">
        <v>1001</v>
      </c>
      <c r="H422" s="8" t="s">
        <v>1002</v>
      </c>
      <c r="I422" s="7" t="s">
        <v>17</v>
      </c>
      <c r="J422" s="15">
        <v>20</v>
      </c>
    </row>
    <row r="423" spans="1:10" ht="208" x14ac:dyDescent="0.2">
      <c r="A423" s="7" t="s">
        <v>2114</v>
      </c>
      <c r="B423" s="8" t="s">
        <v>993</v>
      </c>
      <c r="C423" s="8" t="s">
        <v>994</v>
      </c>
      <c r="D423" s="6" t="s">
        <v>991</v>
      </c>
      <c r="E423" s="7" t="s">
        <v>992</v>
      </c>
      <c r="F423" s="7" t="s">
        <v>996</v>
      </c>
      <c r="G423" s="8" t="s">
        <v>1003</v>
      </c>
      <c r="H423" s="8" t="s">
        <v>1004</v>
      </c>
      <c r="I423" s="7" t="s">
        <v>17</v>
      </c>
      <c r="J423" s="15">
        <v>20</v>
      </c>
    </row>
    <row r="424" spans="1:10" ht="156" x14ac:dyDescent="0.2">
      <c r="A424" s="7" t="s">
        <v>2114</v>
      </c>
      <c r="B424" s="8" t="s">
        <v>993</v>
      </c>
      <c r="C424" s="8" t="s">
        <v>994</v>
      </c>
      <c r="D424" s="6" t="s">
        <v>991</v>
      </c>
      <c r="E424" s="7" t="s">
        <v>992</v>
      </c>
      <c r="F424" s="7" t="s">
        <v>996</v>
      </c>
      <c r="G424" s="8" t="s">
        <v>1005</v>
      </c>
      <c r="H424" s="8" t="s">
        <v>1006</v>
      </c>
      <c r="I424" s="7" t="s">
        <v>25</v>
      </c>
      <c r="J424" s="15">
        <v>10</v>
      </c>
    </row>
    <row r="425" spans="1:10" ht="182" x14ac:dyDescent="0.2">
      <c r="A425" s="7" t="s">
        <v>2114</v>
      </c>
      <c r="B425" s="8" t="s">
        <v>993</v>
      </c>
      <c r="C425" s="8" t="s">
        <v>994</v>
      </c>
      <c r="D425" s="6" t="s">
        <v>991</v>
      </c>
      <c r="E425" s="7" t="s">
        <v>992</v>
      </c>
      <c r="F425" s="7" t="s">
        <v>996</v>
      </c>
      <c r="G425" s="8" t="s">
        <v>1007</v>
      </c>
      <c r="H425" s="8" t="s">
        <v>1008</v>
      </c>
      <c r="I425" s="7" t="s">
        <v>17</v>
      </c>
      <c r="J425" s="15">
        <v>20</v>
      </c>
    </row>
    <row r="426" spans="1:10" ht="104" x14ac:dyDescent="0.2">
      <c r="A426" s="7" t="s">
        <v>2114</v>
      </c>
      <c r="B426" s="8" t="s">
        <v>993</v>
      </c>
      <c r="C426" s="8" t="s">
        <v>994</v>
      </c>
      <c r="D426" s="6" t="s">
        <v>1701</v>
      </c>
      <c r="E426" s="7" t="s">
        <v>1702</v>
      </c>
      <c r="F426" s="7" t="s">
        <v>996</v>
      </c>
      <c r="G426" s="8" t="s">
        <v>1703</v>
      </c>
      <c r="H426" s="8" t="s">
        <v>1704</v>
      </c>
      <c r="I426" s="7" t="s">
        <v>17</v>
      </c>
      <c r="J426" s="15">
        <v>25</v>
      </c>
    </row>
    <row r="427" spans="1:10" ht="195" x14ac:dyDescent="0.2">
      <c r="A427" s="7" t="s">
        <v>2114</v>
      </c>
      <c r="B427" s="8" t="s">
        <v>993</v>
      </c>
      <c r="C427" s="8" t="s">
        <v>994</v>
      </c>
      <c r="D427" s="6" t="s">
        <v>1701</v>
      </c>
      <c r="E427" s="7" t="s">
        <v>1702</v>
      </c>
      <c r="F427" s="7" t="s">
        <v>996</v>
      </c>
      <c r="G427" s="8" t="s">
        <v>1003</v>
      </c>
      <c r="H427" s="8" t="s">
        <v>1705</v>
      </c>
      <c r="I427" s="7" t="s">
        <v>17</v>
      </c>
      <c r="J427" s="15">
        <v>20</v>
      </c>
    </row>
    <row r="428" spans="1:10" ht="91" x14ac:dyDescent="0.2">
      <c r="A428" s="7" t="s">
        <v>2114</v>
      </c>
      <c r="B428" s="8" t="s">
        <v>993</v>
      </c>
      <c r="C428" s="8" t="s">
        <v>994</v>
      </c>
      <c r="D428" s="6" t="s">
        <v>1701</v>
      </c>
      <c r="E428" s="7" t="s">
        <v>1702</v>
      </c>
      <c r="F428" s="7" t="s">
        <v>996</v>
      </c>
      <c r="G428" s="8" t="s">
        <v>1706</v>
      </c>
      <c r="H428" s="8" t="s">
        <v>1707</v>
      </c>
      <c r="I428" s="7" t="s">
        <v>17</v>
      </c>
      <c r="J428" s="15">
        <v>20</v>
      </c>
    </row>
    <row r="429" spans="1:10" ht="143" x14ac:dyDescent="0.2">
      <c r="A429" s="7" t="s">
        <v>2114</v>
      </c>
      <c r="B429" s="8" t="s">
        <v>993</v>
      </c>
      <c r="C429" s="8" t="s">
        <v>994</v>
      </c>
      <c r="D429" s="6" t="s">
        <v>1701</v>
      </c>
      <c r="E429" s="7" t="s">
        <v>1702</v>
      </c>
      <c r="F429" s="7" t="s">
        <v>996</v>
      </c>
      <c r="G429" s="8" t="s">
        <v>1708</v>
      </c>
      <c r="H429" s="8" t="s">
        <v>1709</v>
      </c>
      <c r="I429" s="7" t="s">
        <v>25</v>
      </c>
      <c r="J429" s="15">
        <v>10</v>
      </c>
    </row>
    <row r="430" spans="1:10" ht="208" x14ac:dyDescent="0.2">
      <c r="A430" s="7" t="s">
        <v>2114</v>
      </c>
      <c r="B430" s="8" t="s">
        <v>993</v>
      </c>
      <c r="C430" s="8" t="s">
        <v>994</v>
      </c>
      <c r="D430" s="6" t="s">
        <v>1701</v>
      </c>
      <c r="E430" s="7" t="s">
        <v>1702</v>
      </c>
      <c r="F430" s="7" t="s">
        <v>996</v>
      </c>
      <c r="G430" s="8" t="s">
        <v>1710</v>
      </c>
      <c r="H430" s="8" t="s">
        <v>1711</v>
      </c>
      <c r="I430" s="7" t="s">
        <v>17</v>
      </c>
      <c r="J430" s="15">
        <v>15</v>
      </c>
    </row>
    <row r="431" spans="1:10" ht="78" x14ac:dyDescent="0.2">
      <c r="A431" s="7" t="s">
        <v>2114</v>
      </c>
      <c r="B431" s="8" t="s">
        <v>993</v>
      </c>
      <c r="C431" s="8" t="s">
        <v>994</v>
      </c>
      <c r="D431" s="6" t="s">
        <v>1701</v>
      </c>
      <c r="E431" s="7" t="s">
        <v>1702</v>
      </c>
      <c r="F431" s="7" t="s">
        <v>996</v>
      </c>
      <c r="G431" s="8" t="s">
        <v>1712</v>
      </c>
      <c r="H431" s="8" t="s">
        <v>1713</v>
      </c>
      <c r="I431" s="7" t="s">
        <v>17</v>
      </c>
      <c r="J431" s="15">
        <v>10</v>
      </c>
    </row>
    <row r="432" spans="1:10" ht="221" x14ac:dyDescent="0.2">
      <c r="A432" s="7" t="s">
        <v>2114</v>
      </c>
      <c r="B432" s="8" t="s">
        <v>993</v>
      </c>
      <c r="C432" s="8" t="s">
        <v>2046</v>
      </c>
      <c r="D432" s="6" t="s">
        <v>2044</v>
      </c>
      <c r="E432" s="7" t="s">
        <v>2045</v>
      </c>
      <c r="F432" s="7" t="s">
        <v>996</v>
      </c>
      <c r="G432" s="8" t="s">
        <v>1998</v>
      </c>
      <c r="H432" s="8" t="s">
        <v>2047</v>
      </c>
      <c r="I432" s="7" t="s">
        <v>25</v>
      </c>
      <c r="J432" s="15">
        <v>10</v>
      </c>
    </row>
    <row r="433" spans="1:10" ht="182" x14ac:dyDescent="0.2">
      <c r="A433" s="7" t="s">
        <v>2114</v>
      </c>
      <c r="B433" s="8" t="s">
        <v>993</v>
      </c>
      <c r="C433" s="8" t="s">
        <v>2046</v>
      </c>
      <c r="D433" s="6" t="s">
        <v>2044</v>
      </c>
      <c r="E433" s="7" t="s">
        <v>2045</v>
      </c>
      <c r="F433" s="7" t="s">
        <v>996</v>
      </c>
      <c r="G433" s="8" t="s">
        <v>2048</v>
      </c>
      <c r="H433" s="8" t="s">
        <v>2049</v>
      </c>
      <c r="I433" s="7" t="s">
        <v>25</v>
      </c>
      <c r="J433" s="15">
        <v>10</v>
      </c>
    </row>
    <row r="434" spans="1:10" ht="208" x14ac:dyDescent="0.2">
      <c r="A434" s="7" t="s">
        <v>2114</v>
      </c>
      <c r="B434" s="8" t="s">
        <v>993</v>
      </c>
      <c r="C434" s="8" t="s">
        <v>2046</v>
      </c>
      <c r="D434" s="6" t="s">
        <v>2044</v>
      </c>
      <c r="E434" s="7" t="s">
        <v>2045</v>
      </c>
      <c r="F434" s="7" t="s">
        <v>996</v>
      </c>
      <c r="G434" s="8" t="s">
        <v>1003</v>
      </c>
      <c r="H434" s="8" t="s">
        <v>2050</v>
      </c>
      <c r="I434" s="7" t="s">
        <v>17</v>
      </c>
      <c r="J434" s="15">
        <v>20</v>
      </c>
    </row>
    <row r="435" spans="1:10" ht="182" x14ac:dyDescent="0.2">
      <c r="A435" s="7" t="s">
        <v>2114</v>
      </c>
      <c r="B435" s="8" t="s">
        <v>993</v>
      </c>
      <c r="C435" s="8" t="s">
        <v>2046</v>
      </c>
      <c r="D435" s="6" t="s">
        <v>2044</v>
      </c>
      <c r="E435" s="7" t="s">
        <v>2045</v>
      </c>
      <c r="F435" s="7" t="s">
        <v>996</v>
      </c>
      <c r="G435" s="8" t="s">
        <v>2051</v>
      </c>
      <c r="H435" s="8" t="s">
        <v>2052</v>
      </c>
      <c r="I435" s="7" t="s">
        <v>25</v>
      </c>
      <c r="J435" s="15">
        <v>15</v>
      </c>
    </row>
    <row r="436" spans="1:10" ht="78" x14ac:dyDescent="0.2">
      <c r="A436" s="7" t="s">
        <v>2114</v>
      </c>
      <c r="B436" s="8" t="s">
        <v>993</v>
      </c>
      <c r="C436" s="8" t="s">
        <v>2046</v>
      </c>
      <c r="D436" s="6" t="s">
        <v>2044</v>
      </c>
      <c r="E436" s="7" t="s">
        <v>2045</v>
      </c>
      <c r="F436" s="7" t="s">
        <v>996</v>
      </c>
      <c r="G436" s="8" t="s">
        <v>2053</v>
      </c>
      <c r="H436" s="8" t="s">
        <v>2054</v>
      </c>
      <c r="I436" s="7" t="s">
        <v>17</v>
      </c>
      <c r="J436" s="15">
        <v>10</v>
      </c>
    </row>
    <row r="437" spans="1:10" ht="117" x14ac:dyDescent="0.2">
      <c r="A437" s="7" t="s">
        <v>2114</v>
      </c>
      <c r="B437" s="8" t="s">
        <v>993</v>
      </c>
      <c r="C437" s="8" t="s">
        <v>2046</v>
      </c>
      <c r="D437" s="6" t="s">
        <v>2044</v>
      </c>
      <c r="E437" s="7" t="s">
        <v>2045</v>
      </c>
      <c r="F437" s="7" t="s">
        <v>996</v>
      </c>
      <c r="G437" s="8" t="s">
        <v>1994</v>
      </c>
      <c r="H437" s="8" t="s">
        <v>2055</v>
      </c>
      <c r="I437" s="7" t="s">
        <v>17</v>
      </c>
      <c r="J437" s="15">
        <v>30</v>
      </c>
    </row>
    <row r="438" spans="1:10" ht="117" x14ac:dyDescent="0.2">
      <c r="A438" s="7" t="s">
        <v>2114</v>
      </c>
      <c r="B438" s="8" t="s">
        <v>993</v>
      </c>
      <c r="C438" s="8" t="s">
        <v>2046</v>
      </c>
      <c r="D438" s="6" t="s">
        <v>2044</v>
      </c>
      <c r="E438" s="7" t="s">
        <v>2045</v>
      </c>
      <c r="F438" s="7" t="s">
        <v>996</v>
      </c>
      <c r="G438" s="8" t="s">
        <v>2056</v>
      </c>
      <c r="H438" s="8" t="s">
        <v>2057</v>
      </c>
      <c r="I438" s="7" t="s">
        <v>17</v>
      </c>
      <c r="J438" s="15">
        <v>5</v>
      </c>
    </row>
    <row r="439" spans="1:10" ht="143" x14ac:dyDescent="0.2">
      <c r="A439" s="7" t="s">
        <v>2114</v>
      </c>
      <c r="B439" s="8" t="s">
        <v>993</v>
      </c>
      <c r="C439" s="8" t="s">
        <v>1988</v>
      </c>
      <c r="D439" s="6" t="s">
        <v>995</v>
      </c>
      <c r="E439" s="7" t="s">
        <v>996</v>
      </c>
      <c r="F439" s="7" t="s">
        <v>1990</v>
      </c>
      <c r="G439" s="8" t="s">
        <v>1005</v>
      </c>
      <c r="H439" s="8" t="s">
        <v>1991</v>
      </c>
      <c r="I439" s="7" t="s">
        <v>25</v>
      </c>
      <c r="J439" s="15">
        <v>10</v>
      </c>
    </row>
    <row r="440" spans="1:10" ht="182" x14ac:dyDescent="0.2">
      <c r="A440" s="7" t="s">
        <v>2114</v>
      </c>
      <c r="B440" s="8" t="s">
        <v>993</v>
      </c>
      <c r="C440" s="8" t="s">
        <v>1988</v>
      </c>
      <c r="D440" s="6" t="s">
        <v>995</v>
      </c>
      <c r="E440" s="7" t="s">
        <v>996</v>
      </c>
      <c r="F440" s="7" t="s">
        <v>1990</v>
      </c>
      <c r="G440" s="8" t="s">
        <v>1992</v>
      </c>
      <c r="H440" s="8" t="s">
        <v>1993</v>
      </c>
      <c r="I440" s="7" t="s">
        <v>25</v>
      </c>
      <c r="J440" s="15">
        <v>20</v>
      </c>
    </row>
    <row r="441" spans="1:10" ht="117" x14ac:dyDescent="0.2">
      <c r="A441" s="7" t="s">
        <v>2114</v>
      </c>
      <c r="B441" s="8" t="s">
        <v>993</v>
      </c>
      <c r="C441" s="8" t="s">
        <v>1988</v>
      </c>
      <c r="D441" s="6" t="s">
        <v>995</v>
      </c>
      <c r="E441" s="7" t="s">
        <v>996</v>
      </c>
      <c r="F441" s="7" t="s">
        <v>1990</v>
      </c>
      <c r="G441" s="8" t="s">
        <v>1994</v>
      </c>
      <c r="H441" s="8" t="s">
        <v>1995</v>
      </c>
      <c r="I441" s="7" t="s">
        <v>17</v>
      </c>
      <c r="J441" s="15">
        <v>20</v>
      </c>
    </row>
    <row r="442" spans="1:10" ht="169" x14ac:dyDescent="0.2">
      <c r="A442" s="7" t="s">
        <v>2114</v>
      </c>
      <c r="B442" s="8" t="s">
        <v>993</v>
      </c>
      <c r="C442" s="8" t="s">
        <v>1988</v>
      </c>
      <c r="D442" s="6" t="s">
        <v>995</v>
      </c>
      <c r="E442" s="7" t="s">
        <v>996</v>
      </c>
      <c r="F442" s="7" t="s">
        <v>1990</v>
      </c>
      <c r="G442" s="8" t="s">
        <v>1996</v>
      </c>
      <c r="H442" s="8" t="s">
        <v>1997</v>
      </c>
      <c r="I442" s="7" t="s">
        <v>25</v>
      </c>
      <c r="J442" s="15">
        <v>20</v>
      </c>
    </row>
    <row r="443" spans="1:10" ht="221" x14ac:dyDescent="0.2">
      <c r="A443" s="7" t="s">
        <v>2114</v>
      </c>
      <c r="B443" s="8" t="s">
        <v>993</v>
      </c>
      <c r="C443" s="8" t="s">
        <v>1988</v>
      </c>
      <c r="D443" s="6" t="s">
        <v>995</v>
      </c>
      <c r="E443" s="7" t="s">
        <v>996</v>
      </c>
      <c r="F443" s="7" t="s">
        <v>1990</v>
      </c>
      <c r="G443" s="8" t="s">
        <v>1998</v>
      </c>
      <c r="H443" s="8" t="s">
        <v>1999</v>
      </c>
      <c r="I443" s="7" t="s">
        <v>25</v>
      </c>
      <c r="J443" s="15">
        <v>30</v>
      </c>
    </row>
    <row r="444" spans="1:10" ht="39" x14ac:dyDescent="0.2">
      <c r="A444" s="7" t="s">
        <v>1290</v>
      </c>
      <c r="B444" s="8" t="s">
        <v>11</v>
      </c>
      <c r="C444" s="8" t="s">
        <v>12</v>
      </c>
      <c r="D444" s="6" t="s">
        <v>9</v>
      </c>
      <c r="E444" s="7" t="s">
        <v>10</v>
      </c>
      <c r="F444" s="7" t="s">
        <v>14</v>
      </c>
      <c r="G444" s="7" t="s">
        <v>15</v>
      </c>
      <c r="H444" s="8" t="s">
        <v>16</v>
      </c>
      <c r="I444" s="7" t="s">
        <v>17</v>
      </c>
      <c r="J444" s="15">
        <v>15</v>
      </c>
    </row>
    <row r="445" spans="1:10" ht="26" x14ac:dyDescent="0.2">
      <c r="A445" s="7" t="s">
        <v>1290</v>
      </c>
      <c r="B445" s="8" t="s">
        <v>11</v>
      </c>
      <c r="C445" s="8" t="s">
        <v>12</v>
      </c>
      <c r="D445" s="6" t="s">
        <v>9</v>
      </c>
      <c r="E445" s="7" t="s">
        <v>10</v>
      </c>
      <c r="F445" s="7" t="s">
        <v>14</v>
      </c>
      <c r="G445" s="8" t="s">
        <v>19</v>
      </c>
      <c r="H445" s="8" t="s">
        <v>20</v>
      </c>
      <c r="I445" s="7" t="s">
        <v>17</v>
      </c>
      <c r="J445" s="15">
        <v>5</v>
      </c>
    </row>
    <row r="446" spans="1:10" ht="52" x14ac:dyDescent="0.2">
      <c r="A446" s="7" t="s">
        <v>1290</v>
      </c>
      <c r="B446" s="8" t="s">
        <v>11</v>
      </c>
      <c r="C446" s="8" t="s">
        <v>12</v>
      </c>
      <c r="D446" s="6" t="s">
        <v>9</v>
      </c>
      <c r="E446" s="7" t="s">
        <v>10</v>
      </c>
      <c r="F446" s="7" t="s">
        <v>14</v>
      </c>
      <c r="G446" s="8" t="s">
        <v>21</v>
      </c>
      <c r="H446" s="8" t="s">
        <v>22</v>
      </c>
      <c r="I446" s="7" t="s">
        <v>17</v>
      </c>
      <c r="J446" s="15">
        <v>20</v>
      </c>
    </row>
    <row r="447" spans="1:10" ht="65" x14ac:dyDescent="0.2">
      <c r="A447" s="7" t="s">
        <v>1290</v>
      </c>
      <c r="B447" s="8" t="s">
        <v>11</v>
      </c>
      <c r="C447" s="8" t="s">
        <v>12</v>
      </c>
      <c r="D447" s="6" t="s">
        <v>9</v>
      </c>
      <c r="E447" s="7" t="s">
        <v>10</v>
      </c>
      <c r="F447" s="7" t="s">
        <v>14</v>
      </c>
      <c r="G447" s="8" t="s">
        <v>23</v>
      </c>
      <c r="H447" s="8" t="s">
        <v>24</v>
      </c>
      <c r="I447" s="7" t="s">
        <v>25</v>
      </c>
      <c r="J447" s="15">
        <v>10</v>
      </c>
    </row>
    <row r="448" spans="1:10" ht="65" x14ac:dyDescent="0.2">
      <c r="A448" s="7" t="s">
        <v>1290</v>
      </c>
      <c r="B448" s="8" t="s">
        <v>11</v>
      </c>
      <c r="C448" s="8" t="s">
        <v>12</v>
      </c>
      <c r="D448" s="6" t="s">
        <v>9</v>
      </c>
      <c r="E448" s="7" t="s">
        <v>10</v>
      </c>
      <c r="F448" s="7" t="s">
        <v>14</v>
      </c>
      <c r="G448" s="8" t="s">
        <v>26</v>
      </c>
      <c r="H448" s="8" t="s">
        <v>27</v>
      </c>
      <c r="I448" s="7" t="s">
        <v>25</v>
      </c>
      <c r="J448" s="15">
        <v>7</v>
      </c>
    </row>
    <row r="449" spans="1:10" ht="65" x14ac:dyDescent="0.2">
      <c r="A449" s="7" t="s">
        <v>1290</v>
      </c>
      <c r="B449" s="8" t="s">
        <v>11</v>
      </c>
      <c r="C449" s="8" t="s">
        <v>12</v>
      </c>
      <c r="D449" s="6" t="s">
        <v>9</v>
      </c>
      <c r="E449" s="7" t="s">
        <v>10</v>
      </c>
      <c r="F449" s="7" t="s">
        <v>14</v>
      </c>
      <c r="G449" s="8" t="s">
        <v>28</v>
      </c>
      <c r="H449" s="8" t="s">
        <v>29</v>
      </c>
      <c r="I449" s="7" t="s">
        <v>25</v>
      </c>
      <c r="J449" s="15">
        <v>5</v>
      </c>
    </row>
    <row r="450" spans="1:10" ht="65" x14ac:dyDescent="0.2">
      <c r="A450" s="7" t="s">
        <v>1290</v>
      </c>
      <c r="B450" s="8" t="s">
        <v>11</v>
      </c>
      <c r="C450" s="8" t="s">
        <v>12</v>
      </c>
      <c r="D450" s="6" t="s">
        <v>9</v>
      </c>
      <c r="E450" s="7" t="s">
        <v>10</v>
      </c>
      <c r="F450" s="7" t="s">
        <v>14</v>
      </c>
      <c r="G450" s="8" t="s">
        <v>30</v>
      </c>
      <c r="H450" s="8" t="s">
        <v>31</v>
      </c>
      <c r="I450" s="7" t="s">
        <v>25</v>
      </c>
      <c r="J450" s="15">
        <v>5</v>
      </c>
    </row>
    <row r="451" spans="1:10" ht="78" x14ac:dyDescent="0.2">
      <c r="A451" s="7" t="s">
        <v>1290</v>
      </c>
      <c r="B451" s="8" t="s">
        <v>11</v>
      </c>
      <c r="C451" s="8" t="s">
        <v>12</v>
      </c>
      <c r="D451" s="6" t="s">
        <v>9</v>
      </c>
      <c r="E451" s="7" t="s">
        <v>10</v>
      </c>
      <c r="F451" s="7" t="s">
        <v>14</v>
      </c>
      <c r="G451" s="8" t="s">
        <v>32</v>
      </c>
      <c r="H451" s="8" t="s">
        <v>33</v>
      </c>
      <c r="I451" s="7" t="s">
        <v>25</v>
      </c>
      <c r="J451" s="15">
        <v>13</v>
      </c>
    </row>
    <row r="452" spans="1:10" ht="91" x14ac:dyDescent="0.2">
      <c r="A452" s="7" t="s">
        <v>1290</v>
      </c>
      <c r="B452" s="8" t="s">
        <v>11</v>
      </c>
      <c r="C452" s="8" t="s">
        <v>12</v>
      </c>
      <c r="D452" s="6" t="s">
        <v>9</v>
      </c>
      <c r="E452" s="7" t="s">
        <v>10</v>
      </c>
      <c r="F452" s="7" t="s">
        <v>14</v>
      </c>
      <c r="G452" s="8" t="s">
        <v>34</v>
      </c>
      <c r="H452" s="8" t="s">
        <v>35</v>
      </c>
      <c r="I452" s="7" t="s">
        <v>17</v>
      </c>
      <c r="J452" s="15">
        <v>20</v>
      </c>
    </row>
    <row r="453" spans="1:10" ht="26" x14ac:dyDescent="0.2">
      <c r="A453" s="7" t="s">
        <v>1290</v>
      </c>
      <c r="B453" s="8" t="s">
        <v>11</v>
      </c>
      <c r="C453" s="8" t="s">
        <v>12</v>
      </c>
      <c r="D453" s="6" t="s">
        <v>85</v>
      </c>
      <c r="E453" s="7" t="s">
        <v>86</v>
      </c>
      <c r="F453" s="7" t="s">
        <v>14</v>
      </c>
      <c r="G453" s="8" t="s">
        <v>15</v>
      </c>
      <c r="H453" s="8" t="s">
        <v>87</v>
      </c>
      <c r="I453" s="7" t="s">
        <v>17</v>
      </c>
      <c r="J453" s="15">
        <v>15</v>
      </c>
    </row>
    <row r="454" spans="1:10" ht="39" x14ac:dyDescent="0.2">
      <c r="A454" s="7" t="s">
        <v>1290</v>
      </c>
      <c r="B454" s="8" t="s">
        <v>11</v>
      </c>
      <c r="C454" s="8" t="s">
        <v>12</v>
      </c>
      <c r="D454" s="6" t="s">
        <v>85</v>
      </c>
      <c r="E454" s="7" t="s">
        <v>86</v>
      </c>
      <c r="F454" s="7" t="s">
        <v>14</v>
      </c>
      <c r="G454" s="8" t="s">
        <v>19</v>
      </c>
      <c r="H454" s="8" t="s">
        <v>88</v>
      </c>
      <c r="I454" s="7" t="s">
        <v>17</v>
      </c>
      <c r="J454" s="15">
        <v>5</v>
      </c>
    </row>
    <row r="455" spans="1:10" ht="39" x14ac:dyDescent="0.2">
      <c r="A455" s="7" t="s">
        <v>1290</v>
      </c>
      <c r="B455" s="8" t="s">
        <v>11</v>
      </c>
      <c r="C455" s="8" t="s">
        <v>12</v>
      </c>
      <c r="D455" s="6" t="s">
        <v>85</v>
      </c>
      <c r="E455" s="7" t="s">
        <v>86</v>
      </c>
      <c r="F455" s="7" t="s">
        <v>14</v>
      </c>
      <c r="G455" s="8" t="s">
        <v>89</v>
      </c>
      <c r="H455" s="8" t="s">
        <v>90</v>
      </c>
      <c r="I455" s="7" t="s">
        <v>17</v>
      </c>
      <c r="J455" s="15">
        <v>20</v>
      </c>
    </row>
    <row r="456" spans="1:10" ht="65" x14ac:dyDescent="0.2">
      <c r="A456" s="7" t="s">
        <v>1290</v>
      </c>
      <c r="B456" s="8" t="s">
        <v>11</v>
      </c>
      <c r="C456" s="8" t="s">
        <v>12</v>
      </c>
      <c r="D456" s="6" t="s">
        <v>85</v>
      </c>
      <c r="E456" s="7" t="s">
        <v>86</v>
      </c>
      <c r="F456" s="7" t="s">
        <v>14</v>
      </c>
      <c r="G456" s="8" t="s">
        <v>28</v>
      </c>
      <c r="H456" s="8" t="s">
        <v>60</v>
      </c>
      <c r="I456" s="7" t="s">
        <v>25</v>
      </c>
      <c r="J456" s="15">
        <v>8</v>
      </c>
    </row>
    <row r="457" spans="1:10" ht="65" x14ac:dyDescent="0.2">
      <c r="A457" s="7" t="s">
        <v>1290</v>
      </c>
      <c r="B457" s="8" t="s">
        <v>11</v>
      </c>
      <c r="C457" s="8" t="s">
        <v>12</v>
      </c>
      <c r="D457" s="6" t="s">
        <v>85</v>
      </c>
      <c r="E457" s="7" t="s">
        <v>86</v>
      </c>
      <c r="F457" s="7" t="s">
        <v>14</v>
      </c>
      <c r="G457" s="8" t="s">
        <v>30</v>
      </c>
      <c r="H457" s="8" t="s">
        <v>59</v>
      </c>
      <c r="I457" s="7" t="s">
        <v>25</v>
      </c>
      <c r="J457" s="15">
        <v>5</v>
      </c>
    </row>
    <row r="458" spans="1:10" ht="78" x14ac:dyDescent="0.2">
      <c r="A458" s="7" t="s">
        <v>1290</v>
      </c>
      <c r="B458" s="8" t="s">
        <v>11</v>
      </c>
      <c r="C458" s="8" t="s">
        <v>12</v>
      </c>
      <c r="D458" s="6" t="s">
        <v>85</v>
      </c>
      <c r="E458" s="7" t="s">
        <v>86</v>
      </c>
      <c r="F458" s="7" t="s">
        <v>14</v>
      </c>
      <c r="G458" s="8" t="s">
        <v>67</v>
      </c>
      <c r="H458" s="8" t="s">
        <v>68</v>
      </c>
      <c r="I458" s="7" t="s">
        <v>25</v>
      </c>
      <c r="J458" s="15">
        <v>8</v>
      </c>
    </row>
    <row r="459" spans="1:10" ht="65" x14ac:dyDescent="0.2">
      <c r="A459" s="7" t="s">
        <v>1290</v>
      </c>
      <c r="B459" s="8" t="s">
        <v>11</v>
      </c>
      <c r="C459" s="8" t="s">
        <v>12</v>
      </c>
      <c r="D459" s="6" t="s">
        <v>85</v>
      </c>
      <c r="E459" s="7" t="s">
        <v>86</v>
      </c>
      <c r="F459" s="7" t="s">
        <v>14</v>
      </c>
      <c r="G459" s="8" t="s">
        <v>26</v>
      </c>
      <c r="H459" s="8" t="s">
        <v>66</v>
      </c>
      <c r="I459" s="7" t="s">
        <v>25</v>
      </c>
      <c r="J459" s="15">
        <v>5</v>
      </c>
    </row>
    <row r="460" spans="1:10" ht="78" x14ac:dyDescent="0.2">
      <c r="A460" s="7" t="s">
        <v>1290</v>
      </c>
      <c r="B460" s="8" t="s">
        <v>11</v>
      </c>
      <c r="C460" s="8" t="s">
        <v>12</v>
      </c>
      <c r="D460" s="6" t="s">
        <v>85</v>
      </c>
      <c r="E460" s="7" t="s">
        <v>86</v>
      </c>
      <c r="F460" s="7" t="s">
        <v>14</v>
      </c>
      <c r="G460" s="8" t="s">
        <v>91</v>
      </c>
      <c r="H460" s="8" t="s">
        <v>63</v>
      </c>
      <c r="I460" s="7" t="s">
        <v>25</v>
      </c>
      <c r="J460" s="15">
        <v>14</v>
      </c>
    </row>
    <row r="461" spans="1:10" ht="91" x14ac:dyDescent="0.2">
      <c r="A461" s="7" t="s">
        <v>1290</v>
      </c>
      <c r="B461" s="8" t="s">
        <v>11</v>
      </c>
      <c r="C461" s="8" t="s">
        <v>12</v>
      </c>
      <c r="D461" s="6" t="s">
        <v>85</v>
      </c>
      <c r="E461" s="7" t="s">
        <v>86</v>
      </c>
      <c r="F461" s="7" t="s">
        <v>14</v>
      </c>
      <c r="G461" s="8" t="s">
        <v>34</v>
      </c>
      <c r="H461" s="8" t="s">
        <v>92</v>
      </c>
      <c r="I461" s="7" t="s">
        <v>17</v>
      </c>
      <c r="J461" s="15">
        <v>20</v>
      </c>
    </row>
    <row r="462" spans="1:10" ht="39" x14ac:dyDescent="0.2">
      <c r="A462" s="7" t="s">
        <v>1290</v>
      </c>
      <c r="B462" s="8" t="s">
        <v>11</v>
      </c>
      <c r="C462" s="8" t="s">
        <v>1159</v>
      </c>
      <c r="D462" s="6" t="s">
        <v>1157</v>
      </c>
      <c r="E462" s="7" t="s">
        <v>1158</v>
      </c>
      <c r="F462" s="7" t="s">
        <v>14</v>
      </c>
      <c r="G462" s="8" t="s">
        <v>15</v>
      </c>
      <c r="H462" s="8" t="s">
        <v>16</v>
      </c>
      <c r="I462" s="7" t="s">
        <v>17</v>
      </c>
      <c r="J462" s="15">
        <v>15</v>
      </c>
    </row>
    <row r="463" spans="1:10" ht="65" x14ac:dyDescent="0.2">
      <c r="A463" s="7" t="s">
        <v>1290</v>
      </c>
      <c r="B463" s="8" t="s">
        <v>11</v>
      </c>
      <c r="C463" s="8" t="s">
        <v>1159</v>
      </c>
      <c r="D463" s="6" t="s">
        <v>1157</v>
      </c>
      <c r="E463" s="7" t="s">
        <v>1158</v>
      </c>
      <c r="F463" s="7" t="s">
        <v>14</v>
      </c>
      <c r="G463" s="8" t="s">
        <v>1160</v>
      </c>
      <c r="H463" s="8" t="s">
        <v>1161</v>
      </c>
      <c r="I463" s="7" t="s">
        <v>17</v>
      </c>
      <c r="J463" s="15">
        <v>20</v>
      </c>
    </row>
    <row r="464" spans="1:10" ht="26" x14ac:dyDescent="0.2">
      <c r="A464" s="7" t="s">
        <v>1290</v>
      </c>
      <c r="B464" s="8" t="s">
        <v>11</v>
      </c>
      <c r="C464" s="8" t="s">
        <v>1159</v>
      </c>
      <c r="D464" s="6" t="s">
        <v>1157</v>
      </c>
      <c r="E464" s="7" t="s">
        <v>1158</v>
      </c>
      <c r="F464" s="7" t="s">
        <v>14</v>
      </c>
      <c r="G464" s="8" t="s">
        <v>744</v>
      </c>
      <c r="H464" s="8" t="s">
        <v>745</v>
      </c>
      <c r="I464" s="7" t="s">
        <v>17</v>
      </c>
      <c r="J464" s="15">
        <v>20</v>
      </c>
    </row>
    <row r="465" spans="1:10" ht="39" x14ac:dyDescent="0.2">
      <c r="A465" s="7" t="s">
        <v>1290</v>
      </c>
      <c r="B465" s="8" t="s">
        <v>11</v>
      </c>
      <c r="C465" s="8" t="s">
        <v>1159</v>
      </c>
      <c r="D465" s="6" t="s">
        <v>1157</v>
      </c>
      <c r="E465" s="7" t="s">
        <v>1158</v>
      </c>
      <c r="F465" s="7" t="s">
        <v>14</v>
      </c>
      <c r="G465" s="8" t="s">
        <v>19</v>
      </c>
      <c r="H465" s="8" t="s">
        <v>743</v>
      </c>
      <c r="I465" s="7" t="s">
        <v>17</v>
      </c>
      <c r="J465" s="15">
        <v>5</v>
      </c>
    </row>
    <row r="466" spans="1:10" ht="65" x14ac:dyDescent="0.2">
      <c r="A466" s="7" t="s">
        <v>1290</v>
      </c>
      <c r="B466" s="8" t="s">
        <v>11</v>
      </c>
      <c r="C466" s="8" t="s">
        <v>1159</v>
      </c>
      <c r="D466" s="6" t="s">
        <v>1157</v>
      </c>
      <c r="E466" s="7" t="s">
        <v>1158</v>
      </c>
      <c r="F466" s="7" t="s">
        <v>14</v>
      </c>
      <c r="G466" s="8" t="s">
        <v>28</v>
      </c>
      <c r="H466" s="8" t="s">
        <v>29</v>
      </c>
      <c r="I466" s="7" t="s">
        <v>25</v>
      </c>
      <c r="J466" s="15">
        <v>10</v>
      </c>
    </row>
    <row r="467" spans="1:10" ht="65" x14ac:dyDescent="0.2">
      <c r="A467" s="7" t="s">
        <v>1290</v>
      </c>
      <c r="B467" s="8" t="s">
        <v>11</v>
      </c>
      <c r="C467" s="8" t="s">
        <v>1159</v>
      </c>
      <c r="D467" s="6" t="s">
        <v>1157</v>
      </c>
      <c r="E467" s="7" t="s">
        <v>1158</v>
      </c>
      <c r="F467" s="7" t="s">
        <v>14</v>
      </c>
      <c r="G467" s="8" t="s">
        <v>26</v>
      </c>
      <c r="H467" s="8" t="s">
        <v>748</v>
      </c>
      <c r="I467" s="7" t="s">
        <v>25</v>
      </c>
      <c r="J467" s="15">
        <v>8</v>
      </c>
    </row>
    <row r="468" spans="1:10" ht="65" x14ac:dyDescent="0.2">
      <c r="A468" s="7" t="s">
        <v>1290</v>
      </c>
      <c r="B468" s="8" t="s">
        <v>11</v>
      </c>
      <c r="C468" s="8" t="s">
        <v>1159</v>
      </c>
      <c r="D468" s="6" t="s">
        <v>1157</v>
      </c>
      <c r="E468" s="7" t="s">
        <v>1158</v>
      </c>
      <c r="F468" s="7" t="s">
        <v>14</v>
      </c>
      <c r="G468" s="8" t="s">
        <v>30</v>
      </c>
      <c r="H468" s="8" t="s">
        <v>31</v>
      </c>
      <c r="I468" s="7" t="s">
        <v>25</v>
      </c>
      <c r="J468" s="15">
        <v>7</v>
      </c>
    </row>
    <row r="469" spans="1:10" ht="78" x14ac:dyDescent="0.2">
      <c r="A469" s="7" t="s">
        <v>1290</v>
      </c>
      <c r="B469" s="8" t="s">
        <v>11</v>
      </c>
      <c r="C469" s="8" t="s">
        <v>1159</v>
      </c>
      <c r="D469" s="6" t="s">
        <v>1157</v>
      </c>
      <c r="E469" s="7" t="s">
        <v>1158</v>
      </c>
      <c r="F469" s="7" t="s">
        <v>14</v>
      </c>
      <c r="G469" s="8" t="s">
        <v>32</v>
      </c>
      <c r="H469" s="8" t="s">
        <v>33</v>
      </c>
      <c r="I469" s="7" t="s">
        <v>25</v>
      </c>
      <c r="J469" s="15">
        <v>15</v>
      </c>
    </row>
    <row r="470" spans="1:10" ht="26" x14ac:dyDescent="0.2">
      <c r="A470" s="7" t="s">
        <v>1290</v>
      </c>
      <c r="B470" s="8" t="s">
        <v>11</v>
      </c>
      <c r="C470" s="8" t="s">
        <v>1235</v>
      </c>
      <c r="D470" s="6" t="s">
        <v>1233</v>
      </c>
      <c r="E470" s="7" t="s">
        <v>1234</v>
      </c>
      <c r="F470" s="7" t="s">
        <v>14</v>
      </c>
      <c r="G470" s="8" t="s">
        <v>1236</v>
      </c>
      <c r="H470" s="8" t="s">
        <v>1237</v>
      </c>
      <c r="I470" s="7" t="s">
        <v>17</v>
      </c>
      <c r="J470" s="15">
        <v>20</v>
      </c>
    </row>
    <row r="471" spans="1:10" ht="39" x14ac:dyDescent="0.2">
      <c r="A471" s="7" t="s">
        <v>1290</v>
      </c>
      <c r="B471" s="8" t="s">
        <v>11</v>
      </c>
      <c r="C471" s="8" t="s">
        <v>1235</v>
      </c>
      <c r="D471" s="6" t="s">
        <v>1233</v>
      </c>
      <c r="E471" s="7" t="s">
        <v>1234</v>
      </c>
      <c r="F471" s="7" t="s">
        <v>14</v>
      </c>
      <c r="G471" s="8" t="s">
        <v>960</v>
      </c>
      <c r="H471" s="8" t="s">
        <v>961</v>
      </c>
      <c r="I471" s="7" t="s">
        <v>17</v>
      </c>
      <c r="J471" s="15">
        <v>20</v>
      </c>
    </row>
    <row r="472" spans="1:10" ht="39" x14ac:dyDescent="0.2">
      <c r="A472" s="7" t="s">
        <v>1290</v>
      </c>
      <c r="B472" s="8" t="s">
        <v>11</v>
      </c>
      <c r="C472" s="8" t="s">
        <v>1235</v>
      </c>
      <c r="D472" s="6" t="s">
        <v>1233</v>
      </c>
      <c r="E472" s="7" t="s">
        <v>1234</v>
      </c>
      <c r="F472" s="7" t="s">
        <v>14</v>
      </c>
      <c r="G472" s="8" t="s">
        <v>15</v>
      </c>
      <c r="H472" s="8" t="s">
        <v>16</v>
      </c>
      <c r="I472" s="7" t="s">
        <v>17</v>
      </c>
      <c r="J472" s="15">
        <v>15</v>
      </c>
    </row>
    <row r="473" spans="1:10" ht="39" x14ac:dyDescent="0.2">
      <c r="A473" s="7" t="s">
        <v>1290</v>
      </c>
      <c r="B473" s="8" t="s">
        <v>11</v>
      </c>
      <c r="C473" s="8" t="s">
        <v>1235</v>
      </c>
      <c r="D473" s="6" t="s">
        <v>1233</v>
      </c>
      <c r="E473" s="7" t="s">
        <v>1234</v>
      </c>
      <c r="F473" s="7" t="s">
        <v>14</v>
      </c>
      <c r="G473" s="8" t="s">
        <v>19</v>
      </c>
      <c r="H473" s="8" t="s">
        <v>743</v>
      </c>
      <c r="I473" s="7" t="s">
        <v>17</v>
      </c>
      <c r="J473" s="15">
        <v>5</v>
      </c>
    </row>
    <row r="474" spans="1:10" ht="65" x14ac:dyDescent="0.2">
      <c r="A474" s="7" t="s">
        <v>1290</v>
      </c>
      <c r="B474" s="8" t="s">
        <v>11</v>
      </c>
      <c r="C474" s="8" t="s">
        <v>1235</v>
      </c>
      <c r="D474" s="6" t="s">
        <v>1233</v>
      </c>
      <c r="E474" s="7" t="s">
        <v>1234</v>
      </c>
      <c r="F474" s="7" t="s">
        <v>14</v>
      </c>
      <c r="G474" s="8" t="s">
        <v>28</v>
      </c>
      <c r="H474" s="8" t="s">
        <v>29</v>
      </c>
      <c r="I474" s="7" t="s">
        <v>25</v>
      </c>
      <c r="J474" s="15">
        <v>10</v>
      </c>
    </row>
    <row r="475" spans="1:10" ht="65" x14ac:dyDescent="0.2">
      <c r="A475" s="7" t="s">
        <v>1290</v>
      </c>
      <c r="B475" s="8" t="s">
        <v>11</v>
      </c>
      <c r="C475" s="8" t="s">
        <v>1235</v>
      </c>
      <c r="D475" s="6" t="s">
        <v>1233</v>
      </c>
      <c r="E475" s="7" t="s">
        <v>1234</v>
      </c>
      <c r="F475" s="7" t="s">
        <v>14</v>
      </c>
      <c r="G475" s="8" t="s">
        <v>747</v>
      </c>
      <c r="H475" s="8" t="s">
        <v>24</v>
      </c>
      <c r="I475" s="7" t="s">
        <v>25</v>
      </c>
      <c r="J475" s="15">
        <v>13</v>
      </c>
    </row>
    <row r="476" spans="1:10" ht="78" x14ac:dyDescent="0.2">
      <c r="A476" s="7" t="s">
        <v>1290</v>
      </c>
      <c r="B476" s="8" t="s">
        <v>11</v>
      </c>
      <c r="C476" s="8" t="s">
        <v>1235</v>
      </c>
      <c r="D476" s="6" t="s">
        <v>1233</v>
      </c>
      <c r="E476" s="7" t="s">
        <v>1234</v>
      </c>
      <c r="F476" s="7" t="s">
        <v>14</v>
      </c>
      <c r="G476" s="8" t="s">
        <v>91</v>
      </c>
      <c r="H476" s="8" t="s">
        <v>33</v>
      </c>
      <c r="I476" s="7" t="s">
        <v>25</v>
      </c>
      <c r="J476" s="15">
        <v>17</v>
      </c>
    </row>
    <row r="477" spans="1:10" ht="39" x14ac:dyDescent="0.2">
      <c r="A477" s="7" t="s">
        <v>1290</v>
      </c>
      <c r="B477" s="8" t="s">
        <v>11</v>
      </c>
      <c r="C477" s="8" t="s">
        <v>1235</v>
      </c>
      <c r="D477" s="6" t="s">
        <v>1925</v>
      </c>
      <c r="E477" s="7" t="s">
        <v>1926</v>
      </c>
      <c r="F477" s="7" t="s">
        <v>14</v>
      </c>
      <c r="G477" s="8" t="s">
        <v>15</v>
      </c>
      <c r="H477" s="8" t="s">
        <v>16</v>
      </c>
      <c r="I477" s="7" t="s">
        <v>17</v>
      </c>
      <c r="J477" s="15">
        <v>15</v>
      </c>
    </row>
    <row r="478" spans="1:10" ht="52" x14ac:dyDescent="0.2">
      <c r="A478" s="7" t="s">
        <v>1290</v>
      </c>
      <c r="B478" s="8" t="s">
        <v>11</v>
      </c>
      <c r="C478" s="8" t="s">
        <v>1235</v>
      </c>
      <c r="D478" s="6" t="s">
        <v>1925</v>
      </c>
      <c r="E478" s="7" t="s">
        <v>1926</v>
      </c>
      <c r="F478" s="7" t="s">
        <v>14</v>
      </c>
      <c r="G478" s="8" t="s">
        <v>958</v>
      </c>
      <c r="H478" s="8" t="s">
        <v>959</v>
      </c>
      <c r="I478" s="7" t="s">
        <v>17</v>
      </c>
      <c r="J478" s="15">
        <v>25</v>
      </c>
    </row>
    <row r="479" spans="1:10" ht="39" x14ac:dyDescent="0.2">
      <c r="A479" s="7" t="s">
        <v>1290</v>
      </c>
      <c r="B479" s="8" t="s">
        <v>11</v>
      </c>
      <c r="C479" s="8" t="s">
        <v>1235</v>
      </c>
      <c r="D479" s="6" t="s">
        <v>1925</v>
      </c>
      <c r="E479" s="7" t="s">
        <v>1926</v>
      </c>
      <c r="F479" s="7" t="s">
        <v>14</v>
      </c>
      <c r="G479" s="8" t="s">
        <v>19</v>
      </c>
      <c r="H479" s="8" t="s">
        <v>743</v>
      </c>
      <c r="I479" s="7" t="s">
        <v>17</v>
      </c>
      <c r="J479" s="15">
        <v>5</v>
      </c>
    </row>
    <row r="480" spans="1:10" ht="65" x14ac:dyDescent="0.2">
      <c r="A480" s="7" t="s">
        <v>1290</v>
      </c>
      <c r="B480" s="8" t="s">
        <v>11</v>
      </c>
      <c r="C480" s="8" t="s">
        <v>1235</v>
      </c>
      <c r="D480" s="6" t="s">
        <v>1925</v>
      </c>
      <c r="E480" s="7" t="s">
        <v>1926</v>
      </c>
      <c r="F480" s="7" t="s">
        <v>14</v>
      </c>
      <c r="G480" s="8" t="s">
        <v>28</v>
      </c>
      <c r="H480" s="8" t="s">
        <v>29</v>
      </c>
      <c r="I480" s="7" t="s">
        <v>25</v>
      </c>
      <c r="J480" s="15">
        <v>10</v>
      </c>
    </row>
    <row r="481" spans="1:10" ht="65" x14ac:dyDescent="0.2">
      <c r="A481" s="7" t="s">
        <v>1290</v>
      </c>
      <c r="B481" s="8" t="s">
        <v>11</v>
      </c>
      <c r="C481" s="8" t="s">
        <v>1235</v>
      </c>
      <c r="D481" s="6" t="s">
        <v>1925</v>
      </c>
      <c r="E481" s="7" t="s">
        <v>1926</v>
      </c>
      <c r="F481" s="7" t="s">
        <v>14</v>
      </c>
      <c r="G481" s="8" t="s">
        <v>747</v>
      </c>
      <c r="H481" s="8" t="s">
        <v>24</v>
      </c>
      <c r="I481" s="7" t="s">
        <v>25</v>
      </c>
      <c r="J481" s="15">
        <v>13</v>
      </c>
    </row>
    <row r="482" spans="1:10" ht="78" x14ac:dyDescent="0.2">
      <c r="A482" s="7" t="s">
        <v>1290</v>
      </c>
      <c r="B482" s="8" t="s">
        <v>11</v>
      </c>
      <c r="C482" s="8" t="s">
        <v>1235</v>
      </c>
      <c r="D482" s="6" t="s">
        <v>1925</v>
      </c>
      <c r="E482" s="7" t="s">
        <v>1926</v>
      </c>
      <c r="F482" s="7" t="s">
        <v>14</v>
      </c>
      <c r="G482" s="8" t="s">
        <v>91</v>
      </c>
      <c r="H482" s="8" t="s">
        <v>33</v>
      </c>
      <c r="I482" s="7" t="s">
        <v>25</v>
      </c>
      <c r="J482" s="15">
        <v>17</v>
      </c>
    </row>
    <row r="483" spans="1:10" ht="26" x14ac:dyDescent="0.2">
      <c r="A483" s="7" t="s">
        <v>1290</v>
      </c>
      <c r="B483" s="8" t="s">
        <v>11</v>
      </c>
      <c r="C483" s="8" t="s">
        <v>1235</v>
      </c>
      <c r="D483" s="6" t="s">
        <v>1925</v>
      </c>
      <c r="E483" s="7" t="s">
        <v>1926</v>
      </c>
      <c r="F483" s="7" t="s">
        <v>14</v>
      </c>
      <c r="G483" s="8" t="s">
        <v>1927</v>
      </c>
      <c r="H483" s="8" t="s">
        <v>1928</v>
      </c>
      <c r="I483" s="7" t="s">
        <v>17</v>
      </c>
      <c r="J483" s="15">
        <v>15</v>
      </c>
    </row>
    <row r="484" spans="1:10" ht="52" x14ac:dyDescent="0.2">
      <c r="A484" s="7" t="s">
        <v>1290</v>
      </c>
      <c r="B484" s="8" t="s">
        <v>11</v>
      </c>
      <c r="C484" s="8" t="s">
        <v>936</v>
      </c>
      <c r="D484" s="6" t="s">
        <v>934</v>
      </c>
      <c r="E484" s="7" t="s">
        <v>935</v>
      </c>
      <c r="F484" s="7" t="s">
        <v>439</v>
      </c>
      <c r="G484" s="8" t="s">
        <v>937</v>
      </c>
      <c r="H484" s="8" t="s">
        <v>938</v>
      </c>
      <c r="I484" s="7" t="s">
        <v>17</v>
      </c>
      <c r="J484" s="15">
        <v>15</v>
      </c>
    </row>
    <row r="485" spans="1:10" ht="52" x14ac:dyDescent="0.2">
      <c r="A485" s="7" t="s">
        <v>1290</v>
      </c>
      <c r="B485" s="8" t="s">
        <v>11</v>
      </c>
      <c r="C485" s="8" t="s">
        <v>936</v>
      </c>
      <c r="D485" s="6" t="s">
        <v>934</v>
      </c>
      <c r="E485" s="7" t="s">
        <v>935</v>
      </c>
      <c r="F485" s="7" t="s">
        <v>439</v>
      </c>
      <c r="G485" s="8" t="s">
        <v>15</v>
      </c>
      <c r="H485" s="8" t="s">
        <v>484</v>
      </c>
      <c r="I485" s="7" t="s">
        <v>17</v>
      </c>
      <c r="J485" s="15">
        <v>15</v>
      </c>
    </row>
    <row r="486" spans="1:10" ht="39" x14ac:dyDescent="0.2">
      <c r="A486" s="7" t="s">
        <v>1290</v>
      </c>
      <c r="B486" s="8" t="s">
        <v>11</v>
      </c>
      <c r="C486" s="8" t="s">
        <v>936</v>
      </c>
      <c r="D486" s="6" t="s">
        <v>934</v>
      </c>
      <c r="E486" s="7" t="s">
        <v>935</v>
      </c>
      <c r="F486" s="7" t="s">
        <v>439</v>
      </c>
      <c r="G486" s="8" t="s">
        <v>939</v>
      </c>
      <c r="H486" s="8" t="s">
        <v>940</v>
      </c>
      <c r="I486" s="7" t="s">
        <v>17</v>
      </c>
      <c r="J486" s="15">
        <v>5</v>
      </c>
    </row>
    <row r="487" spans="1:10" ht="116.5" customHeight="1" x14ac:dyDescent="0.2">
      <c r="A487" s="7" t="s">
        <v>1290</v>
      </c>
      <c r="B487" s="8" t="s">
        <v>11</v>
      </c>
      <c r="C487" s="8" t="s">
        <v>936</v>
      </c>
      <c r="D487" s="6" t="s">
        <v>934</v>
      </c>
      <c r="E487" s="7" t="s">
        <v>935</v>
      </c>
      <c r="F487" s="7" t="s">
        <v>439</v>
      </c>
      <c r="G487" s="8" t="s">
        <v>446</v>
      </c>
      <c r="H487" s="8" t="s">
        <v>63</v>
      </c>
      <c r="I487" s="7" t="s">
        <v>25</v>
      </c>
      <c r="J487" s="15">
        <v>12</v>
      </c>
    </row>
    <row r="488" spans="1:10" ht="128.5" customHeight="1" x14ac:dyDescent="0.2">
      <c r="A488" s="7" t="s">
        <v>1290</v>
      </c>
      <c r="B488" s="8" t="s">
        <v>11</v>
      </c>
      <c r="C488" s="8" t="s">
        <v>936</v>
      </c>
      <c r="D488" s="6" t="s">
        <v>934</v>
      </c>
      <c r="E488" s="7" t="s">
        <v>935</v>
      </c>
      <c r="F488" s="7" t="s">
        <v>439</v>
      </c>
      <c r="G488" s="8" t="s">
        <v>28</v>
      </c>
      <c r="H488" s="8" t="s">
        <v>60</v>
      </c>
      <c r="I488" s="7" t="s">
        <v>25</v>
      </c>
      <c r="J488" s="15">
        <v>12</v>
      </c>
    </row>
    <row r="489" spans="1:10" ht="65" x14ac:dyDescent="0.2">
      <c r="A489" s="7" t="s">
        <v>1290</v>
      </c>
      <c r="B489" s="8" t="s">
        <v>11</v>
      </c>
      <c r="C489" s="8" t="s">
        <v>936</v>
      </c>
      <c r="D489" s="6" t="s">
        <v>934</v>
      </c>
      <c r="E489" s="7" t="s">
        <v>935</v>
      </c>
      <c r="F489" s="7" t="s">
        <v>439</v>
      </c>
      <c r="G489" s="8" t="s">
        <v>30</v>
      </c>
      <c r="H489" s="8" t="s">
        <v>59</v>
      </c>
      <c r="I489" s="7" t="s">
        <v>25</v>
      </c>
      <c r="J489" s="15">
        <v>16</v>
      </c>
    </row>
    <row r="490" spans="1:10" ht="117" x14ac:dyDescent="0.2">
      <c r="A490" s="7" t="s">
        <v>1290</v>
      </c>
      <c r="B490" s="8" t="s">
        <v>11</v>
      </c>
      <c r="C490" s="8" t="s">
        <v>936</v>
      </c>
      <c r="D490" s="6" t="s">
        <v>934</v>
      </c>
      <c r="E490" s="7" t="s">
        <v>935</v>
      </c>
      <c r="F490" s="7" t="s">
        <v>439</v>
      </c>
      <c r="G490" s="8" t="s">
        <v>941</v>
      </c>
      <c r="H490" s="8" t="s">
        <v>942</v>
      </c>
      <c r="I490" s="7" t="s">
        <v>17</v>
      </c>
      <c r="J490" s="15">
        <v>10</v>
      </c>
    </row>
    <row r="491" spans="1:10" ht="91" x14ac:dyDescent="0.2">
      <c r="A491" s="7" t="s">
        <v>1290</v>
      </c>
      <c r="B491" s="8" t="s">
        <v>11</v>
      </c>
      <c r="C491" s="8" t="s">
        <v>936</v>
      </c>
      <c r="D491" s="6" t="s">
        <v>934</v>
      </c>
      <c r="E491" s="7" t="s">
        <v>935</v>
      </c>
      <c r="F491" s="7" t="s">
        <v>439</v>
      </c>
      <c r="G491" s="8" t="s">
        <v>943</v>
      </c>
      <c r="H491" s="8" t="s">
        <v>944</v>
      </c>
      <c r="I491" s="7" t="s">
        <v>17</v>
      </c>
      <c r="J491" s="15">
        <v>15</v>
      </c>
    </row>
    <row r="492" spans="1:10" ht="26" x14ac:dyDescent="0.2">
      <c r="A492" s="7" t="s">
        <v>1290</v>
      </c>
      <c r="B492" s="8" t="s">
        <v>11</v>
      </c>
      <c r="C492" s="8" t="s">
        <v>1140</v>
      </c>
      <c r="D492" s="6" t="s">
        <v>1138</v>
      </c>
      <c r="E492" s="7" t="s">
        <v>1139</v>
      </c>
      <c r="F492" s="7" t="s">
        <v>439</v>
      </c>
      <c r="G492" s="8" t="s">
        <v>1141</v>
      </c>
      <c r="H492" s="8" t="s">
        <v>1142</v>
      </c>
      <c r="I492" s="7" t="s">
        <v>17</v>
      </c>
      <c r="J492" s="15">
        <v>10</v>
      </c>
    </row>
    <row r="493" spans="1:10" ht="104" x14ac:dyDescent="0.2">
      <c r="A493" s="7" t="s">
        <v>1290</v>
      </c>
      <c r="B493" s="8" t="s">
        <v>11</v>
      </c>
      <c r="C493" s="8" t="s">
        <v>1140</v>
      </c>
      <c r="D493" s="6" t="s">
        <v>1138</v>
      </c>
      <c r="E493" s="7" t="s">
        <v>1139</v>
      </c>
      <c r="F493" s="7" t="s">
        <v>439</v>
      </c>
      <c r="G493" s="8" t="s">
        <v>941</v>
      </c>
      <c r="H493" s="8" t="s">
        <v>1143</v>
      </c>
      <c r="I493" s="7" t="s">
        <v>17</v>
      </c>
      <c r="J493" s="15">
        <v>10</v>
      </c>
    </row>
    <row r="494" spans="1:10" ht="52" x14ac:dyDescent="0.2">
      <c r="A494" s="7" t="s">
        <v>1290</v>
      </c>
      <c r="B494" s="8" t="s">
        <v>11</v>
      </c>
      <c r="C494" s="8" t="s">
        <v>1140</v>
      </c>
      <c r="D494" s="6" t="s">
        <v>1138</v>
      </c>
      <c r="E494" s="7" t="s">
        <v>1139</v>
      </c>
      <c r="F494" s="7" t="s">
        <v>439</v>
      </c>
      <c r="G494" s="8" t="s">
        <v>1083</v>
      </c>
      <c r="H494" s="8" t="s">
        <v>1144</v>
      </c>
      <c r="I494" s="7" t="s">
        <v>17</v>
      </c>
      <c r="J494" s="15">
        <v>10</v>
      </c>
    </row>
    <row r="495" spans="1:10" ht="78" x14ac:dyDescent="0.2">
      <c r="A495" s="7" t="s">
        <v>1290</v>
      </c>
      <c r="B495" s="8" t="s">
        <v>11</v>
      </c>
      <c r="C495" s="8" t="s">
        <v>1140</v>
      </c>
      <c r="D495" s="6" t="s">
        <v>1138</v>
      </c>
      <c r="E495" s="7" t="s">
        <v>1139</v>
      </c>
      <c r="F495" s="7" t="s">
        <v>439</v>
      </c>
      <c r="G495" s="8" t="s">
        <v>1145</v>
      </c>
      <c r="H495" s="8" t="s">
        <v>1146</v>
      </c>
      <c r="I495" s="7" t="s">
        <v>17</v>
      </c>
      <c r="J495" s="15">
        <v>15</v>
      </c>
    </row>
    <row r="496" spans="1:10" ht="52" x14ac:dyDescent="0.2">
      <c r="A496" s="7" t="s">
        <v>1290</v>
      </c>
      <c r="B496" s="8" t="s">
        <v>11</v>
      </c>
      <c r="C496" s="8" t="s">
        <v>1140</v>
      </c>
      <c r="D496" s="6" t="s">
        <v>1138</v>
      </c>
      <c r="E496" s="7" t="s">
        <v>1139</v>
      </c>
      <c r="F496" s="7" t="s">
        <v>439</v>
      </c>
      <c r="G496" s="8" t="s">
        <v>838</v>
      </c>
      <c r="H496" s="8" t="s">
        <v>484</v>
      </c>
      <c r="I496" s="7" t="s">
        <v>17</v>
      </c>
      <c r="J496" s="15">
        <v>15</v>
      </c>
    </row>
    <row r="497" spans="1:10" ht="78" x14ac:dyDescent="0.2">
      <c r="A497" s="7" t="s">
        <v>1290</v>
      </c>
      <c r="B497" s="8" t="s">
        <v>11</v>
      </c>
      <c r="C497" s="8" t="s">
        <v>1140</v>
      </c>
      <c r="D497" s="6" t="s">
        <v>1138</v>
      </c>
      <c r="E497" s="7" t="s">
        <v>1139</v>
      </c>
      <c r="F497" s="7" t="s">
        <v>439</v>
      </c>
      <c r="G497" s="8" t="s">
        <v>446</v>
      </c>
      <c r="H497" s="8" t="s">
        <v>63</v>
      </c>
      <c r="I497" s="7" t="s">
        <v>25</v>
      </c>
      <c r="J497" s="15">
        <v>9</v>
      </c>
    </row>
    <row r="498" spans="1:10" ht="65" x14ac:dyDescent="0.2">
      <c r="A498" s="7" t="s">
        <v>1290</v>
      </c>
      <c r="B498" s="8" t="s">
        <v>11</v>
      </c>
      <c r="C498" s="8" t="s">
        <v>1140</v>
      </c>
      <c r="D498" s="6" t="s">
        <v>1138</v>
      </c>
      <c r="E498" s="7" t="s">
        <v>1139</v>
      </c>
      <c r="F498" s="7" t="s">
        <v>439</v>
      </c>
      <c r="G498" s="8" t="s">
        <v>28</v>
      </c>
      <c r="H498" s="8" t="s">
        <v>60</v>
      </c>
      <c r="I498" s="7" t="s">
        <v>25</v>
      </c>
      <c r="J498" s="15">
        <v>9</v>
      </c>
    </row>
    <row r="499" spans="1:10" ht="65" x14ac:dyDescent="0.2">
      <c r="A499" s="7" t="s">
        <v>1290</v>
      </c>
      <c r="B499" s="8" t="s">
        <v>11</v>
      </c>
      <c r="C499" s="8" t="s">
        <v>1140</v>
      </c>
      <c r="D499" s="6" t="s">
        <v>1138</v>
      </c>
      <c r="E499" s="7" t="s">
        <v>1139</v>
      </c>
      <c r="F499" s="7" t="s">
        <v>439</v>
      </c>
      <c r="G499" s="8" t="s">
        <v>30</v>
      </c>
      <c r="H499" s="8" t="s">
        <v>59</v>
      </c>
      <c r="I499" s="7" t="s">
        <v>25</v>
      </c>
      <c r="J499" s="15">
        <v>12</v>
      </c>
    </row>
    <row r="500" spans="1:10" ht="78" x14ac:dyDescent="0.2">
      <c r="A500" s="7" t="s">
        <v>1290</v>
      </c>
      <c r="B500" s="8" t="s">
        <v>11</v>
      </c>
      <c r="C500" s="8" t="s">
        <v>1140</v>
      </c>
      <c r="D500" s="6" t="s">
        <v>1138</v>
      </c>
      <c r="E500" s="7" t="s">
        <v>1139</v>
      </c>
      <c r="F500" s="7" t="s">
        <v>439</v>
      </c>
      <c r="G500" s="8" t="s">
        <v>67</v>
      </c>
      <c r="H500" s="8" t="s">
        <v>68</v>
      </c>
      <c r="I500" s="7" t="s">
        <v>25</v>
      </c>
      <c r="J500" s="15">
        <v>10</v>
      </c>
    </row>
    <row r="501" spans="1:10" ht="117" x14ac:dyDescent="0.2">
      <c r="A501" s="7" t="s">
        <v>1290</v>
      </c>
      <c r="B501" s="8" t="s">
        <v>11</v>
      </c>
      <c r="C501" s="8" t="s">
        <v>2701</v>
      </c>
      <c r="D501" s="6" t="s">
        <v>53</v>
      </c>
      <c r="E501" s="7" t="s">
        <v>54</v>
      </c>
      <c r="F501" s="7" t="s">
        <v>1289</v>
      </c>
      <c r="G501" s="8" t="s">
        <v>62</v>
      </c>
      <c r="H501" s="8" t="s">
        <v>3422</v>
      </c>
      <c r="I501" s="7" t="s">
        <v>25</v>
      </c>
      <c r="J501" s="13">
        <v>15</v>
      </c>
    </row>
    <row r="502" spans="1:10" ht="104" x14ac:dyDescent="0.2">
      <c r="A502" s="7" t="s">
        <v>1290</v>
      </c>
      <c r="B502" s="8" t="s">
        <v>11</v>
      </c>
      <c r="C502" s="8" t="s">
        <v>2701</v>
      </c>
      <c r="D502" s="6" t="s">
        <v>53</v>
      </c>
      <c r="E502" s="7" t="s">
        <v>54</v>
      </c>
      <c r="F502" s="7" t="s">
        <v>1289</v>
      </c>
      <c r="G502" s="8" t="s">
        <v>30</v>
      </c>
      <c r="H502" s="8" t="s">
        <v>3423</v>
      </c>
      <c r="I502" s="7" t="s">
        <v>25</v>
      </c>
      <c r="J502" s="13">
        <v>10</v>
      </c>
    </row>
    <row r="503" spans="1:10" ht="52" x14ac:dyDescent="0.2">
      <c r="A503" s="7" t="s">
        <v>1290</v>
      </c>
      <c r="B503" s="8" t="s">
        <v>11</v>
      </c>
      <c r="C503" s="8" t="s">
        <v>2701</v>
      </c>
      <c r="D503" s="6" t="s">
        <v>53</v>
      </c>
      <c r="E503" s="7" t="s">
        <v>54</v>
      </c>
      <c r="F503" s="7" t="s">
        <v>1289</v>
      </c>
      <c r="G503" s="8" t="s">
        <v>1396</v>
      </c>
      <c r="H503" s="8" t="s">
        <v>2982</v>
      </c>
      <c r="I503" s="7" t="s">
        <v>25</v>
      </c>
      <c r="J503" s="13">
        <v>10</v>
      </c>
    </row>
    <row r="504" spans="1:10" ht="78" x14ac:dyDescent="0.2">
      <c r="A504" s="7" t="s">
        <v>1290</v>
      </c>
      <c r="B504" s="8" t="s">
        <v>11</v>
      </c>
      <c r="C504" s="8" t="s">
        <v>2701</v>
      </c>
      <c r="D504" s="6" t="s">
        <v>53</v>
      </c>
      <c r="E504" s="7" t="s">
        <v>54</v>
      </c>
      <c r="F504" s="7" t="s">
        <v>1289</v>
      </c>
      <c r="G504" s="8" t="s">
        <v>28</v>
      </c>
      <c r="H504" s="8" t="s">
        <v>3424</v>
      </c>
      <c r="I504" s="7" t="s">
        <v>25</v>
      </c>
      <c r="J504" s="13">
        <v>15</v>
      </c>
    </row>
    <row r="505" spans="1:10" ht="117" x14ac:dyDescent="0.2">
      <c r="A505" s="7" t="s">
        <v>1290</v>
      </c>
      <c r="B505" s="8" t="s">
        <v>11</v>
      </c>
      <c r="C505" s="8" t="s">
        <v>2701</v>
      </c>
      <c r="D505" s="6" t="s">
        <v>53</v>
      </c>
      <c r="E505" s="7" t="s">
        <v>54</v>
      </c>
      <c r="F505" s="7" t="s">
        <v>1289</v>
      </c>
      <c r="G505" s="8" t="s">
        <v>69</v>
      </c>
      <c r="H505" s="8" t="s">
        <v>3425</v>
      </c>
      <c r="I505" s="7" t="s">
        <v>25</v>
      </c>
      <c r="J505" s="13">
        <v>15</v>
      </c>
    </row>
    <row r="506" spans="1:10" ht="91" x14ac:dyDescent="0.2">
      <c r="A506" s="7" t="s">
        <v>1290</v>
      </c>
      <c r="B506" s="8" t="s">
        <v>11</v>
      </c>
      <c r="C506" s="8" t="s">
        <v>2701</v>
      </c>
      <c r="D506" s="6" t="s">
        <v>53</v>
      </c>
      <c r="E506" s="7" t="s">
        <v>54</v>
      </c>
      <c r="F506" s="7" t="s">
        <v>1289</v>
      </c>
      <c r="G506" s="8" t="s">
        <v>67</v>
      </c>
      <c r="H506" s="8" t="s">
        <v>3426</v>
      </c>
      <c r="I506" s="7" t="s">
        <v>25</v>
      </c>
      <c r="J506" s="13">
        <v>10</v>
      </c>
    </row>
    <row r="507" spans="1:10" ht="91" x14ac:dyDescent="0.2">
      <c r="A507" s="7" t="s">
        <v>1290</v>
      </c>
      <c r="B507" s="8" t="s">
        <v>11</v>
      </c>
      <c r="C507" s="8" t="s">
        <v>2701</v>
      </c>
      <c r="D507" s="6" t="s">
        <v>53</v>
      </c>
      <c r="E507" s="7" t="s">
        <v>54</v>
      </c>
      <c r="F507" s="7" t="s">
        <v>1289</v>
      </c>
      <c r="G507" s="8" t="s">
        <v>64</v>
      </c>
      <c r="H507" s="8" t="s">
        <v>3427</v>
      </c>
      <c r="I507" s="7" t="s">
        <v>25</v>
      </c>
      <c r="J507" s="13">
        <v>10</v>
      </c>
    </row>
    <row r="508" spans="1:10" ht="65" x14ac:dyDescent="0.2">
      <c r="A508" s="7" t="s">
        <v>1290</v>
      </c>
      <c r="B508" s="8" t="s">
        <v>11</v>
      </c>
      <c r="C508" s="8" t="s">
        <v>2701</v>
      </c>
      <c r="D508" s="6" t="s">
        <v>53</v>
      </c>
      <c r="E508" s="7" t="s">
        <v>54</v>
      </c>
      <c r="F508" s="7" t="s">
        <v>1289</v>
      </c>
      <c r="G508" s="8" t="s">
        <v>2702</v>
      </c>
      <c r="H508" s="8" t="s">
        <v>3428</v>
      </c>
      <c r="I508" s="7" t="s">
        <v>25</v>
      </c>
      <c r="J508" s="13">
        <v>15</v>
      </c>
    </row>
    <row r="509" spans="1:10" ht="39" x14ac:dyDescent="0.2">
      <c r="A509" s="7" t="s">
        <v>1290</v>
      </c>
      <c r="B509" s="8" t="s">
        <v>11</v>
      </c>
      <c r="C509" s="8" t="s">
        <v>2132</v>
      </c>
      <c r="D509" s="6" t="s">
        <v>2130</v>
      </c>
      <c r="E509" s="7" t="s">
        <v>2131</v>
      </c>
      <c r="F509" s="7" t="s">
        <v>54</v>
      </c>
      <c r="G509" s="8" t="s">
        <v>2133</v>
      </c>
      <c r="H509" s="8" t="s">
        <v>2134</v>
      </c>
      <c r="I509" s="7" t="s">
        <v>17</v>
      </c>
      <c r="J509" s="15">
        <v>11</v>
      </c>
    </row>
    <row r="510" spans="1:10" ht="91" x14ac:dyDescent="0.2">
      <c r="A510" s="7" t="s">
        <v>1290</v>
      </c>
      <c r="B510" s="8" t="s">
        <v>11</v>
      </c>
      <c r="C510" s="8" t="s">
        <v>2132</v>
      </c>
      <c r="D510" s="6" t="s">
        <v>2130</v>
      </c>
      <c r="E510" s="7" t="s">
        <v>2131</v>
      </c>
      <c r="F510" s="7" t="s">
        <v>54</v>
      </c>
      <c r="G510" s="8" t="s">
        <v>2135</v>
      </c>
      <c r="H510" s="8" t="s">
        <v>2136</v>
      </c>
      <c r="I510" s="7" t="s">
        <v>17</v>
      </c>
      <c r="J510" s="15">
        <v>10</v>
      </c>
    </row>
    <row r="511" spans="1:10" ht="52" x14ac:dyDescent="0.2">
      <c r="A511" s="7" t="s">
        <v>1290</v>
      </c>
      <c r="B511" s="8" t="s">
        <v>11</v>
      </c>
      <c r="C511" s="8" t="s">
        <v>2132</v>
      </c>
      <c r="D511" s="6" t="s">
        <v>2130</v>
      </c>
      <c r="E511" s="7" t="s">
        <v>2131</v>
      </c>
      <c r="F511" s="7" t="s">
        <v>54</v>
      </c>
      <c r="G511" s="8" t="s">
        <v>2137</v>
      </c>
      <c r="H511" s="8" t="s">
        <v>2138</v>
      </c>
      <c r="I511" s="7" t="s">
        <v>17</v>
      </c>
      <c r="J511" s="15">
        <v>20</v>
      </c>
    </row>
    <row r="512" spans="1:10" ht="78" x14ac:dyDescent="0.2">
      <c r="A512" s="7" t="s">
        <v>1290</v>
      </c>
      <c r="B512" s="8" t="s">
        <v>11</v>
      </c>
      <c r="C512" s="8" t="s">
        <v>2132</v>
      </c>
      <c r="D512" s="6" t="s">
        <v>2130</v>
      </c>
      <c r="E512" s="7" t="s">
        <v>2131</v>
      </c>
      <c r="F512" s="7" t="s">
        <v>54</v>
      </c>
      <c r="G512" s="8" t="s">
        <v>62</v>
      </c>
      <c r="H512" s="8" t="s">
        <v>63</v>
      </c>
      <c r="I512" s="7" t="s">
        <v>25</v>
      </c>
      <c r="J512" s="15">
        <v>14</v>
      </c>
    </row>
    <row r="513" spans="1:10" ht="65" x14ac:dyDescent="0.2">
      <c r="A513" s="7" t="s">
        <v>1290</v>
      </c>
      <c r="B513" s="8" t="s">
        <v>11</v>
      </c>
      <c r="C513" s="8" t="s">
        <v>2132</v>
      </c>
      <c r="D513" s="6" t="s">
        <v>2130</v>
      </c>
      <c r="E513" s="7" t="s">
        <v>2131</v>
      </c>
      <c r="F513" s="7" t="s">
        <v>54</v>
      </c>
      <c r="G513" s="8" t="s">
        <v>23</v>
      </c>
      <c r="H513" s="8" t="s">
        <v>61</v>
      </c>
      <c r="I513" s="7" t="s">
        <v>25</v>
      </c>
      <c r="J513" s="15">
        <v>14</v>
      </c>
    </row>
    <row r="514" spans="1:10" ht="65" x14ac:dyDescent="0.2">
      <c r="A514" s="7" t="s">
        <v>1290</v>
      </c>
      <c r="B514" s="8" t="s">
        <v>11</v>
      </c>
      <c r="C514" s="8" t="s">
        <v>2132</v>
      </c>
      <c r="D514" s="6" t="s">
        <v>2130</v>
      </c>
      <c r="E514" s="7" t="s">
        <v>2131</v>
      </c>
      <c r="F514" s="7" t="s">
        <v>54</v>
      </c>
      <c r="G514" s="8" t="s">
        <v>28</v>
      </c>
      <c r="H514" s="8" t="s">
        <v>60</v>
      </c>
      <c r="I514" s="7" t="s">
        <v>25</v>
      </c>
      <c r="J514" s="15">
        <v>13</v>
      </c>
    </row>
    <row r="515" spans="1:10" ht="65" x14ac:dyDescent="0.2">
      <c r="A515" s="7" t="s">
        <v>1290</v>
      </c>
      <c r="B515" s="8" t="s">
        <v>11</v>
      </c>
      <c r="C515" s="8" t="s">
        <v>2132</v>
      </c>
      <c r="D515" s="6" t="s">
        <v>2130</v>
      </c>
      <c r="E515" s="7" t="s">
        <v>2131</v>
      </c>
      <c r="F515" s="7" t="s">
        <v>54</v>
      </c>
      <c r="G515" s="8" t="s">
        <v>26</v>
      </c>
      <c r="H515" s="8" t="s">
        <v>66</v>
      </c>
      <c r="I515" s="7" t="s">
        <v>25</v>
      </c>
      <c r="J515" s="15">
        <v>13</v>
      </c>
    </row>
    <row r="516" spans="1:10" ht="52" x14ac:dyDescent="0.2">
      <c r="A516" s="7" t="s">
        <v>1290</v>
      </c>
      <c r="B516" s="8" t="s">
        <v>11</v>
      </c>
      <c r="C516" s="8" t="s">
        <v>2132</v>
      </c>
      <c r="D516" s="6" t="s">
        <v>2130</v>
      </c>
      <c r="E516" s="7" t="s">
        <v>2131</v>
      </c>
      <c r="F516" s="7" t="s">
        <v>54</v>
      </c>
      <c r="G516" s="8" t="s">
        <v>2139</v>
      </c>
      <c r="H516" s="8" t="s">
        <v>2140</v>
      </c>
      <c r="I516" s="7" t="s">
        <v>17</v>
      </c>
      <c r="J516" s="15">
        <v>5</v>
      </c>
    </row>
    <row r="517" spans="1:10" ht="39" x14ac:dyDescent="0.2">
      <c r="A517" s="7" t="s">
        <v>1290</v>
      </c>
      <c r="B517" s="8" t="s">
        <v>11</v>
      </c>
      <c r="C517" s="8" t="s">
        <v>1391</v>
      </c>
      <c r="D517" s="6" t="s">
        <v>1389</v>
      </c>
      <c r="E517" s="7" t="s">
        <v>1390</v>
      </c>
      <c r="F517" s="7" t="s">
        <v>14</v>
      </c>
      <c r="G517" s="8" t="s">
        <v>19</v>
      </c>
      <c r="H517" s="8" t="s">
        <v>1392</v>
      </c>
      <c r="I517" s="7" t="s">
        <v>17</v>
      </c>
      <c r="J517" s="15">
        <v>5</v>
      </c>
    </row>
    <row r="518" spans="1:10" ht="26" x14ac:dyDescent="0.2">
      <c r="A518" s="7" t="s">
        <v>1290</v>
      </c>
      <c r="B518" s="8" t="s">
        <v>11</v>
      </c>
      <c r="C518" s="8" t="s">
        <v>1391</v>
      </c>
      <c r="D518" s="6" t="s">
        <v>1389</v>
      </c>
      <c r="E518" s="7" t="s">
        <v>1390</v>
      </c>
      <c r="F518" s="7" t="s">
        <v>14</v>
      </c>
      <c r="G518" s="8" t="s">
        <v>1393</v>
      </c>
      <c r="H518" s="8" t="s">
        <v>1394</v>
      </c>
      <c r="I518" s="7" t="s">
        <v>17</v>
      </c>
      <c r="J518" s="15">
        <v>15</v>
      </c>
    </row>
    <row r="519" spans="1:10" ht="39" x14ac:dyDescent="0.2">
      <c r="A519" s="7" t="s">
        <v>1290</v>
      </c>
      <c r="B519" s="8" t="s">
        <v>11</v>
      </c>
      <c r="C519" s="8" t="s">
        <v>1391</v>
      </c>
      <c r="D519" s="6" t="s">
        <v>1389</v>
      </c>
      <c r="E519" s="7" t="s">
        <v>1390</v>
      </c>
      <c r="F519" s="7" t="s">
        <v>14</v>
      </c>
      <c r="G519" s="8" t="s">
        <v>15</v>
      </c>
      <c r="H519" s="8" t="s">
        <v>1395</v>
      </c>
      <c r="I519" s="7" t="s">
        <v>17</v>
      </c>
      <c r="J519" s="15">
        <v>11</v>
      </c>
    </row>
    <row r="520" spans="1:10" ht="65" x14ac:dyDescent="0.2">
      <c r="A520" s="7" t="s">
        <v>1290</v>
      </c>
      <c r="B520" s="8" t="s">
        <v>11</v>
      </c>
      <c r="C520" s="8" t="s">
        <v>1391</v>
      </c>
      <c r="D520" s="6" t="s">
        <v>1389</v>
      </c>
      <c r="E520" s="7" t="s">
        <v>1390</v>
      </c>
      <c r="F520" s="7" t="s">
        <v>14</v>
      </c>
      <c r="G520" s="8" t="s">
        <v>23</v>
      </c>
      <c r="H520" s="8" t="s">
        <v>61</v>
      </c>
      <c r="I520" s="7" t="s">
        <v>25</v>
      </c>
      <c r="J520" s="15">
        <v>13</v>
      </c>
    </row>
    <row r="521" spans="1:10" ht="65" x14ac:dyDescent="0.2">
      <c r="A521" s="7" t="s">
        <v>1290</v>
      </c>
      <c r="B521" s="8" t="s">
        <v>11</v>
      </c>
      <c r="C521" s="8" t="s">
        <v>1391</v>
      </c>
      <c r="D521" s="6" t="s">
        <v>1389</v>
      </c>
      <c r="E521" s="7" t="s">
        <v>1390</v>
      </c>
      <c r="F521" s="7" t="s">
        <v>14</v>
      </c>
      <c r="G521" s="8" t="s">
        <v>1396</v>
      </c>
      <c r="H521" s="8" t="s">
        <v>27</v>
      </c>
      <c r="I521" s="7" t="s">
        <v>25</v>
      </c>
      <c r="J521" s="15">
        <v>8</v>
      </c>
    </row>
    <row r="522" spans="1:10" ht="78" x14ac:dyDescent="0.2">
      <c r="A522" s="7" t="s">
        <v>1290</v>
      </c>
      <c r="B522" s="8" t="s">
        <v>11</v>
      </c>
      <c r="C522" s="8" t="s">
        <v>1391</v>
      </c>
      <c r="D522" s="6" t="s">
        <v>1389</v>
      </c>
      <c r="E522" s="7" t="s">
        <v>1390</v>
      </c>
      <c r="F522" s="7" t="s">
        <v>14</v>
      </c>
      <c r="G522" s="8" t="s">
        <v>91</v>
      </c>
      <c r="H522" s="8" t="s">
        <v>63</v>
      </c>
      <c r="I522" s="7" t="s">
        <v>25</v>
      </c>
      <c r="J522" s="15">
        <v>15</v>
      </c>
    </row>
    <row r="523" spans="1:10" ht="65" x14ac:dyDescent="0.2">
      <c r="A523" s="7" t="s">
        <v>1290</v>
      </c>
      <c r="B523" s="8" t="s">
        <v>11</v>
      </c>
      <c r="C523" s="8" t="s">
        <v>1391</v>
      </c>
      <c r="D523" s="6" t="s">
        <v>1389</v>
      </c>
      <c r="E523" s="7" t="s">
        <v>1390</v>
      </c>
      <c r="F523" s="7" t="s">
        <v>14</v>
      </c>
      <c r="G523" s="8" t="s">
        <v>64</v>
      </c>
      <c r="H523" s="8" t="s">
        <v>65</v>
      </c>
      <c r="I523" s="7" t="s">
        <v>25</v>
      </c>
      <c r="J523" s="15">
        <v>7</v>
      </c>
    </row>
    <row r="524" spans="1:10" ht="65" x14ac:dyDescent="0.2">
      <c r="A524" s="7" t="s">
        <v>1290</v>
      </c>
      <c r="B524" s="8" t="s">
        <v>11</v>
      </c>
      <c r="C524" s="8" t="s">
        <v>1391</v>
      </c>
      <c r="D524" s="6" t="s">
        <v>1389</v>
      </c>
      <c r="E524" s="7" t="s">
        <v>1390</v>
      </c>
      <c r="F524" s="7" t="s">
        <v>14</v>
      </c>
      <c r="G524" s="8" t="s">
        <v>30</v>
      </c>
      <c r="H524" s="8" t="s">
        <v>59</v>
      </c>
      <c r="I524" s="7" t="s">
        <v>25</v>
      </c>
      <c r="J524" s="15">
        <v>5</v>
      </c>
    </row>
    <row r="525" spans="1:10" ht="65" x14ac:dyDescent="0.2">
      <c r="A525" s="7" t="s">
        <v>1290</v>
      </c>
      <c r="B525" s="8" t="s">
        <v>11</v>
      </c>
      <c r="C525" s="8" t="s">
        <v>1391</v>
      </c>
      <c r="D525" s="6" t="s">
        <v>1389</v>
      </c>
      <c r="E525" s="7" t="s">
        <v>1390</v>
      </c>
      <c r="F525" s="7" t="s">
        <v>14</v>
      </c>
      <c r="G525" s="8" t="s">
        <v>28</v>
      </c>
      <c r="H525" s="8" t="s">
        <v>60</v>
      </c>
      <c r="I525" s="7" t="s">
        <v>25</v>
      </c>
      <c r="J525" s="15">
        <v>6</v>
      </c>
    </row>
    <row r="526" spans="1:10" ht="39" x14ac:dyDescent="0.2">
      <c r="A526" s="7" t="s">
        <v>1290</v>
      </c>
      <c r="B526" s="8" t="s">
        <v>11</v>
      </c>
      <c r="C526" s="8" t="s">
        <v>1391</v>
      </c>
      <c r="D526" s="6" t="s">
        <v>1389</v>
      </c>
      <c r="E526" s="7" t="s">
        <v>1390</v>
      </c>
      <c r="F526" s="7" t="s">
        <v>14</v>
      </c>
      <c r="G526" s="8" t="s">
        <v>1397</v>
      </c>
      <c r="H526" s="8" t="s">
        <v>1398</v>
      </c>
      <c r="I526" s="7" t="s">
        <v>17</v>
      </c>
      <c r="J526" s="15">
        <v>15</v>
      </c>
    </row>
    <row r="527" spans="1:10" ht="52" x14ac:dyDescent="0.2">
      <c r="A527" s="7" t="s">
        <v>1290</v>
      </c>
      <c r="B527" s="8" t="s">
        <v>11</v>
      </c>
      <c r="C527" s="8" t="s">
        <v>437</v>
      </c>
      <c r="D527" s="6" t="s">
        <v>435</v>
      </c>
      <c r="E527" s="7" t="s">
        <v>436</v>
      </c>
      <c r="F527" s="7" t="s">
        <v>439</v>
      </c>
      <c r="G527" s="8" t="s">
        <v>440</v>
      </c>
      <c r="H527" s="8" t="s">
        <v>441</v>
      </c>
      <c r="I527" s="7" t="s">
        <v>17</v>
      </c>
      <c r="J527" s="15">
        <v>15</v>
      </c>
    </row>
    <row r="528" spans="1:10" ht="26" x14ac:dyDescent="0.2">
      <c r="A528" s="7" t="s">
        <v>1290</v>
      </c>
      <c r="B528" s="8" t="s">
        <v>11</v>
      </c>
      <c r="C528" s="8" t="s">
        <v>437</v>
      </c>
      <c r="D528" s="6" t="s">
        <v>435</v>
      </c>
      <c r="E528" s="7" t="s">
        <v>436</v>
      </c>
      <c r="F528" s="7" t="s">
        <v>439</v>
      </c>
      <c r="G528" s="8" t="s">
        <v>442</v>
      </c>
      <c r="H528" s="8" t="s">
        <v>443</v>
      </c>
      <c r="I528" s="7" t="s">
        <v>17</v>
      </c>
      <c r="J528" s="15">
        <v>5</v>
      </c>
    </row>
    <row r="529" spans="1:10" ht="26" x14ac:dyDescent="0.2">
      <c r="A529" s="7" t="s">
        <v>1290</v>
      </c>
      <c r="B529" s="8" t="s">
        <v>11</v>
      </c>
      <c r="C529" s="8" t="s">
        <v>437</v>
      </c>
      <c r="D529" s="6" t="s">
        <v>435</v>
      </c>
      <c r="E529" s="7" t="s">
        <v>436</v>
      </c>
      <c r="F529" s="7" t="s">
        <v>439</v>
      </c>
      <c r="G529" s="8" t="s">
        <v>444</v>
      </c>
      <c r="H529" s="8" t="s">
        <v>445</v>
      </c>
      <c r="I529" s="7" t="s">
        <v>17</v>
      </c>
      <c r="J529" s="15">
        <v>10</v>
      </c>
    </row>
    <row r="530" spans="1:10" ht="78" x14ac:dyDescent="0.2">
      <c r="A530" s="7" t="s">
        <v>1290</v>
      </c>
      <c r="B530" s="8" t="s">
        <v>11</v>
      </c>
      <c r="C530" s="8" t="s">
        <v>437</v>
      </c>
      <c r="D530" s="6" t="s">
        <v>435</v>
      </c>
      <c r="E530" s="7" t="s">
        <v>436</v>
      </c>
      <c r="F530" s="7" t="s">
        <v>439</v>
      </c>
      <c r="G530" s="8" t="s">
        <v>446</v>
      </c>
      <c r="H530" s="8" t="s">
        <v>63</v>
      </c>
      <c r="I530" s="7" t="s">
        <v>25</v>
      </c>
      <c r="J530" s="15">
        <v>8</v>
      </c>
    </row>
    <row r="531" spans="1:10" ht="65" x14ac:dyDescent="0.2">
      <c r="A531" s="7" t="s">
        <v>1290</v>
      </c>
      <c r="B531" s="8" t="s">
        <v>11</v>
      </c>
      <c r="C531" s="8" t="s">
        <v>437</v>
      </c>
      <c r="D531" s="6" t="s">
        <v>435</v>
      </c>
      <c r="E531" s="7" t="s">
        <v>436</v>
      </c>
      <c r="F531" s="7" t="s">
        <v>439</v>
      </c>
      <c r="G531" s="8" t="s">
        <v>447</v>
      </c>
      <c r="H531" s="8" t="s">
        <v>61</v>
      </c>
      <c r="I531" s="7" t="s">
        <v>25</v>
      </c>
      <c r="J531" s="15">
        <v>6</v>
      </c>
    </row>
    <row r="532" spans="1:10" ht="65" x14ac:dyDescent="0.2">
      <c r="A532" s="7" t="s">
        <v>1290</v>
      </c>
      <c r="B532" s="8" t="s">
        <v>11</v>
      </c>
      <c r="C532" s="8" t="s">
        <v>437</v>
      </c>
      <c r="D532" s="6" t="s">
        <v>435</v>
      </c>
      <c r="E532" s="7" t="s">
        <v>436</v>
      </c>
      <c r="F532" s="7" t="s">
        <v>439</v>
      </c>
      <c r="G532" s="8" t="s">
        <v>26</v>
      </c>
      <c r="H532" s="8" t="s">
        <v>448</v>
      </c>
      <c r="I532" s="7" t="s">
        <v>25</v>
      </c>
      <c r="J532" s="15">
        <v>8</v>
      </c>
    </row>
    <row r="533" spans="1:10" ht="65" x14ac:dyDescent="0.2">
      <c r="A533" s="7" t="s">
        <v>1290</v>
      </c>
      <c r="B533" s="8" t="s">
        <v>11</v>
      </c>
      <c r="C533" s="8" t="s">
        <v>437</v>
      </c>
      <c r="D533" s="6" t="s">
        <v>435</v>
      </c>
      <c r="E533" s="7" t="s">
        <v>436</v>
      </c>
      <c r="F533" s="7" t="s">
        <v>439</v>
      </c>
      <c r="G533" s="8" t="s">
        <v>30</v>
      </c>
      <c r="H533" s="8" t="s">
        <v>59</v>
      </c>
      <c r="I533" s="7" t="s">
        <v>25</v>
      </c>
      <c r="J533" s="15">
        <v>14</v>
      </c>
    </row>
    <row r="534" spans="1:10" ht="65" x14ac:dyDescent="0.2">
      <c r="A534" s="7" t="s">
        <v>1290</v>
      </c>
      <c r="B534" s="8" t="s">
        <v>11</v>
      </c>
      <c r="C534" s="8" t="s">
        <v>437</v>
      </c>
      <c r="D534" s="6" t="s">
        <v>435</v>
      </c>
      <c r="E534" s="7" t="s">
        <v>436</v>
      </c>
      <c r="F534" s="7" t="s">
        <v>439</v>
      </c>
      <c r="G534" s="8" t="s">
        <v>28</v>
      </c>
      <c r="H534" s="8" t="s">
        <v>60</v>
      </c>
      <c r="I534" s="7" t="s">
        <v>25</v>
      </c>
      <c r="J534" s="15">
        <v>8</v>
      </c>
    </row>
    <row r="535" spans="1:10" ht="78" x14ac:dyDescent="0.2">
      <c r="A535" s="7" t="s">
        <v>1290</v>
      </c>
      <c r="B535" s="8" t="s">
        <v>11</v>
      </c>
      <c r="C535" s="8" t="s">
        <v>437</v>
      </c>
      <c r="D535" s="6" t="s">
        <v>435</v>
      </c>
      <c r="E535" s="7" t="s">
        <v>436</v>
      </c>
      <c r="F535" s="7" t="s">
        <v>439</v>
      </c>
      <c r="G535" s="8" t="s">
        <v>67</v>
      </c>
      <c r="H535" s="8" t="s">
        <v>68</v>
      </c>
      <c r="I535" s="7" t="s">
        <v>25</v>
      </c>
      <c r="J535" s="15">
        <v>10</v>
      </c>
    </row>
    <row r="536" spans="1:10" ht="65" x14ac:dyDescent="0.2">
      <c r="A536" s="7" t="s">
        <v>1290</v>
      </c>
      <c r="B536" s="8" t="s">
        <v>11</v>
      </c>
      <c r="C536" s="8" t="s">
        <v>437</v>
      </c>
      <c r="D536" s="6" t="s">
        <v>435</v>
      </c>
      <c r="E536" s="7" t="s">
        <v>436</v>
      </c>
      <c r="F536" s="7" t="s">
        <v>439</v>
      </c>
      <c r="G536" s="8" t="s">
        <v>449</v>
      </c>
      <c r="H536" s="8" t="s">
        <v>450</v>
      </c>
      <c r="I536" s="7" t="s">
        <v>17</v>
      </c>
      <c r="J536" s="15">
        <v>16</v>
      </c>
    </row>
    <row r="537" spans="1:10" ht="52" x14ac:dyDescent="0.2">
      <c r="A537" s="7" t="s">
        <v>1290</v>
      </c>
      <c r="B537" s="8" t="s">
        <v>11</v>
      </c>
      <c r="C537" s="8" t="s">
        <v>437</v>
      </c>
      <c r="D537" s="6" t="s">
        <v>836</v>
      </c>
      <c r="E537" s="7" t="s">
        <v>837</v>
      </c>
      <c r="F537" s="7" t="s">
        <v>439</v>
      </c>
      <c r="G537" s="8" t="s">
        <v>838</v>
      </c>
      <c r="H537" s="8" t="s">
        <v>839</v>
      </c>
      <c r="I537" s="7" t="s">
        <v>17</v>
      </c>
      <c r="J537" s="15">
        <v>10</v>
      </c>
    </row>
    <row r="538" spans="1:10" ht="78" x14ac:dyDescent="0.2">
      <c r="A538" s="7" t="s">
        <v>1290</v>
      </c>
      <c r="B538" s="8" t="s">
        <v>11</v>
      </c>
      <c r="C538" s="8" t="s">
        <v>437</v>
      </c>
      <c r="D538" s="6" t="s">
        <v>836</v>
      </c>
      <c r="E538" s="7" t="s">
        <v>837</v>
      </c>
      <c r="F538" s="7" t="s">
        <v>439</v>
      </c>
      <c r="G538" s="8" t="s">
        <v>840</v>
      </c>
      <c r="H538" s="8" t="s">
        <v>841</v>
      </c>
      <c r="I538" s="7" t="s">
        <v>17</v>
      </c>
      <c r="J538" s="15">
        <v>11</v>
      </c>
    </row>
    <row r="539" spans="1:10" ht="52" x14ac:dyDescent="0.2">
      <c r="A539" s="7" t="s">
        <v>1290</v>
      </c>
      <c r="B539" s="8" t="s">
        <v>11</v>
      </c>
      <c r="C539" s="8" t="s">
        <v>437</v>
      </c>
      <c r="D539" s="6" t="s">
        <v>836</v>
      </c>
      <c r="E539" s="7" t="s">
        <v>837</v>
      </c>
      <c r="F539" s="7" t="s">
        <v>439</v>
      </c>
      <c r="G539" s="8" t="s">
        <v>842</v>
      </c>
      <c r="H539" s="8" t="s">
        <v>843</v>
      </c>
      <c r="I539" s="7" t="s">
        <v>17</v>
      </c>
      <c r="J539" s="15">
        <v>10</v>
      </c>
    </row>
    <row r="540" spans="1:10" ht="65" x14ac:dyDescent="0.2">
      <c r="A540" s="7" t="s">
        <v>1290</v>
      </c>
      <c r="B540" s="8" t="s">
        <v>11</v>
      </c>
      <c r="C540" s="8" t="s">
        <v>437</v>
      </c>
      <c r="D540" s="6" t="s">
        <v>836</v>
      </c>
      <c r="E540" s="7" t="s">
        <v>837</v>
      </c>
      <c r="F540" s="7" t="s">
        <v>439</v>
      </c>
      <c r="G540" s="8" t="s">
        <v>844</v>
      </c>
      <c r="H540" s="8" t="s">
        <v>845</v>
      </c>
      <c r="I540" s="7" t="s">
        <v>17</v>
      </c>
      <c r="J540" s="15">
        <v>10</v>
      </c>
    </row>
    <row r="541" spans="1:10" ht="26" x14ac:dyDescent="0.2">
      <c r="A541" s="7" t="s">
        <v>1290</v>
      </c>
      <c r="B541" s="8" t="s">
        <v>11</v>
      </c>
      <c r="C541" s="8" t="s">
        <v>437</v>
      </c>
      <c r="D541" s="6" t="s">
        <v>836</v>
      </c>
      <c r="E541" s="7" t="s">
        <v>837</v>
      </c>
      <c r="F541" s="7" t="s">
        <v>439</v>
      </c>
      <c r="G541" s="8" t="s">
        <v>442</v>
      </c>
      <c r="H541" s="8" t="s">
        <v>846</v>
      </c>
      <c r="I541" s="7" t="s">
        <v>17</v>
      </c>
      <c r="J541" s="15">
        <v>5</v>
      </c>
    </row>
    <row r="542" spans="1:10" ht="78" x14ac:dyDescent="0.2">
      <c r="A542" s="7" t="s">
        <v>1290</v>
      </c>
      <c r="B542" s="8" t="s">
        <v>11</v>
      </c>
      <c r="C542" s="8" t="s">
        <v>437</v>
      </c>
      <c r="D542" s="6" t="s">
        <v>836</v>
      </c>
      <c r="E542" s="7" t="s">
        <v>837</v>
      </c>
      <c r="F542" s="7" t="s">
        <v>439</v>
      </c>
      <c r="G542" s="8" t="s">
        <v>446</v>
      </c>
      <c r="H542" s="8" t="s">
        <v>63</v>
      </c>
      <c r="I542" s="7" t="s">
        <v>25</v>
      </c>
      <c r="J542" s="15">
        <v>10</v>
      </c>
    </row>
    <row r="543" spans="1:10" ht="65" x14ac:dyDescent="0.2">
      <c r="A543" s="7" t="s">
        <v>1290</v>
      </c>
      <c r="B543" s="8" t="s">
        <v>11</v>
      </c>
      <c r="C543" s="8" t="s">
        <v>437</v>
      </c>
      <c r="D543" s="6" t="s">
        <v>836</v>
      </c>
      <c r="E543" s="7" t="s">
        <v>837</v>
      </c>
      <c r="F543" s="7" t="s">
        <v>439</v>
      </c>
      <c r="G543" s="8" t="s">
        <v>447</v>
      </c>
      <c r="H543" s="8" t="s">
        <v>61</v>
      </c>
      <c r="I543" s="7" t="s">
        <v>25</v>
      </c>
      <c r="J543" s="15">
        <v>6</v>
      </c>
    </row>
    <row r="544" spans="1:10" ht="65" x14ac:dyDescent="0.2">
      <c r="A544" s="7" t="s">
        <v>1290</v>
      </c>
      <c r="B544" s="8" t="s">
        <v>11</v>
      </c>
      <c r="C544" s="8" t="s">
        <v>437</v>
      </c>
      <c r="D544" s="6" t="s">
        <v>836</v>
      </c>
      <c r="E544" s="7" t="s">
        <v>837</v>
      </c>
      <c r="F544" s="7" t="s">
        <v>439</v>
      </c>
      <c r="G544" s="8" t="s">
        <v>28</v>
      </c>
      <c r="H544" s="8" t="s">
        <v>60</v>
      </c>
      <c r="I544" s="7" t="s">
        <v>25</v>
      </c>
      <c r="J544" s="15">
        <v>10</v>
      </c>
    </row>
    <row r="545" spans="1:10" ht="65" x14ac:dyDescent="0.2">
      <c r="A545" s="7" t="s">
        <v>1290</v>
      </c>
      <c r="B545" s="8" t="s">
        <v>11</v>
      </c>
      <c r="C545" s="8" t="s">
        <v>437</v>
      </c>
      <c r="D545" s="6" t="s">
        <v>836</v>
      </c>
      <c r="E545" s="7" t="s">
        <v>837</v>
      </c>
      <c r="F545" s="7" t="s">
        <v>439</v>
      </c>
      <c r="G545" s="8" t="s">
        <v>26</v>
      </c>
      <c r="H545" s="8" t="s">
        <v>448</v>
      </c>
      <c r="I545" s="7" t="s">
        <v>25</v>
      </c>
      <c r="J545" s="15">
        <v>10</v>
      </c>
    </row>
    <row r="546" spans="1:10" ht="65" x14ac:dyDescent="0.2">
      <c r="A546" s="7" t="s">
        <v>1290</v>
      </c>
      <c r="B546" s="8" t="s">
        <v>11</v>
      </c>
      <c r="C546" s="8" t="s">
        <v>437</v>
      </c>
      <c r="D546" s="6" t="s">
        <v>836</v>
      </c>
      <c r="E546" s="7" t="s">
        <v>837</v>
      </c>
      <c r="F546" s="7" t="s">
        <v>439</v>
      </c>
      <c r="G546" s="8" t="s">
        <v>30</v>
      </c>
      <c r="H546" s="8" t="s">
        <v>59</v>
      </c>
      <c r="I546" s="7" t="s">
        <v>25</v>
      </c>
      <c r="J546" s="15">
        <v>18</v>
      </c>
    </row>
    <row r="547" spans="1:10" ht="52" x14ac:dyDescent="0.2">
      <c r="A547" s="7" t="s">
        <v>1290</v>
      </c>
      <c r="B547" s="8" t="s">
        <v>11</v>
      </c>
      <c r="C547" s="8" t="s">
        <v>957</v>
      </c>
      <c r="D547" s="6" t="s">
        <v>955</v>
      </c>
      <c r="E547" s="7" t="s">
        <v>956</v>
      </c>
      <c r="F547" s="7" t="s">
        <v>14</v>
      </c>
      <c r="G547" s="8" t="s">
        <v>958</v>
      </c>
      <c r="H547" s="8" t="s">
        <v>959</v>
      </c>
      <c r="I547" s="7" t="s">
        <v>17</v>
      </c>
      <c r="J547" s="15">
        <v>15</v>
      </c>
    </row>
    <row r="548" spans="1:10" ht="39" x14ac:dyDescent="0.2">
      <c r="A548" s="7" t="s">
        <v>1290</v>
      </c>
      <c r="B548" s="8" t="s">
        <v>11</v>
      </c>
      <c r="C548" s="8" t="s">
        <v>957</v>
      </c>
      <c r="D548" s="6" t="s">
        <v>955</v>
      </c>
      <c r="E548" s="7" t="s">
        <v>956</v>
      </c>
      <c r="F548" s="7" t="s">
        <v>14</v>
      </c>
      <c r="G548" s="8" t="s">
        <v>19</v>
      </c>
      <c r="H548" s="8" t="s">
        <v>743</v>
      </c>
      <c r="I548" s="7" t="s">
        <v>17</v>
      </c>
      <c r="J548" s="15">
        <v>5</v>
      </c>
    </row>
    <row r="549" spans="1:10" ht="65" x14ac:dyDescent="0.2">
      <c r="A549" s="7" t="s">
        <v>1290</v>
      </c>
      <c r="B549" s="8" t="s">
        <v>11</v>
      </c>
      <c r="C549" s="8" t="s">
        <v>957</v>
      </c>
      <c r="D549" s="6" t="s">
        <v>955</v>
      </c>
      <c r="E549" s="7" t="s">
        <v>956</v>
      </c>
      <c r="F549" s="7" t="s">
        <v>14</v>
      </c>
      <c r="G549" s="8" t="s">
        <v>64</v>
      </c>
      <c r="H549" s="8" t="s">
        <v>65</v>
      </c>
      <c r="I549" s="7" t="s">
        <v>25</v>
      </c>
      <c r="J549" s="15">
        <v>9</v>
      </c>
    </row>
    <row r="550" spans="1:10" ht="65" x14ac:dyDescent="0.2">
      <c r="A550" s="7" t="s">
        <v>1290</v>
      </c>
      <c r="B550" s="8" t="s">
        <v>11</v>
      </c>
      <c r="C550" s="8" t="s">
        <v>957</v>
      </c>
      <c r="D550" s="6" t="s">
        <v>955</v>
      </c>
      <c r="E550" s="7" t="s">
        <v>956</v>
      </c>
      <c r="F550" s="7" t="s">
        <v>14</v>
      </c>
      <c r="G550" s="8" t="s">
        <v>747</v>
      </c>
      <c r="H550" s="8" t="s">
        <v>61</v>
      </c>
      <c r="I550" s="7" t="s">
        <v>25</v>
      </c>
      <c r="J550" s="15">
        <v>17</v>
      </c>
    </row>
    <row r="551" spans="1:10" ht="78" x14ac:dyDescent="0.2">
      <c r="A551" s="7" t="s">
        <v>1290</v>
      </c>
      <c r="B551" s="8" t="s">
        <v>11</v>
      </c>
      <c r="C551" s="8" t="s">
        <v>957</v>
      </c>
      <c r="D551" s="6" t="s">
        <v>955</v>
      </c>
      <c r="E551" s="7" t="s">
        <v>956</v>
      </c>
      <c r="F551" s="7" t="s">
        <v>14</v>
      </c>
      <c r="G551" s="8" t="s">
        <v>32</v>
      </c>
      <c r="H551" s="8" t="s">
        <v>63</v>
      </c>
      <c r="I551" s="7" t="s">
        <v>25</v>
      </c>
      <c r="J551" s="15">
        <v>18</v>
      </c>
    </row>
    <row r="552" spans="1:10" ht="65" x14ac:dyDescent="0.2">
      <c r="A552" s="7" t="s">
        <v>1290</v>
      </c>
      <c r="B552" s="8" t="s">
        <v>11</v>
      </c>
      <c r="C552" s="8" t="s">
        <v>957</v>
      </c>
      <c r="D552" s="6" t="s">
        <v>955</v>
      </c>
      <c r="E552" s="7" t="s">
        <v>956</v>
      </c>
      <c r="F552" s="7" t="s">
        <v>14</v>
      </c>
      <c r="G552" s="8" t="s">
        <v>28</v>
      </c>
      <c r="H552" s="8" t="s">
        <v>60</v>
      </c>
      <c r="I552" s="7" t="s">
        <v>25</v>
      </c>
      <c r="J552" s="15">
        <v>10</v>
      </c>
    </row>
    <row r="553" spans="1:10" ht="39" x14ac:dyDescent="0.2">
      <c r="A553" s="7" t="s">
        <v>1290</v>
      </c>
      <c r="B553" s="8" t="s">
        <v>11</v>
      </c>
      <c r="C553" s="8" t="s">
        <v>957</v>
      </c>
      <c r="D553" s="6" t="s">
        <v>955</v>
      </c>
      <c r="E553" s="7" t="s">
        <v>956</v>
      </c>
      <c r="F553" s="7" t="s">
        <v>14</v>
      </c>
      <c r="G553" s="8" t="s">
        <v>960</v>
      </c>
      <c r="H553" s="8" t="s">
        <v>961</v>
      </c>
      <c r="I553" s="7" t="s">
        <v>17</v>
      </c>
      <c r="J553" s="15">
        <v>15</v>
      </c>
    </row>
    <row r="554" spans="1:10" ht="39" x14ac:dyDescent="0.2">
      <c r="A554" s="7" t="s">
        <v>1290</v>
      </c>
      <c r="B554" s="8" t="s">
        <v>11</v>
      </c>
      <c r="C554" s="8" t="s">
        <v>957</v>
      </c>
      <c r="D554" s="6" t="s">
        <v>955</v>
      </c>
      <c r="E554" s="7" t="s">
        <v>956</v>
      </c>
      <c r="F554" s="7" t="s">
        <v>14</v>
      </c>
      <c r="G554" s="8" t="s">
        <v>15</v>
      </c>
      <c r="H554" s="8" t="s">
        <v>16</v>
      </c>
      <c r="I554" s="7" t="s">
        <v>17</v>
      </c>
      <c r="J554" s="15">
        <v>11</v>
      </c>
    </row>
    <row r="555" spans="1:10" ht="39" x14ac:dyDescent="0.2">
      <c r="A555" s="7" t="s">
        <v>1290</v>
      </c>
      <c r="B555" s="8" t="s">
        <v>11</v>
      </c>
      <c r="C555" s="8" t="s">
        <v>957</v>
      </c>
      <c r="D555" s="6" t="s">
        <v>1440</v>
      </c>
      <c r="E555" s="7" t="s">
        <v>1441</v>
      </c>
      <c r="F555" s="7" t="s">
        <v>14</v>
      </c>
      <c r="G555" s="8" t="s">
        <v>19</v>
      </c>
      <c r="H555" s="8" t="s">
        <v>743</v>
      </c>
      <c r="I555" s="7" t="s">
        <v>17</v>
      </c>
      <c r="J555" s="15">
        <v>5</v>
      </c>
    </row>
    <row r="556" spans="1:10" ht="39" x14ac:dyDescent="0.2">
      <c r="A556" s="7" t="s">
        <v>1290</v>
      </c>
      <c r="B556" s="8" t="s">
        <v>11</v>
      </c>
      <c r="C556" s="8" t="s">
        <v>957</v>
      </c>
      <c r="D556" s="6" t="s">
        <v>1440</v>
      </c>
      <c r="E556" s="7" t="s">
        <v>1441</v>
      </c>
      <c r="F556" s="7" t="s">
        <v>14</v>
      </c>
      <c r="G556" s="8" t="s">
        <v>89</v>
      </c>
      <c r="H556" s="8" t="s">
        <v>16</v>
      </c>
      <c r="I556" s="7" t="s">
        <v>17</v>
      </c>
      <c r="J556" s="15">
        <v>15</v>
      </c>
    </row>
    <row r="557" spans="1:10" ht="26" x14ac:dyDescent="0.2">
      <c r="A557" s="7" t="s">
        <v>1290</v>
      </c>
      <c r="B557" s="8" t="s">
        <v>11</v>
      </c>
      <c r="C557" s="8" t="s">
        <v>957</v>
      </c>
      <c r="D557" s="6" t="s">
        <v>1440</v>
      </c>
      <c r="E557" s="7" t="s">
        <v>1441</v>
      </c>
      <c r="F557" s="7" t="s">
        <v>14</v>
      </c>
      <c r="G557" s="8" t="s">
        <v>15</v>
      </c>
      <c r="H557" s="8" t="s">
        <v>1442</v>
      </c>
      <c r="I557" s="7" t="s">
        <v>17</v>
      </c>
      <c r="J557" s="15">
        <v>11</v>
      </c>
    </row>
    <row r="558" spans="1:10" ht="65" x14ac:dyDescent="0.2">
      <c r="A558" s="7" t="s">
        <v>1290</v>
      </c>
      <c r="B558" s="8" t="s">
        <v>11</v>
      </c>
      <c r="C558" s="8" t="s">
        <v>957</v>
      </c>
      <c r="D558" s="6" t="s">
        <v>1440</v>
      </c>
      <c r="E558" s="7" t="s">
        <v>1441</v>
      </c>
      <c r="F558" s="7" t="s">
        <v>14</v>
      </c>
      <c r="G558" s="8" t="s">
        <v>490</v>
      </c>
      <c r="H558" s="8" t="s">
        <v>750</v>
      </c>
      <c r="I558" s="7" t="s">
        <v>25</v>
      </c>
      <c r="J558" s="15">
        <v>8</v>
      </c>
    </row>
    <row r="559" spans="1:10" ht="65" x14ac:dyDescent="0.2">
      <c r="A559" s="7" t="s">
        <v>1290</v>
      </c>
      <c r="B559" s="8" t="s">
        <v>11</v>
      </c>
      <c r="C559" s="8" t="s">
        <v>957</v>
      </c>
      <c r="D559" s="6" t="s">
        <v>1440</v>
      </c>
      <c r="E559" s="7" t="s">
        <v>1441</v>
      </c>
      <c r="F559" s="7" t="s">
        <v>14</v>
      </c>
      <c r="G559" s="8" t="s">
        <v>747</v>
      </c>
      <c r="H559" s="8" t="s">
        <v>24</v>
      </c>
      <c r="I559" s="7" t="s">
        <v>25</v>
      </c>
      <c r="J559" s="15">
        <v>17</v>
      </c>
    </row>
    <row r="560" spans="1:10" ht="78" x14ac:dyDescent="0.2">
      <c r="A560" s="7" t="s">
        <v>1290</v>
      </c>
      <c r="B560" s="8" t="s">
        <v>11</v>
      </c>
      <c r="C560" s="8" t="s">
        <v>957</v>
      </c>
      <c r="D560" s="6" t="s">
        <v>1440</v>
      </c>
      <c r="E560" s="7" t="s">
        <v>1441</v>
      </c>
      <c r="F560" s="7" t="s">
        <v>14</v>
      </c>
      <c r="G560" s="8" t="s">
        <v>91</v>
      </c>
      <c r="H560" s="8" t="s">
        <v>33</v>
      </c>
      <c r="I560" s="7" t="s">
        <v>25</v>
      </c>
      <c r="J560" s="15">
        <v>15</v>
      </c>
    </row>
    <row r="561" spans="1:10" ht="91" x14ac:dyDescent="0.2">
      <c r="A561" s="7" t="s">
        <v>1290</v>
      </c>
      <c r="B561" s="8" t="s">
        <v>11</v>
      </c>
      <c r="C561" s="8" t="s">
        <v>957</v>
      </c>
      <c r="D561" s="6" t="s">
        <v>1440</v>
      </c>
      <c r="E561" s="7" t="s">
        <v>1441</v>
      </c>
      <c r="F561" s="7" t="s">
        <v>14</v>
      </c>
      <c r="G561" s="8" t="s">
        <v>67</v>
      </c>
      <c r="H561" s="8" t="s">
        <v>749</v>
      </c>
      <c r="I561" s="7" t="s">
        <v>25</v>
      </c>
      <c r="J561" s="15">
        <v>6</v>
      </c>
    </row>
    <row r="562" spans="1:10" ht="65" x14ac:dyDescent="0.2">
      <c r="A562" s="7" t="s">
        <v>1290</v>
      </c>
      <c r="B562" s="8" t="s">
        <v>11</v>
      </c>
      <c r="C562" s="8" t="s">
        <v>957</v>
      </c>
      <c r="D562" s="6" t="s">
        <v>1440</v>
      </c>
      <c r="E562" s="7" t="s">
        <v>1441</v>
      </c>
      <c r="F562" s="7" t="s">
        <v>14</v>
      </c>
      <c r="G562" s="8" t="s">
        <v>28</v>
      </c>
      <c r="H562" s="8" t="s">
        <v>29</v>
      </c>
      <c r="I562" s="7" t="s">
        <v>25</v>
      </c>
      <c r="J562" s="15">
        <v>8</v>
      </c>
    </row>
    <row r="563" spans="1:10" ht="65" x14ac:dyDescent="0.2">
      <c r="A563" s="7" t="s">
        <v>1290</v>
      </c>
      <c r="B563" s="8" t="s">
        <v>11</v>
      </c>
      <c r="C563" s="8" t="s">
        <v>957</v>
      </c>
      <c r="D563" s="6" t="s">
        <v>1440</v>
      </c>
      <c r="E563" s="7" t="s">
        <v>1441</v>
      </c>
      <c r="F563" s="7" t="s">
        <v>14</v>
      </c>
      <c r="G563" s="8" t="s">
        <v>1443</v>
      </c>
      <c r="H563" s="8" t="s">
        <v>1444</v>
      </c>
      <c r="I563" s="7" t="s">
        <v>17</v>
      </c>
      <c r="J563" s="15">
        <v>15</v>
      </c>
    </row>
    <row r="564" spans="1:10" ht="26" x14ac:dyDescent="0.2">
      <c r="A564" s="7" t="s">
        <v>1290</v>
      </c>
      <c r="B564" s="8" t="s">
        <v>11</v>
      </c>
      <c r="C564" s="8" t="s">
        <v>957</v>
      </c>
      <c r="D564" s="6" t="s">
        <v>1571</v>
      </c>
      <c r="E564" s="7" t="s">
        <v>1572</v>
      </c>
      <c r="F564" s="7" t="s">
        <v>14</v>
      </c>
      <c r="G564" s="8" t="s">
        <v>15</v>
      </c>
      <c r="H564" s="8" t="s">
        <v>1573</v>
      </c>
      <c r="I564" s="7" t="s">
        <v>17</v>
      </c>
      <c r="J564" s="15">
        <v>13</v>
      </c>
    </row>
    <row r="565" spans="1:10" ht="65" x14ac:dyDescent="0.2">
      <c r="A565" s="7" t="s">
        <v>1290</v>
      </c>
      <c r="B565" s="8" t="s">
        <v>11</v>
      </c>
      <c r="C565" s="8" t="s">
        <v>957</v>
      </c>
      <c r="D565" s="6" t="s">
        <v>1571</v>
      </c>
      <c r="E565" s="7" t="s">
        <v>1572</v>
      </c>
      <c r="F565" s="7" t="s">
        <v>14</v>
      </c>
      <c r="G565" s="8" t="s">
        <v>1574</v>
      </c>
      <c r="H565" s="8" t="s">
        <v>1575</v>
      </c>
      <c r="I565" s="7" t="s">
        <v>17</v>
      </c>
      <c r="J565" s="15">
        <v>13</v>
      </c>
    </row>
    <row r="566" spans="1:10" ht="39" x14ac:dyDescent="0.2">
      <c r="A566" s="7" t="s">
        <v>1290</v>
      </c>
      <c r="B566" s="8" t="s">
        <v>11</v>
      </c>
      <c r="C566" s="8" t="s">
        <v>957</v>
      </c>
      <c r="D566" s="6" t="s">
        <v>1571</v>
      </c>
      <c r="E566" s="7" t="s">
        <v>1572</v>
      </c>
      <c r="F566" s="7" t="s">
        <v>14</v>
      </c>
      <c r="G566" s="8" t="s">
        <v>19</v>
      </c>
      <c r="H566" s="8" t="s">
        <v>1576</v>
      </c>
      <c r="I566" s="7" t="s">
        <v>17</v>
      </c>
      <c r="J566" s="15">
        <v>5</v>
      </c>
    </row>
    <row r="567" spans="1:10" ht="65" x14ac:dyDescent="0.2">
      <c r="A567" s="7" t="s">
        <v>1290</v>
      </c>
      <c r="B567" s="8" t="s">
        <v>11</v>
      </c>
      <c r="C567" s="8" t="s">
        <v>957</v>
      </c>
      <c r="D567" s="6" t="s">
        <v>1571</v>
      </c>
      <c r="E567" s="7" t="s">
        <v>1572</v>
      </c>
      <c r="F567" s="7" t="s">
        <v>14</v>
      </c>
      <c r="G567" s="8" t="s">
        <v>23</v>
      </c>
      <c r="H567" s="8" t="s">
        <v>24</v>
      </c>
      <c r="I567" s="7" t="s">
        <v>25</v>
      </c>
      <c r="J567" s="15">
        <v>12</v>
      </c>
    </row>
    <row r="568" spans="1:10" ht="65" x14ac:dyDescent="0.2">
      <c r="A568" s="7" t="s">
        <v>1290</v>
      </c>
      <c r="B568" s="8" t="s">
        <v>11</v>
      </c>
      <c r="C568" s="8" t="s">
        <v>957</v>
      </c>
      <c r="D568" s="6" t="s">
        <v>1571</v>
      </c>
      <c r="E568" s="7" t="s">
        <v>1572</v>
      </c>
      <c r="F568" s="7" t="s">
        <v>14</v>
      </c>
      <c r="G568" s="8" t="s">
        <v>28</v>
      </c>
      <c r="H568" s="8" t="s">
        <v>29</v>
      </c>
      <c r="I568" s="7" t="s">
        <v>25</v>
      </c>
      <c r="J568" s="15">
        <v>15</v>
      </c>
    </row>
    <row r="569" spans="1:10" ht="91" x14ac:dyDescent="0.2">
      <c r="A569" s="7" t="s">
        <v>1290</v>
      </c>
      <c r="B569" s="8" t="s">
        <v>11</v>
      </c>
      <c r="C569" s="8" t="s">
        <v>957</v>
      </c>
      <c r="D569" s="6" t="s">
        <v>1571</v>
      </c>
      <c r="E569" s="7" t="s">
        <v>1572</v>
      </c>
      <c r="F569" s="7" t="s">
        <v>14</v>
      </c>
      <c r="G569" s="8" t="s">
        <v>1577</v>
      </c>
      <c r="H569" s="8" t="s">
        <v>70</v>
      </c>
      <c r="I569" s="7" t="s">
        <v>25</v>
      </c>
      <c r="J569" s="15">
        <v>17</v>
      </c>
    </row>
    <row r="570" spans="1:10" ht="78" x14ac:dyDescent="0.2">
      <c r="A570" s="7" t="s">
        <v>1290</v>
      </c>
      <c r="B570" s="8" t="s">
        <v>11</v>
      </c>
      <c r="C570" s="8" t="s">
        <v>957</v>
      </c>
      <c r="D570" s="6" t="s">
        <v>1571</v>
      </c>
      <c r="E570" s="7" t="s">
        <v>1572</v>
      </c>
      <c r="F570" s="7" t="s">
        <v>14</v>
      </c>
      <c r="G570" s="8" t="s">
        <v>32</v>
      </c>
      <c r="H570" s="8" t="s">
        <v>33</v>
      </c>
      <c r="I570" s="7" t="s">
        <v>25</v>
      </c>
      <c r="J570" s="15">
        <v>10</v>
      </c>
    </row>
    <row r="571" spans="1:10" ht="39" x14ac:dyDescent="0.2">
      <c r="A571" s="7" t="s">
        <v>1290</v>
      </c>
      <c r="B571" s="8" t="s">
        <v>11</v>
      </c>
      <c r="C571" s="8" t="s">
        <v>957</v>
      </c>
      <c r="D571" s="6" t="s">
        <v>1571</v>
      </c>
      <c r="E571" s="7" t="s">
        <v>1572</v>
      </c>
      <c r="F571" s="7" t="s">
        <v>14</v>
      </c>
      <c r="G571" s="8" t="s">
        <v>1578</v>
      </c>
      <c r="H571" s="8" t="s">
        <v>1579</v>
      </c>
      <c r="I571" s="7" t="s">
        <v>17</v>
      </c>
      <c r="J571" s="15">
        <v>15</v>
      </c>
    </row>
    <row r="572" spans="1:10" ht="39" x14ac:dyDescent="0.2">
      <c r="A572" s="7" t="s">
        <v>1290</v>
      </c>
      <c r="B572" s="8" t="s">
        <v>11</v>
      </c>
      <c r="C572" s="8" t="s">
        <v>957</v>
      </c>
      <c r="D572" s="6" t="s">
        <v>1714</v>
      </c>
      <c r="E572" s="7" t="s">
        <v>1715</v>
      </c>
      <c r="F572" s="7" t="s">
        <v>14</v>
      </c>
      <c r="G572" s="8" t="s">
        <v>19</v>
      </c>
      <c r="H572" s="8" t="s">
        <v>743</v>
      </c>
      <c r="I572" s="7" t="s">
        <v>17</v>
      </c>
      <c r="J572" s="15">
        <v>5</v>
      </c>
    </row>
    <row r="573" spans="1:10" ht="39" x14ac:dyDescent="0.2">
      <c r="A573" s="7" t="s">
        <v>1290</v>
      </c>
      <c r="B573" s="8" t="s">
        <v>11</v>
      </c>
      <c r="C573" s="8" t="s">
        <v>957</v>
      </c>
      <c r="D573" s="6" t="s">
        <v>1714</v>
      </c>
      <c r="E573" s="7" t="s">
        <v>1715</v>
      </c>
      <c r="F573" s="7" t="s">
        <v>14</v>
      </c>
      <c r="G573" s="8" t="s">
        <v>15</v>
      </c>
      <c r="H573" s="8" t="s">
        <v>16</v>
      </c>
      <c r="I573" s="7" t="s">
        <v>17</v>
      </c>
      <c r="J573" s="15">
        <v>11</v>
      </c>
    </row>
    <row r="574" spans="1:10" ht="65" x14ac:dyDescent="0.2">
      <c r="A574" s="7" t="s">
        <v>1290</v>
      </c>
      <c r="B574" s="8" t="s">
        <v>11</v>
      </c>
      <c r="C574" s="8" t="s">
        <v>957</v>
      </c>
      <c r="D574" s="6" t="s">
        <v>1714</v>
      </c>
      <c r="E574" s="7" t="s">
        <v>1715</v>
      </c>
      <c r="F574" s="7" t="s">
        <v>14</v>
      </c>
      <c r="G574" s="8" t="s">
        <v>64</v>
      </c>
      <c r="H574" s="8" t="s">
        <v>1716</v>
      </c>
      <c r="I574" s="7" t="s">
        <v>25</v>
      </c>
      <c r="J574" s="15">
        <v>12</v>
      </c>
    </row>
    <row r="575" spans="1:10" ht="65" x14ac:dyDescent="0.2">
      <c r="A575" s="7" t="s">
        <v>1290</v>
      </c>
      <c r="B575" s="8" t="s">
        <v>11</v>
      </c>
      <c r="C575" s="8" t="s">
        <v>957</v>
      </c>
      <c r="D575" s="6" t="s">
        <v>1714</v>
      </c>
      <c r="E575" s="7" t="s">
        <v>1715</v>
      </c>
      <c r="F575" s="7" t="s">
        <v>14</v>
      </c>
      <c r="G575" s="8" t="s">
        <v>28</v>
      </c>
      <c r="H575" s="8" t="s">
        <v>29</v>
      </c>
      <c r="I575" s="7" t="s">
        <v>25</v>
      </c>
      <c r="J575" s="15">
        <v>8</v>
      </c>
    </row>
    <row r="576" spans="1:10" ht="78" x14ac:dyDescent="0.2">
      <c r="A576" s="7" t="s">
        <v>1290</v>
      </c>
      <c r="B576" s="8" t="s">
        <v>11</v>
      </c>
      <c r="C576" s="8" t="s">
        <v>957</v>
      </c>
      <c r="D576" s="6" t="s">
        <v>1714</v>
      </c>
      <c r="E576" s="7" t="s">
        <v>1715</v>
      </c>
      <c r="F576" s="7" t="s">
        <v>14</v>
      </c>
      <c r="G576" s="8" t="s">
        <v>32</v>
      </c>
      <c r="H576" s="8" t="s">
        <v>33</v>
      </c>
      <c r="I576" s="7" t="s">
        <v>25</v>
      </c>
      <c r="J576" s="15">
        <v>17</v>
      </c>
    </row>
    <row r="577" spans="1:10" ht="65" x14ac:dyDescent="0.2">
      <c r="A577" s="7" t="s">
        <v>1290</v>
      </c>
      <c r="B577" s="8" t="s">
        <v>11</v>
      </c>
      <c r="C577" s="8" t="s">
        <v>957</v>
      </c>
      <c r="D577" s="6" t="s">
        <v>1714</v>
      </c>
      <c r="E577" s="7" t="s">
        <v>1715</v>
      </c>
      <c r="F577" s="7" t="s">
        <v>14</v>
      </c>
      <c r="G577" s="8" t="s">
        <v>23</v>
      </c>
      <c r="H577" s="8" t="s">
        <v>24</v>
      </c>
      <c r="I577" s="7" t="s">
        <v>25</v>
      </c>
      <c r="J577" s="15">
        <v>17</v>
      </c>
    </row>
    <row r="578" spans="1:10" ht="39" x14ac:dyDescent="0.2">
      <c r="A578" s="7" t="s">
        <v>1290</v>
      </c>
      <c r="B578" s="8" t="s">
        <v>11</v>
      </c>
      <c r="C578" s="8" t="s">
        <v>957</v>
      </c>
      <c r="D578" s="6" t="s">
        <v>1714</v>
      </c>
      <c r="E578" s="7" t="s">
        <v>1715</v>
      </c>
      <c r="F578" s="7" t="s">
        <v>14</v>
      </c>
      <c r="G578" s="8" t="s">
        <v>1717</v>
      </c>
      <c r="H578" s="8" t="s">
        <v>1718</v>
      </c>
      <c r="I578" s="7" t="s">
        <v>17</v>
      </c>
      <c r="J578" s="15">
        <v>15</v>
      </c>
    </row>
    <row r="579" spans="1:10" ht="65" x14ac:dyDescent="0.2">
      <c r="A579" s="7" t="s">
        <v>1290</v>
      </c>
      <c r="B579" s="8" t="s">
        <v>11</v>
      </c>
      <c r="C579" s="8" t="s">
        <v>957</v>
      </c>
      <c r="D579" s="6" t="s">
        <v>1714</v>
      </c>
      <c r="E579" s="7" t="s">
        <v>1715</v>
      </c>
      <c r="F579" s="7" t="s">
        <v>14</v>
      </c>
      <c r="G579" s="8" t="s">
        <v>1719</v>
      </c>
      <c r="H579" s="8" t="s">
        <v>1720</v>
      </c>
      <c r="I579" s="7" t="s">
        <v>17</v>
      </c>
      <c r="J579" s="15">
        <v>15</v>
      </c>
    </row>
    <row r="580" spans="1:10" ht="52" x14ac:dyDescent="0.2">
      <c r="A580" s="7" t="s">
        <v>1290</v>
      </c>
      <c r="B580" s="8" t="s">
        <v>11</v>
      </c>
      <c r="C580" s="8" t="s">
        <v>1082</v>
      </c>
      <c r="D580" s="6" t="s">
        <v>1080</v>
      </c>
      <c r="E580" s="7" t="s">
        <v>1081</v>
      </c>
      <c r="F580" s="7" t="s">
        <v>439</v>
      </c>
      <c r="G580" s="8" t="s">
        <v>1083</v>
      </c>
      <c r="H580" s="8" t="s">
        <v>1084</v>
      </c>
      <c r="I580" s="7" t="s">
        <v>17</v>
      </c>
      <c r="J580" s="15">
        <v>10</v>
      </c>
    </row>
    <row r="581" spans="1:10" ht="65" x14ac:dyDescent="0.2">
      <c r="A581" s="7" t="s">
        <v>1290</v>
      </c>
      <c r="B581" s="8" t="s">
        <v>11</v>
      </c>
      <c r="C581" s="8" t="s">
        <v>1082</v>
      </c>
      <c r="D581" s="6" t="s">
        <v>1080</v>
      </c>
      <c r="E581" s="7" t="s">
        <v>1081</v>
      </c>
      <c r="F581" s="7" t="s">
        <v>439</v>
      </c>
      <c r="G581" s="8" t="s">
        <v>1085</v>
      </c>
      <c r="H581" s="8" t="s">
        <v>1086</v>
      </c>
      <c r="I581" s="7" t="s">
        <v>17</v>
      </c>
      <c r="J581" s="15">
        <v>16</v>
      </c>
    </row>
    <row r="582" spans="1:10" ht="52" x14ac:dyDescent="0.2">
      <c r="A582" s="7" t="s">
        <v>1290</v>
      </c>
      <c r="B582" s="8" t="s">
        <v>11</v>
      </c>
      <c r="C582" s="8" t="s">
        <v>1082</v>
      </c>
      <c r="D582" s="6" t="s">
        <v>1080</v>
      </c>
      <c r="E582" s="7" t="s">
        <v>1081</v>
      </c>
      <c r="F582" s="7" t="s">
        <v>439</v>
      </c>
      <c r="G582" s="8" t="s">
        <v>15</v>
      </c>
      <c r="H582" s="8" t="s">
        <v>839</v>
      </c>
      <c r="I582" s="7" t="s">
        <v>17</v>
      </c>
      <c r="J582" s="15">
        <v>10</v>
      </c>
    </row>
    <row r="583" spans="1:10" ht="78" x14ac:dyDescent="0.2">
      <c r="A583" s="7" t="s">
        <v>1290</v>
      </c>
      <c r="B583" s="8" t="s">
        <v>11</v>
      </c>
      <c r="C583" s="8" t="s">
        <v>1082</v>
      </c>
      <c r="D583" s="6" t="s">
        <v>1080</v>
      </c>
      <c r="E583" s="7" t="s">
        <v>1081</v>
      </c>
      <c r="F583" s="7" t="s">
        <v>439</v>
      </c>
      <c r="G583" s="8" t="s">
        <v>446</v>
      </c>
      <c r="H583" s="8" t="s">
        <v>63</v>
      </c>
      <c r="I583" s="7" t="s">
        <v>25</v>
      </c>
      <c r="J583" s="15">
        <v>11</v>
      </c>
    </row>
    <row r="584" spans="1:10" ht="65" x14ac:dyDescent="0.2">
      <c r="A584" s="7" t="s">
        <v>1290</v>
      </c>
      <c r="B584" s="8" t="s">
        <v>11</v>
      </c>
      <c r="C584" s="8" t="s">
        <v>1082</v>
      </c>
      <c r="D584" s="6" t="s">
        <v>1080</v>
      </c>
      <c r="E584" s="7" t="s">
        <v>1081</v>
      </c>
      <c r="F584" s="7" t="s">
        <v>439</v>
      </c>
      <c r="G584" s="8" t="s">
        <v>447</v>
      </c>
      <c r="H584" s="8" t="s">
        <v>61</v>
      </c>
      <c r="I584" s="7" t="s">
        <v>25</v>
      </c>
      <c r="J584" s="15">
        <v>6</v>
      </c>
    </row>
    <row r="585" spans="1:10" ht="65" x14ac:dyDescent="0.2">
      <c r="A585" s="7" t="s">
        <v>1290</v>
      </c>
      <c r="B585" s="8" t="s">
        <v>11</v>
      </c>
      <c r="C585" s="8" t="s">
        <v>1082</v>
      </c>
      <c r="D585" s="6" t="s">
        <v>1080</v>
      </c>
      <c r="E585" s="7" t="s">
        <v>1081</v>
      </c>
      <c r="F585" s="7" t="s">
        <v>439</v>
      </c>
      <c r="G585" s="8" t="s">
        <v>28</v>
      </c>
      <c r="H585" s="8" t="s">
        <v>60</v>
      </c>
      <c r="I585" s="7" t="s">
        <v>25</v>
      </c>
      <c r="J585" s="15">
        <v>10</v>
      </c>
    </row>
    <row r="586" spans="1:10" ht="65" x14ac:dyDescent="0.2">
      <c r="A586" s="7" t="s">
        <v>1290</v>
      </c>
      <c r="B586" s="8" t="s">
        <v>11</v>
      </c>
      <c r="C586" s="8" t="s">
        <v>1082</v>
      </c>
      <c r="D586" s="6" t="s">
        <v>1080</v>
      </c>
      <c r="E586" s="7" t="s">
        <v>1081</v>
      </c>
      <c r="F586" s="7" t="s">
        <v>439</v>
      </c>
      <c r="G586" s="8" t="s">
        <v>26</v>
      </c>
      <c r="H586" s="8" t="s">
        <v>448</v>
      </c>
      <c r="I586" s="7" t="s">
        <v>25</v>
      </c>
      <c r="J586" s="15">
        <v>6</v>
      </c>
    </row>
    <row r="587" spans="1:10" ht="65" x14ac:dyDescent="0.2">
      <c r="A587" s="7" t="s">
        <v>1290</v>
      </c>
      <c r="B587" s="8" t="s">
        <v>11</v>
      </c>
      <c r="C587" s="8" t="s">
        <v>1082</v>
      </c>
      <c r="D587" s="6" t="s">
        <v>1080</v>
      </c>
      <c r="E587" s="7" t="s">
        <v>1081</v>
      </c>
      <c r="F587" s="7" t="s">
        <v>439</v>
      </c>
      <c r="G587" s="8" t="s">
        <v>30</v>
      </c>
      <c r="H587" s="8" t="s">
        <v>59</v>
      </c>
      <c r="I587" s="7" t="s">
        <v>25</v>
      </c>
      <c r="J587" s="15">
        <v>10</v>
      </c>
    </row>
    <row r="588" spans="1:10" ht="65" x14ac:dyDescent="0.2">
      <c r="A588" s="7" t="s">
        <v>1290</v>
      </c>
      <c r="B588" s="8" t="s">
        <v>11</v>
      </c>
      <c r="C588" s="8" t="s">
        <v>1082</v>
      </c>
      <c r="D588" s="6" t="s">
        <v>1080</v>
      </c>
      <c r="E588" s="7" t="s">
        <v>1081</v>
      </c>
      <c r="F588" s="7" t="s">
        <v>439</v>
      </c>
      <c r="G588" s="8" t="s">
        <v>490</v>
      </c>
      <c r="H588" s="8" t="s">
        <v>65</v>
      </c>
      <c r="I588" s="7" t="s">
        <v>25</v>
      </c>
      <c r="J588" s="15">
        <v>11</v>
      </c>
    </row>
    <row r="589" spans="1:10" ht="104" x14ac:dyDescent="0.2">
      <c r="A589" s="7" t="s">
        <v>1290</v>
      </c>
      <c r="B589" s="8" t="s">
        <v>11</v>
      </c>
      <c r="C589" s="8" t="s">
        <v>1082</v>
      </c>
      <c r="D589" s="6" t="s">
        <v>1080</v>
      </c>
      <c r="E589" s="7" t="s">
        <v>1081</v>
      </c>
      <c r="F589" s="7" t="s">
        <v>439</v>
      </c>
      <c r="G589" s="8" t="s">
        <v>941</v>
      </c>
      <c r="H589" s="8" t="s">
        <v>1087</v>
      </c>
      <c r="I589" s="7" t="s">
        <v>17</v>
      </c>
      <c r="J589" s="15">
        <v>10</v>
      </c>
    </row>
    <row r="590" spans="1:10" ht="52" x14ac:dyDescent="0.2">
      <c r="A590" s="7" t="s">
        <v>1290</v>
      </c>
      <c r="B590" s="8" t="s">
        <v>11</v>
      </c>
      <c r="C590" s="8" t="s">
        <v>1082</v>
      </c>
      <c r="D590" s="6" t="s">
        <v>2404</v>
      </c>
      <c r="E590" s="7" t="s">
        <v>2405</v>
      </c>
      <c r="F590" s="7" t="s">
        <v>439</v>
      </c>
      <c r="G590" s="8" t="s">
        <v>838</v>
      </c>
      <c r="H590" s="8" t="s">
        <v>839</v>
      </c>
      <c r="I590" s="7" t="s">
        <v>17</v>
      </c>
      <c r="J590" s="15">
        <v>15</v>
      </c>
    </row>
    <row r="591" spans="1:10" ht="65" x14ac:dyDescent="0.2">
      <c r="A591" s="7" t="s">
        <v>1290</v>
      </c>
      <c r="B591" s="8" t="s">
        <v>11</v>
      </c>
      <c r="C591" s="8" t="s">
        <v>1082</v>
      </c>
      <c r="D591" s="6" t="s">
        <v>2404</v>
      </c>
      <c r="E591" s="7" t="s">
        <v>2405</v>
      </c>
      <c r="F591" s="7" t="s">
        <v>439</v>
      </c>
      <c r="G591" s="8" t="s">
        <v>1085</v>
      </c>
      <c r="H591" s="8" t="s">
        <v>2406</v>
      </c>
      <c r="I591" s="7" t="s">
        <v>17</v>
      </c>
      <c r="J591" s="15">
        <v>16</v>
      </c>
    </row>
    <row r="592" spans="1:10" ht="104" x14ac:dyDescent="0.2">
      <c r="A592" s="7" t="s">
        <v>1290</v>
      </c>
      <c r="B592" s="8" t="s">
        <v>11</v>
      </c>
      <c r="C592" s="8" t="s">
        <v>1082</v>
      </c>
      <c r="D592" s="6" t="s">
        <v>2404</v>
      </c>
      <c r="E592" s="7" t="s">
        <v>2405</v>
      </c>
      <c r="F592" s="7" t="s">
        <v>439</v>
      </c>
      <c r="G592" s="8" t="s">
        <v>941</v>
      </c>
      <c r="H592" s="8" t="s">
        <v>2407</v>
      </c>
      <c r="I592" s="7" t="s">
        <v>17</v>
      </c>
      <c r="J592" s="15">
        <v>10</v>
      </c>
    </row>
    <row r="593" spans="1:10" ht="78" x14ac:dyDescent="0.2">
      <c r="A593" s="7" t="s">
        <v>1290</v>
      </c>
      <c r="B593" s="8" t="s">
        <v>11</v>
      </c>
      <c r="C593" s="8" t="s">
        <v>1082</v>
      </c>
      <c r="D593" s="6" t="s">
        <v>2404</v>
      </c>
      <c r="E593" s="7" t="s">
        <v>2405</v>
      </c>
      <c r="F593" s="7" t="s">
        <v>439</v>
      </c>
      <c r="G593" s="8" t="s">
        <v>446</v>
      </c>
      <c r="H593" s="8" t="s">
        <v>63</v>
      </c>
      <c r="I593" s="7" t="s">
        <v>25</v>
      </c>
      <c r="J593" s="15">
        <v>12</v>
      </c>
    </row>
    <row r="594" spans="1:10" ht="65" x14ac:dyDescent="0.2">
      <c r="A594" s="7" t="s">
        <v>1290</v>
      </c>
      <c r="B594" s="8" t="s">
        <v>11</v>
      </c>
      <c r="C594" s="8" t="s">
        <v>1082</v>
      </c>
      <c r="D594" s="6" t="s">
        <v>2404</v>
      </c>
      <c r="E594" s="7" t="s">
        <v>2405</v>
      </c>
      <c r="F594" s="7" t="s">
        <v>439</v>
      </c>
      <c r="G594" s="8" t="s">
        <v>26</v>
      </c>
      <c r="H594" s="8" t="s">
        <v>448</v>
      </c>
      <c r="I594" s="7" t="s">
        <v>25</v>
      </c>
      <c r="J594" s="15">
        <v>10</v>
      </c>
    </row>
    <row r="595" spans="1:10" ht="26" x14ac:dyDescent="0.2">
      <c r="A595" s="7" t="s">
        <v>1290</v>
      </c>
      <c r="B595" s="8" t="s">
        <v>11</v>
      </c>
      <c r="C595" s="8" t="s">
        <v>1082</v>
      </c>
      <c r="D595" s="6" t="s">
        <v>2404</v>
      </c>
      <c r="E595" s="7" t="s">
        <v>2405</v>
      </c>
      <c r="F595" s="7" t="s">
        <v>439</v>
      </c>
      <c r="G595" s="8" t="s">
        <v>442</v>
      </c>
      <c r="H595" s="8" t="s">
        <v>2408</v>
      </c>
      <c r="I595" s="7" t="s">
        <v>17</v>
      </c>
      <c r="J595" s="15">
        <v>5</v>
      </c>
    </row>
    <row r="596" spans="1:10" ht="65" x14ac:dyDescent="0.2">
      <c r="A596" s="7" t="s">
        <v>1290</v>
      </c>
      <c r="B596" s="8" t="s">
        <v>11</v>
      </c>
      <c r="C596" s="8" t="s">
        <v>1082</v>
      </c>
      <c r="D596" s="6" t="s">
        <v>2404</v>
      </c>
      <c r="E596" s="7" t="s">
        <v>2405</v>
      </c>
      <c r="F596" s="7" t="s">
        <v>439</v>
      </c>
      <c r="G596" s="8" t="s">
        <v>28</v>
      </c>
      <c r="H596" s="8" t="s">
        <v>60</v>
      </c>
      <c r="I596" s="7" t="s">
        <v>25</v>
      </c>
      <c r="J596" s="15">
        <v>12</v>
      </c>
    </row>
    <row r="597" spans="1:10" ht="65" x14ac:dyDescent="0.2">
      <c r="A597" s="7" t="s">
        <v>1290</v>
      </c>
      <c r="B597" s="8" t="s">
        <v>11</v>
      </c>
      <c r="C597" s="8" t="s">
        <v>1082</v>
      </c>
      <c r="D597" s="6" t="s">
        <v>2404</v>
      </c>
      <c r="E597" s="7" t="s">
        <v>2405</v>
      </c>
      <c r="F597" s="7" t="s">
        <v>439</v>
      </c>
      <c r="G597" s="8" t="s">
        <v>447</v>
      </c>
      <c r="H597" s="8" t="s">
        <v>61</v>
      </c>
      <c r="I597" s="7" t="s">
        <v>25</v>
      </c>
      <c r="J597" s="15">
        <v>6</v>
      </c>
    </row>
    <row r="598" spans="1:10" ht="65" x14ac:dyDescent="0.2">
      <c r="A598" s="7" t="s">
        <v>1290</v>
      </c>
      <c r="B598" s="8" t="s">
        <v>11</v>
      </c>
      <c r="C598" s="8" t="s">
        <v>1082</v>
      </c>
      <c r="D598" s="6" t="s">
        <v>2404</v>
      </c>
      <c r="E598" s="7" t="s">
        <v>2405</v>
      </c>
      <c r="F598" s="7" t="s">
        <v>439</v>
      </c>
      <c r="G598" s="8" t="s">
        <v>30</v>
      </c>
      <c r="H598" s="8" t="s">
        <v>59</v>
      </c>
      <c r="I598" s="7" t="s">
        <v>25</v>
      </c>
      <c r="J598" s="15">
        <v>14</v>
      </c>
    </row>
    <row r="599" spans="1:10" ht="39" x14ac:dyDescent="0.2">
      <c r="A599" s="7" t="s">
        <v>1290</v>
      </c>
      <c r="B599" s="8" t="s">
        <v>11</v>
      </c>
      <c r="C599" s="8" t="s">
        <v>2600</v>
      </c>
      <c r="D599" s="6" t="s">
        <v>2598</v>
      </c>
      <c r="E599" s="7" t="s">
        <v>2599</v>
      </c>
      <c r="F599" s="7" t="s">
        <v>14</v>
      </c>
      <c r="G599" s="8" t="s">
        <v>2601</v>
      </c>
      <c r="H599" s="8" t="s">
        <v>743</v>
      </c>
      <c r="I599" s="7" t="s">
        <v>17</v>
      </c>
      <c r="J599" s="15">
        <v>5</v>
      </c>
    </row>
    <row r="600" spans="1:10" ht="78" x14ac:dyDescent="0.2">
      <c r="A600" s="7" t="s">
        <v>1290</v>
      </c>
      <c r="B600" s="8" t="s">
        <v>11</v>
      </c>
      <c r="C600" s="8" t="s">
        <v>2600</v>
      </c>
      <c r="D600" s="6" t="s">
        <v>2598</v>
      </c>
      <c r="E600" s="7" t="s">
        <v>2599</v>
      </c>
      <c r="F600" s="7" t="s">
        <v>14</v>
      </c>
      <c r="G600" s="8" t="s">
        <v>32</v>
      </c>
      <c r="H600" s="8" t="s">
        <v>63</v>
      </c>
      <c r="I600" s="7" t="s">
        <v>25</v>
      </c>
      <c r="J600" s="15">
        <v>14</v>
      </c>
    </row>
    <row r="601" spans="1:10" ht="65" x14ac:dyDescent="0.2">
      <c r="A601" s="7" t="s">
        <v>1290</v>
      </c>
      <c r="B601" s="8" t="s">
        <v>11</v>
      </c>
      <c r="C601" s="8" t="s">
        <v>2600</v>
      </c>
      <c r="D601" s="6" t="s">
        <v>2598</v>
      </c>
      <c r="E601" s="7" t="s">
        <v>2599</v>
      </c>
      <c r="F601" s="7" t="s">
        <v>14</v>
      </c>
      <c r="G601" s="8" t="s">
        <v>26</v>
      </c>
      <c r="H601" s="8" t="s">
        <v>66</v>
      </c>
      <c r="I601" s="7" t="s">
        <v>25</v>
      </c>
      <c r="J601" s="15">
        <v>7</v>
      </c>
    </row>
    <row r="602" spans="1:10" ht="65" x14ac:dyDescent="0.2">
      <c r="A602" s="7" t="s">
        <v>1290</v>
      </c>
      <c r="B602" s="8" t="s">
        <v>11</v>
      </c>
      <c r="C602" s="8" t="s">
        <v>2600</v>
      </c>
      <c r="D602" s="6" t="s">
        <v>2598</v>
      </c>
      <c r="E602" s="7" t="s">
        <v>2599</v>
      </c>
      <c r="F602" s="7" t="s">
        <v>14</v>
      </c>
      <c r="G602" s="8" t="s">
        <v>28</v>
      </c>
      <c r="H602" s="8" t="s">
        <v>60</v>
      </c>
      <c r="I602" s="7" t="s">
        <v>25</v>
      </c>
      <c r="J602" s="15">
        <v>11</v>
      </c>
    </row>
    <row r="603" spans="1:10" ht="268.75" customHeight="1" x14ac:dyDescent="0.2">
      <c r="A603" s="7" t="s">
        <v>1290</v>
      </c>
      <c r="B603" s="8" t="s">
        <v>11</v>
      </c>
      <c r="C603" s="8" t="s">
        <v>2600</v>
      </c>
      <c r="D603" s="6" t="s">
        <v>2598</v>
      </c>
      <c r="E603" s="7" t="s">
        <v>2599</v>
      </c>
      <c r="F603" s="7" t="s">
        <v>14</v>
      </c>
      <c r="G603" s="8" t="s">
        <v>30</v>
      </c>
      <c r="H603" s="8" t="s">
        <v>31</v>
      </c>
      <c r="I603" s="7" t="s">
        <v>25</v>
      </c>
      <c r="J603" s="15">
        <v>7</v>
      </c>
    </row>
    <row r="604" spans="1:10" ht="65" x14ac:dyDescent="0.2">
      <c r="A604" s="7" t="s">
        <v>1290</v>
      </c>
      <c r="B604" s="8" t="s">
        <v>11</v>
      </c>
      <c r="C604" s="8" t="s">
        <v>2600</v>
      </c>
      <c r="D604" s="6" t="s">
        <v>2598</v>
      </c>
      <c r="E604" s="7" t="s">
        <v>2599</v>
      </c>
      <c r="F604" s="7" t="s">
        <v>14</v>
      </c>
      <c r="G604" s="8" t="s">
        <v>747</v>
      </c>
      <c r="H604" s="8" t="s">
        <v>61</v>
      </c>
      <c r="I604" s="7" t="s">
        <v>25</v>
      </c>
      <c r="J604" s="15">
        <v>15</v>
      </c>
    </row>
    <row r="605" spans="1:10" ht="241.75" customHeight="1" x14ac:dyDescent="0.2">
      <c r="A605" s="7" t="s">
        <v>1290</v>
      </c>
      <c r="B605" s="8" t="s">
        <v>11</v>
      </c>
      <c r="C605" s="8" t="s">
        <v>2600</v>
      </c>
      <c r="D605" s="6" t="s">
        <v>2598</v>
      </c>
      <c r="E605" s="7" t="s">
        <v>2599</v>
      </c>
      <c r="F605" s="7" t="s">
        <v>14</v>
      </c>
      <c r="G605" s="8" t="s">
        <v>2602</v>
      </c>
      <c r="H605" s="8" t="s">
        <v>2603</v>
      </c>
      <c r="I605" s="7" t="s">
        <v>17</v>
      </c>
      <c r="J605" s="15">
        <v>15</v>
      </c>
    </row>
    <row r="606" spans="1:10" ht="122.5" customHeight="1" x14ac:dyDescent="0.2">
      <c r="A606" s="7" t="s">
        <v>1290</v>
      </c>
      <c r="B606" s="8" t="s">
        <v>11</v>
      </c>
      <c r="C606" s="8" t="s">
        <v>2600</v>
      </c>
      <c r="D606" s="6" t="s">
        <v>2598</v>
      </c>
      <c r="E606" s="7" t="s">
        <v>2599</v>
      </c>
      <c r="F606" s="7" t="s">
        <v>14</v>
      </c>
      <c r="G606" s="8" t="s">
        <v>2604</v>
      </c>
      <c r="H606" s="8" t="s">
        <v>16</v>
      </c>
      <c r="I606" s="7" t="s">
        <v>17</v>
      </c>
      <c r="J606" s="15">
        <v>11</v>
      </c>
    </row>
    <row r="607" spans="1:10" ht="225" customHeight="1" x14ac:dyDescent="0.2">
      <c r="A607" s="7" t="s">
        <v>1290</v>
      </c>
      <c r="B607" s="8" t="s">
        <v>11</v>
      </c>
      <c r="C607" s="8" t="s">
        <v>2600</v>
      </c>
      <c r="D607" s="6" t="s">
        <v>2598</v>
      </c>
      <c r="E607" s="7" t="s">
        <v>2599</v>
      </c>
      <c r="F607" s="7" t="s">
        <v>14</v>
      </c>
      <c r="G607" s="8" t="s">
        <v>2605</v>
      </c>
      <c r="H607" s="8" t="s">
        <v>2606</v>
      </c>
      <c r="I607" s="7" t="s">
        <v>17</v>
      </c>
      <c r="J607" s="15">
        <v>15</v>
      </c>
    </row>
    <row r="608" spans="1:10" ht="206.5" customHeight="1" x14ac:dyDescent="0.2">
      <c r="A608" s="7" t="s">
        <v>1290</v>
      </c>
      <c r="B608" s="8" t="s">
        <v>11</v>
      </c>
      <c r="C608" s="8" t="s">
        <v>2600</v>
      </c>
      <c r="D608" s="6" t="s">
        <v>2607</v>
      </c>
      <c r="E608" s="7" t="s">
        <v>2608</v>
      </c>
      <c r="F608" s="7" t="s">
        <v>14</v>
      </c>
      <c r="G608" s="8" t="s">
        <v>89</v>
      </c>
      <c r="H608" s="8" t="s">
        <v>2609</v>
      </c>
      <c r="I608" s="7" t="s">
        <v>17</v>
      </c>
      <c r="J608" s="15">
        <v>10</v>
      </c>
    </row>
    <row r="609" spans="1:10" ht="39" x14ac:dyDescent="0.2">
      <c r="A609" s="7" t="s">
        <v>1290</v>
      </c>
      <c r="B609" s="8" t="s">
        <v>11</v>
      </c>
      <c r="C609" s="8" t="s">
        <v>2600</v>
      </c>
      <c r="D609" s="6" t="s">
        <v>2607</v>
      </c>
      <c r="E609" s="7" t="s">
        <v>2608</v>
      </c>
      <c r="F609" s="7" t="s">
        <v>14</v>
      </c>
      <c r="G609" s="8" t="s">
        <v>2610</v>
      </c>
      <c r="H609" s="8" t="s">
        <v>2611</v>
      </c>
      <c r="I609" s="7" t="s">
        <v>17</v>
      </c>
      <c r="J609" s="15">
        <v>4</v>
      </c>
    </row>
    <row r="610" spans="1:10" ht="65" x14ac:dyDescent="0.2">
      <c r="A610" s="7" t="s">
        <v>1290</v>
      </c>
      <c r="B610" s="8" t="s">
        <v>11</v>
      </c>
      <c r="C610" s="8" t="s">
        <v>2600</v>
      </c>
      <c r="D610" s="6" t="s">
        <v>2607</v>
      </c>
      <c r="E610" s="7" t="s">
        <v>2608</v>
      </c>
      <c r="F610" s="7" t="s">
        <v>14</v>
      </c>
      <c r="G610" s="8" t="s">
        <v>1160</v>
      </c>
      <c r="H610" s="8" t="s">
        <v>1161</v>
      </c>
      <c r="I610" s="7" t="s">
        <v>17</v>
      </c>
      <c r="J610" s="15">
        <v>10</v>
      </c>
    </row>
    <row r="611" spans="1:10" ht="78" x14ac:dyDescent="0.2">
      <c r="A611" s="7" t="s">
        <v>1290</v>
      </c>
      <c r="B611" s="8" t="s">
        <v>11</v>
      </c>
      <c r="C611" s="8" t="s">
        <v>2600</v>
      </c>
      <c r="D611" s="6" t="s">
        <v>2607</v>
      </c>
      <c r="E611" s="7" t="s">
        <v>2608</v>
      </c>
      <c r="F611" s="7" t="s">
        <v>14</v>
      </c>
      <c r="G611" s="8" t="s">
        <v>2612</v>
      </c>
      <c r="H611" s="8" t="s">
        <v>2613</v>
      </c>
      <c r="I611" s="7" t="s">
        <v>17</v>
      </c>
      <c r="J611" s="15">
        <v>11</v>
      </c>
    </row>
    <row r="612" spans="1:10" ht="65" x14ac:dyDescent="0.2">
      <c r="A612" s="7" t="s">
        <v>1290</v>
      </c>
      <c r="B612" s="8" t="s">
        <v>11</v>
      </c>
      <c r="C612" s="8" t="s">
        <v>2600</v>
      </c>
      <c r="D612" s="6" t="s">
        <v>2607</v>
      </c>
      <c r="E612" s="7" t="s">
        <v>2608</v>
      </c>
      <c r="F612" s="7" t="s">
        <v>14</v>
      </c>
      <c r="G612" s="8" t="s">
        <v>23</v>
      </c>
      <c r="H612" s="8" t="s">
        <v>24</v>
      </c>
      <c r="I612" s="7" t="s">
        <v>25</v>
      </c>
      <c r="J612" s="15">
        <v>10</v>
      </c>
    </row>
    <row r="613" spans="1:10" ht="65" x14ac:dyDescent="0.2">
      <c r="A613" s="7" t="s">
        <v>1290</v>
      </c>
      <c r="B613" s="8" t="s">
        <v>11</v>
      </c>
      <c r="C613" s="8" t="s">
        <v>2600</v>
      </c>
      <c r="D613" s="6" t="s">
        <v>2607</v>
      </c>
      <c r="E613" s="7" t="s">
        <v>2608</v>
      </c>
      <c r="F613" s="7" t="s">
        <v>14</v>
      </c>
      <c r="G613" s="8" t="s">
        <v>30</v>
      </c>
      <c r="H613" s="8" t="s">
        <v>31</v>
      </c>
      <c r="I613" s="7" t="s">
        <v>25</v>
      </c>
      <c r="J613" s="15">
        <v>7</v>
      </c>
    </row>
    <row r="614" spans="1:10" ht="65" x14ac:dyDescent="0.2">
      <c r="A614" s="7" t="s">
        <v>1290</v>
      </c>
      <c r="B614" s="8" t="s">
        <v>11</v>
      </c>
      <c r="C614" s="8" t="s">
        <v>2600</v>
      </c>
      <c r="D614" s="6" t="s">
        <v>2607</v>
      </c>
      <c r="E614" s="7" t="s">
        <v>2608</v>
      </c>
      <c r="F614" s="7" t="s">
        <v>14</v>
      </c>
      <c r="G614" s="8" t="s">
        <v>1396</v>
      </c>
      <c r="H614" s="8" t="s">
        <v>748</v>
      </c>
      <c r="I614" s="7" t="s">
        <v>25</v>
      </c>
      <c r="J614" s="15">
        <v>7</v>
      </c>
    </row>
    <row r="615" spans="1:10" ht="65" x14ac:dyDescent="0.2">
      <c r="A615" s="7" t="s">
        <v>1290</v>
      </c>
      <c r="B615" s="8" t="s">
        <v>11</v>
      </c>
      <c r="C615" s="8" t="s">
        <v>2600</v>
      </c>
      <c r="D615" s="6" t="s">
        <v>2607</v>
      </c>
      <c r="E615" s="7" t="s">
        <v>2608</v>
      </c>
      <c r="F615" s="7" t="s">
        <v>14</v>
      </c>
      <c r="G615" s="8" t="s">
        <v>28</v>
      </c>
      <c r="H615" s="8" t="s">
        <v>29</v>
      </c>
      <c r="I615" s="7" t="s">
        <v>25</v>
      </c>
      <c r="J615" s="15">
        <v>8</v>
      </c>
    </row>
    <row r="616" spans="1:10" ht="65" x14ac:dyDescent="0.2">
      <c r="A616" s="7" t="s">
        <v>1290</v>
      </c>
      <c r="B616" s="8" t="s">
        <v>11</v>
      </c>
      <c r="C616" s="8" t="s">
        <v>2600</v>
      </c>
      <c r="D616" s="6" t="s">
        <v>2607</v>
      </c>
      <c r="E616" s="7" t="s">
        <v>2608</v>
      </c>
      <c r="F616" s="7" t="s">
        <v>14</v>
      </c>
      <c r="G616" s="8" t="s">
        <v>64</v>
      </c>
      <c r="H616" s="8" t="s">
        <v>750</v>
      </c>
      <c r="I616" s="7" t="s">
        <v>25</v>
      </c>
      <c r="J616" s="15">
        <v>5</v>
      </c>
    </row>
    <row r="617" spans="1:10" ht="91" x14ac:dyDescent="0.2">
      <c r="A617" s="7" t="s">
        <v>1290</v>
      </c>
      <c r="B617" s="8" t="s">
        <v>11</v>
      </c>
      <c r="C617" s="8" t="s">
        <v>2600</v>
      </c>
      <c r="D617" s="6" t="s">
        <v>2607</v>
      </c>
      <c r="E617" s="7" t="s">
        <v>2608</v>
      </c>
      <c r="F617" s="7" t="s">
        <v>14</v>
      </c>
      <c r="G617" s="8" t="s">
        <v>67</v>
      </c>
      <c r="H617" s="8" t="s">
        <v>749</v>
      </c>
      <c r="I617" s="7" t="s">
        <v>25</v>
      </c>
      <c r="J617" s="15">
        <v>7</v>
      </c>
    </row>
    <row r="618" spans="1:10" ht="78" x14ac:dyDescent="0.2">
      <c r="A618" s="7" t="s">
        <v>1290</v>
      </c>
      <c r="B618" s="8" t="s">
        <v>11</v>
      </c>
      <c r="C618" s="8" t="s">
        <v>2600</v>
      </c>
      <c r="D618" s="6" t="s">
        <v>2607</v>
      </c>
      <c r="E618" s="7" t="s">
        <v>2608</v>
      </c>
      <c r="F618" s="7" t="s">
        <v>14</v>
      </c>
      <c r="G618" s="8" t="s">
        <v>32</v>
      </c>
      <c r="H618" s="8" t="s">
        <v>33</v>
      </c>
      <c r="I618" s="7" t="s">
        <v>25</v>
      </c>
      <c r="J618" s="15">
        <v>10</v>
      </c>
    </row>
    <row r="619" spans="1:10" ht="39" x14ac:dyDescent="0.2">
      <c r="A619" s="7" t="s">
        <v>1290</v>
      </c>
      <c r="B619" s="8" t="s">
        <v>11</v>
      </c>
      <c r="C619" s="8" t="s">
        <v>2600</v>
      </c>
      <c r="D619" s="6" t="s">
        <v>2607</v>
      </c>
      <c r="E619" s="7" t="s">
        <v>2608</v>
      </c>
      <c r="F619" s="7" t="s">
        <v>14</v>
      </c>
      <c r="G619" s="8" t="s">
        <v>2614</v>
      </c>
      <c r="H619" s="8" t="s">
        <v>2615</v>
      </c>
      <c r="I619" s="7" t="s">
        <v>17</v>
      </c>
      <c r="J619" s="15">
        <v>11</v>
      </c>
    </row>
    <row r="620" spans="1:10" ht="26" x14ac:dyDescent="0.2">
      <c r="A620" s="7" t="s">
        <v>1290</v>
      </c>
      <c r="B620" s="8" t="s">
        <v>11</v>
      </c>
      <c r="C620" s="8" t="s">
        <v>481</v>
      </c>
      <c r="D620" s="6" t="s">
        <v>479</v>
      </c>
      <c r="E620" s="7" t="s">
        <v>480</v>
      </c>
      <c r="F620" s="7" t="s">
        <v>439</v>
      </c>
      <c r="G620" s="8" t="s">
        <v>442</v>
      </c>
      <c r="H620" s="8" t="s">
        <v>482</v>
      </c>
      <c r="I620" s="7" t="s">
        <v>17</v>
      </c>
      <c r="J620" s="15">
        <v>5</v>
      </c>
    </row>
    <row r="621" spans="1:10" ht="52" x14ac:dyDescent="0.2">
      <c r="A621" s="7" t="s">
        <v>1290</v>
      </c>
      <c r="B621" s="8" t="s">
        <v>11</v>
      </c>
      <c r="C621" s="8" t="s">
        <v>481</v>
      </c>
      <c r="D621" s="6" t="s">
        <v>479</v>
      </c>
      <c r="E621" s="7" t="s">
        <v>480</v>
      </c>
      <c r="F621" s="7" t="s">
        <v>439</v>
      </c>
      <c r="G621" s="8" t="s">
        <v>483</v>
      </c>
      <c r="H621" s="8" t="s">
        <v>484</v>
      </c>
      <c r="I621" s="7" t="s">
        <v>17</v>
      </c>
      <c r="J621" s="15">
        <v>10</v>
      </c>
    </row>
    <row r="622" spans="1:10" ht="26" x14ac:dyDescent="0.2">
      <c r="A622" s="7" t="s">
        <v>1290</v>
      </c>
      <c r="B622" s="8" t="s">
        <v>11</v>
      </c>
      <c r="C622" s="8" t="s">
        <v>481</v>
      </c>
      <c r="D622" s="6" t="s">
        <v>479</v>
      </c>
      <c r="E622" s="7" t="s">
        <v>480</v>
      </c>
      <c r="F622" s="7" t="s">
        <v>439</v>
      </c>
      <c r="G622" s="8" t="s">
        <v>444</v>
      </c>
      <c r="H622" s="8" t="s">
        <v>485</v>
      </c>
      <c r="I622" s="7" t="s">
        <v>17</v>
      </c>
      <c r="J622" s="15">
        <v>10</v>
      </c>
    </row>
    <row r="623" spans="1:10" ht="39" x14ac:dyDescent="0.2">
      <c r="A623" s="7" t="s">
        <v>1290</v>
      </c>
      <c r="B623" s="8" t="s">
        <v>11</v>
      </c>
      <c r="C623" s="8" t="s">
        <v>481</v>
      </c>
      <c r="D623" s="6" t="s">
        <v>479</v>
      </c>
      <c r="E623" s="7" t="s">
        <v>480</v>
      </c>
      <c r="F623" s="7" t="s">
        <v>439</v>
      </c>
      <c r="G623" s="8" t="s">
        <v>486</v>
      </c>
      <c r="H623" s="8" t="s">
        <v>487</v>
      </c>
      <c r="I623" s="7" t="s">
        <v>17</v>
      </c>
      <c r="J623" s="15">
        <v>8</v>
      </c>
    </row>
    <row r="624" spans="1:10" ht="65" x14ac:dyDescent="0.2">
      <c r="A624" s="7" t="s">
        <v>1290</v>
      </c>
      <c r="B624" s="8" t="s">
        <v>11</v>
      </c>
      <c r="C624" s="8" t="s">
        <v>481</v>
      </c>
      <c r="D624" s="6" t="s">
        <v>479</v>
      </c>
      <c r="E624" s="7" t="s">
        <v>480</v>
      </c>
      <c r="F624" s="7" t="s">
        <v>439</v>
      </c>
      <c r="G624" s="8" t="s">
        <v>488</v>
      </c>
      <c r="H624" s="8" t="s">
        <v>489</v>
      </c>
      <c r="I624" s="7" t="s">
        <v>17</v>
      </c>
      <c r="J624" s="15">
        <v>13</v>
      </c>
    </row>
    <row r="625" spans="1:10" ht="78" x14ac:dyDescent="0.2">
      <c r="A625" s="7" t="s">
        <v>1290</v>
      </c>
      <c r="B625" s="8" t="s">
        <v>11</v>
      </c>
      <c r="C625" s="8" t="s">
        <v>481</v>
      </c>
      <c r="D625" s="6" t="s">
        <v>479</v>
      </c>
      <c r="E625" s="7" t="s">
        <v>480</v>
      </c>
      <c r="F625" s="7" t="s">
        <v>439</v>
      </c>
      <c r="G625" s="8" t="s">
        <v>446</v>
      </c>
      <c r="H625" s="8" t="s">
        <v>63</v>
      </c>
      <c r="I625" s="7" t="s">
        <v>25</v>
      </c>
      <c r="J625" s="15">
        <v>10</v>
      </c>
    </row>
    <row r="626" spans="1:10" ht="60.5" customHeight="1" x14ac:dyDescent="0.2">
      <c r="A626" s="7" t="s">
        <v>1290</v>
      </c>
      <c r="B626" s="8" t="s">
        <v>11</v>
      </c>
      <c r="C626" s="8" t="s">
        <v>481</v>
      </c>
      <c r="D626" s="6" t="s">
        <v>479</v>
      </c>
      <c r="E626" s="7" t="s">
        <v>480</v>
      </c>
      <c r="F626" s="7" t="s">
        <v>439</v>
      </c>
      <c r="G626" s="8" t="s">
        <v>447</v>
      </c>
      <c r="H626" s="8" t="s">
        <v>61</v>
      </c>
      <c r="I626" s="7" t="s">
        <v>25</v>
      </c>
      <c r="J626" s="15">
        <v>6</v>
      </c>
    </row>
    <row r="627" spans="1:10" ht="65" x14ac:dyDescent="0.2">
      <c r="A627" s="7" t="s">
        <v>1290</v>
      </c>
      <c r="B627" s="8" t="s">
        <v>11</v>
      </c>
      <c r="C627" s="8" t="s">
        <v>481</v>
      </c>
      <c r="D627" s="6" t="s">
        <v>479</v>
      </c>
      <c r="E627" s="7" t="s">
        <v>480</v>
      </c>
      <c r="F627" s="7" t="s">
        <v>439</v>
      </c>
      <c r="G627" s="8" t="s">
        <v>28</v>
      </c>
      <c r="H627" s="8" t="s">
        <v>60</v>
      </c>
      <c r="I627" s="7" t="s">
        <v>25</v>
      </c>
      <c r="J627" s="15">
        <v>6</v>
      </c>
    </row>
    <row r="628" spans="1:10" ht="65" x14ac:dyDescent="0.2">
      <c r="A628" s="7" t="s">
        <v>1290</v>
      </c>
      <c r="B628" s="8" t="s">
        <v>11</v>
      </c>
      <c r="C628" s="8" t="s">
        <v>481</v>
      </c>
      <c r="D628" s="6" t="s">
        <v>479</v>
      </c>
      <c r="E628" s="7" t="s">
        <v>480</v>
      </c>
      <c r="F628" s="7" t="s">
        <v>439</v>
      </c>
      <c r="G628" s="8" t="s">
        <v>30</v>
      </c>
      <c r="H628" s="8" t="s">
        <v>59</v>
      </c>
      <c r="I628" s="7" t="s">
        <v>25</v>
      </c>
      <c r="J628" s="15">
        <v>12</v>
      </c>
    </row>
    <row r="629" spans="1:10" ht="78" x14ac:dyDescent="0.2">
      <c r="A629" s="7" t="s">
        <v>1290</v>
      </c>
      <c r="B629" s="8" t="s">
        <v>11</v>
      </c>
      <c r="C629" s="8" t="s">
        <v>481</v>
      </c>
      <c r="D629" s="6" t="s">
        <v>479</v>
      </c>
      <c r="E629" s="7" t="s">
        <v>480</v>
      </c>
      <c r="F629" s="7" t="s">
        <v>439</v>
      </c>
      <c r="G629" s="8" t="s">
        <v>67</v>
      </c>
      <c r="H629" s="8" t="s">
        <v>68</v>
      </c>
      <c r="I629" s="7" t="s">
        <v>25</v>
      </c>
      <c r="J629" s="15">
        <v>8</v>
      </c>
    </row>
    <row r="630" spans="1:10" ht="65" x14ac:dyDescent="0.2">
      <c r="A630" s="7" t="s">
        <v>1290</v>
      </c>
      <c r="B630" s="8" t="s">
        <v>11</v>
      </c>
      <c r="C630" s="8" t="s">
        <v>481</v>
      </c>
      <c r="D630" s="6" t="s">
        <v>479</v>
      </c>
      <c r="E630" s="7" t="s">
        <v>480</v>
      </c>
      <c r="F630" s="7" t="s">
        <v>439</v>
      </c>
      <c r="G630" s="8" t="s">
        <v>490</v>
      </c>
      <c r="H630" s="8" t="s">
        <v>65</v>
      </c>
      <c r="I630" s="7" t="s">
        <v>25</v>
      </c>
      <c r="J630" s="15">
        <v>6</v>
      </c>
    </row>
    <row r="631" spans="1:10" ht="187.75" customHeight="1" x14ac:dyDescent="0.2">
      <c r="A631" s="7" t="s">
        <v>1290</v>
      </c>
      <c r="B631" s="8" t="s">
        <v>11</v>
      </c>
      <c r="C631" s="8" t="s">
        <v>481</v>
      </c>
      <c r="D631" s="6" t="s">
        <v>479</v>
      </c>
      <c r="E631" s="7" t="s">
        <v>480</v>
      </c>
      <c r="F631" s="7" t="s">
        <v>439</v>
      </c>
      <c r="G631" s="8" t="s">
        <v>26</v>
      </c>
      <c r="H631" s="8" t="s">
        <v>448</v>
      </c>
      <c r="I631" s="7" t="s">
        <v>25</v>
      </c>
      <c r="J631" s="15">
        <v>6</v>
      </c>
    </row>
    <row r="632" spans="1:10" ht="26" x14ac:dyDescent="0.2">
      <c r="A632" s="7" t="s">
        <v>1290</v>
      </c>
      <c r="B632" s="8" t="s">
        <v>11</v>
      </c>
      <c r="C632" s="8" t="s">
        <v>481</v>
      </c>
      <c r="D632" s="6" t="s">
        <v>1028</v>
      </c>
      <c r="E632" s="7" t="s">
        <v>1029</v>
      </c>
      <c r="F632" s="7" t="s">
        <v>439</v>
      </c>
      <c r="G632" s="8" t="s">
        <v>442</v>
      </c>
      <c r="H632" s="8" t="s">
        <v>1030</v>
      </c>
      <c r="I632" s="7" t="s">
        <v>17</v>
      </c>
      <c r="J632" s="15">
        <v>5</v>
      </c>
    </row>
    <row r="633" spans="1:10" ht="26" x14ac:dyDescent="0.2">
      <c r="A633" s="7" t="s">
        <v>1290</v>
      </c>
      <c r="B633" s="8" t="s">
        <v>11</v>
      </c>
      <c r="C633" s="8" t="s">
        <v>481</v>
      </c>
      <c r="D633" s="6" t="s">
        <v>1028</v>
      </c>
      <c r="E633" s="7" t="s">
        <v>1029</v>
      </c>
      <c r="F633" s="7" t="s">
        <v>439</v>
      </c>
      <c r="G633" s="8" t="s">
        <v>440</v>
      </c>
      <c r="H633" s="8" t="s">
        <v>1031</v>
      </c>
      <c r="I633" s="7" t="s">
        <v>17</v>
      </c>
      <c r="J633" s="15">
        <v>10</v>
      </c>
    </row>
    <row r="634" spans="1:10" ht="52" x14ac:dyDescent="0.2">
      <c r="A634" s="7" t="s">
        <v>1290</v>
      </c>
      <c r="B634" s="8" t="s">
        <v>11</v>
      </c>
      <c r="C634" s="8" t="s">
        <v>481</v>
      </c>
      <c r="D634" s="6" t="s">
        <v>1028</v>
      </c>
      <c r="E634" s="7" t="s">
        <v>1029</v>
      </c>
      <c r="F634" s="7" t="s">
        <v>439</v>
      </c>
      <c r="G634" s="8" t="s">
        <v>15</v>
      </c>
      <c r="H634" s="8" t="s">
        <v>1032</v>
      </c>
      <c r="I634" s="7" t="s">
        <v>17</v>
      </c>
      <c r="J634" s="15">
        <v>10</v>
      </c>
    </row>
    <row r="635" spans="1:10" ht="78" x14ac:dyDescent="0.2">
      <c r="A635" s="7" t="s">
        <v>1290</v>
      </c>
      <c r="B635" s="8" t="s">
        <v>11</v>
      </c>
      <c r="C635" s="8" t="s">
        <v>481</v>
      </c>
      <c r="D635" s="6" t="s">
        <v>1028</v>
      </c>
      <c r="E635" s="7" t="s">
        <v>1029</v>
      </c>
      <c r="F635" s="7" t="s">
        <v>439</v>
      </c>
      <c r="G635" s="8" t="s">
        <v>446</v>
      </c>
      <c r="H635" s="8" t="s">
        <v>63</v>
      </c>
      <c r="I635" s="7" t="s">
        <v>25</v>
      </c>
      <c r="J635" s="15">
        <v>10</v>
      </c>
    </row>
    <row r="636" spans="1:10" ht="65" x14ac:dyDescent="0.2">
      <c r="A636" s="7" t="s">
        <v>1290</v>
      </c>
      <c r="B636" s="8" t="s">
        <v>11</v>
      </c>
      <c r="C636" s="8" t="s">
        <v>481</v>
      </c>
      <c r="D636" s="6" t="s">
        <v>1028</v>
      </c>
      <c r="E636" s="7" t="s">
        <v>1029</v>
      </c>
      <c r="F636" s="7" t="s">
        <v>439</v>
      </c>
      <c r="G636" s="8" t="s">
        <v>490</v>
      </c>
      <c r="H636" s="8" t="s">
        <v>65</v>
      </c>
      <c r="I636" s="7" t="s">
        <v>25</v>
      </c>
      <c r="J636" s="15">
        <v>6</v>
      </c>
    </row>
    <row r="637" spans="1:10" ht="65" x14ac:dyDescent="0.2">
      <c r="A637" s="7" t="s">
        <v>1290</v>
      </c>
      <c r="B637" s="8" t="s">
        <v>11</v>
      </c>
      <c r="C637" s="8" t="s">
        <v>481</v>
      </c>
      <c r="D637" s="6" t="s">
        <v>1028</v>
      </c>
      <c r="E637" s="7" t="s">
        <v>1029</v>
      </c>
      <c r="F637" s="7" t="s">
        <v>439</v>
      </c>
      <c r="G637" s="8" t="s">
        <v>447</v>
      </c>
      <c r="H637" s="8" t="s">
        <v>61</v>
      </c>
      <c r="I637" s="7" t="s">
        <v>25</v>
      </c>
      <c r="J637" s="15">
        <v>6</v>
      </c>
    </row>
    <row r="638" spans="1:10" ht="65" x14ac:dyDescent="0.2">
      <c r="A638" s="7" t="s">
        <v>1290</v>
      </c>
      <c r="B638" s="8" t="s">
        <v>11</v>
      </c>
      <c r="C638" s="8" t="s">
        <v>481</v>
      </c>
      <c r="D638" s="6" t="s">
        <v>1028</v>
      </c>
      <c r="E638" s="7" t="s">
        <v>1029</v>
      </c>
      <c r="F638" s="7" t="s">
        <v>439</v>
      </c>
      <c r="G638" s="8" t="s">
        <v>28</v>
      </c>
      <c r="H638" s="8" t="s">
        <v>60</v>
      </c>
      <c r="I638" s="7" t="s">
        <v>25</v>
      </c>
      <c r="J638" s="15">
        <v>6</v>
      </c>
    </row>
    <row r="639" spans="1:10" ht="65" x14ac:dyDescent="0.2">
      <c r="A639" s="7" t="s">
        <v>1290</v>
      </c>
      <c r="B639" s="8" t="s">
        <v>11</v>
      </c>
      <c r="C639" s="8" t="s">
        <v>481</v>
      </c>
      <c r="D639" s="6" t="s">
        <v>1028</v>
      </c>
      <c r="E639" s="7" t="s">
        <v>1029</v>
      </c>
      <c r="F639" s="7" t="s">
        <v>439</v>
      </c>
      <c r="G639" s="8" t="s">
        <v>26</v>
      </c>
      <c r="H639" s="8" t="s">
        <v>448</v>
      </c>
      <c r="I639" s="7" t="s">
        <v>25</v>
      </c>
      <c r="J639" s="15">
        <v>6</v>
      </c>
    </row>
    <row r="640" spans="1:10" ht="65" x14ac:dyDescent="0.2">
      <c r="A640" s="7" t="s">
        <v>1290</v>
      </c>
      <c r="B640" s="8" t="s">
        <v>11</v>
      </c>
      <c r="C640" s="8" t="s">
        <v>481</v>
      </c>
      <c r="D640" s="6" t="s">
        <v>1028</v>
      </c>
      <c r="E640" s="7" t="s">
        <v>1029</v>
      </c>
      <c r="F640" s="7" t="s">
        <v>439</v>
      </c>
      <c r="G640" s="8" t="s">
        <v>30</v>
      </c>
      <c r="H640" s="8" t="s">
        <v>59</v>
      </c>
      <c r="I640" s="7" t="s">
        <v>25</v>
      </c>
      <c r="J640" s="15">
        <v>12</v>
      </c>
    </row>
    <row r="641" spans="1:10" ht="78" x14ac:dyDescent="0.2">
      <c r="A641" s="7" t="s">
        <v>1290</v>
      </c>
      <c r="B641" s="8" t="s">
        <v>11</v>
      </c>
      <c r="C641" s="8" t="s">
        <v>481</v>
      </c>
      <c r="D641" s="6" t="s">
        <v>1028</v>
      </c>
      <c r="E641" s="7" t="s">
        <v>1029</v>
      </c>
      <c r="F641" s="7" t="s">
        <v>439</v>
      </c>
      <c r="G641" s="8" t="s">
        <v>67</v>
      </c>
      <c r="H641" s="8" t="s">
        <v>68</v>
      </c>
      <c r="I641" s="7" t="s">
        <v>25</v>
      </c>
      <c r="J641" s="15">
        <v>8</v>
      </c>
    </row>
    <row r="642" spans="1:10" ht="52" x14ac:dyDescent="0.2">
      <c r="A642" s="7" t="s">
        <v>1290</v>
      </c>
      <c r="B642" s="8" t="s">
        <v>11</v>
      </c>
      <c r="C642" s="8" t="s">
        <v>481</v>
      </c>
      <c r="D642" s="6" t="s">
        <v>1028</v>
      </c>
      <c r="E642" s="7" t="s">
        <v>1029</v>
      </c>
      <c r="F642" s="7" t="s">
        <v>439</v>
      </c>
      <c r="G642" s="8" t="s">
        <v>1033</v>
      </c>
      <c r="H642" s="8" t="s">
        <v>1034</v>
      </c>
      <c r="I642" s="7" t="s">
        <v>17</v>
      </c>
      <c r="J642" s="15">
        <v>11</v>
      </c>
    </row>
    <row r="643" spans="1:10" ht="26" x14ac:dyDescent="0.2">
      <c r="A643" s="7" t="s">
        <v>1290</v>
      </c>
      <c r="B643" s="8" t="s">
        <v>11</v>
      </c>
      <c r="C643" s="8" t="s">
        <v>481</v>
      </c>
      <c r="D643" s="6" t="s">
        <v>1028</v>
      </c>
      <c r="E643" s="7" t="s">
        <v>1029</v>
      </c>
      <c r="F643" s="7" t="s">
        <v>439</v>
      </c>
      <c r="G643" s="8" t="s">
        <v>486</v>
      </c>
      <c r="H643" s="8" t="s">
        <v>1035</v>
      </c>
      <c r="I643" s="7" t="s">
        <v>17</v>
      </c>
      <c r="J643" s="15">
        <v>10</v>
      </c>
    </row>
    <row r="644" spans="1:10" ht="39" x14ac:dyDescent="0.2">
      <c r="A644" s="7" t="s">
        <v>1290</v>
      </c>
      <c r="B644" s="8" t="s">
        <v>11</v>
      </c>
      <c r="C644" s="8" t="s">
        <v>740</v>
      </c>
      <c r="D644" s="6" t="s">
        <v>738</v>
      </c>
      <c r="E644" s="7" t="s">
        <v>739</v>
      </c>
      <c r="F644" s="7" t="s">
        <v>14</v>
      </c>
      <c r="G644" s="8" t="s">
        <v>741</v>
      </c>
      <c r="H644" s="8" t="s">
        <v>742</v>
      </c>
      <c r="I644" s="7" t="s">
        <v>17</v>
      </c>
      <c r="J644" s="15">
        <v>15</v>
      </c>
    </row>
    <row r="645" spans="1:10" ht="39" x14ac:dyDescent="0.2">
      <c r="A645" s="7" t="s">
        <v>1290</v>
      </c>
      <c r="B645" s="8" t="s">
        <v>11</v>
      </c>
      <c r="C645" s="8" t="s">
        <v>740</v>
      </c>
      <c r="D645" s="6" t="s">
        <v>738</v>
      </c>
      <c r="E645" s="7" t="s">
        <v>739</v>
      </c>
      <c r="F645" s="7" t="s">
        <v>14</v>
      </c>
      <c r="G645" s="8" t="s">
        <v>19</v>
      </c>
      <c r="H645" s="8" t="s">
        <v>743</v>
      </c>
      <c r="I645" s="7" t="s">
        <v>17</v>
      </c>
      <c r="J645" s="15">
        <v>5</v>
      </c>
    </row>
    <row r="646" spans="1:10" ht="26" x14ac:dyDescent="0.2">
      <c r="A646" s="7" t="s">
        <v>1290</v>
      </c>
      <c r="B646" s="8" t="s">
        <v>11</v>
      </c>
      <c r="C646" s="8" t="s">
        <v>740</v>
      </c>
      <c r="D646" s="6" t="s">
        <v>738</v>
      </c>
      <c r="E646" s="7" t="s">
        <v>739</v>
      </c>
      <c r="F646" s="7" t="s">
        <v>14</v>
      </c>
      <c r="G646" s="8" t="s">
        <v>744</v>
      </c>
      <c r="H646" s="8" t="s">
        <v>745</v>
      </c>
      <c r="I646" s="7" t="s">
        <v>17</v>
      </c>
      <c r="J646" s="15">
        <v>15</v>
      </c>
    </row>
    <row r="647" spans="1:10" ht="26" x14ac:dyDescent="0.2">
      <c r="A647" s="7" t="s">
        <v>1290</v>
      </c>
      <c r="B647" s="8" t="s">
        <v>11</v>
      </c>
      <c r="C647" s="8" t="s">
        <v>740</v>
      </c>
      <c r="D647" s="6" t="s">
        <v>738</v>
      </c>
      <c r="E647" s="7" t="s">
        <v>739</v>
      </c>
      <c r="F647" s="7" t="s">
        <v>14</v>
      </c>
      <c r="G647" s="8" t="s">
        <v>15</v>
      </c>
      <c r="H647" s="8" t="s">
        <v>746</v>
      </c>
      <c r="I647" s="7" t="s">
        <v>17</v>
      </c>
      <c r="J647" s="15">
        <v>11</v>
      </c>
    </row>
    <row r="648" spans="1:10" ht="65" x14ac:dyDescent="0.2">
      <c r="A648" s="7" t="s">
        <v>1290</v>
      </c>
      <c r="B648" s="8" t="s">
        <v>11</v>
      </c>
      <c r="C648" s="8" t="s">
        <v>740</v>
      </c>
      <c r="D648" s="6" t="s">
        <v>738</v>
      </c>
      <c r="E648" s="7" t="s">
        <v>739</v>
      </c>
      <c r="F648" s="7" t="s">
        <v>14</v>
      </c>
      <c r="G648" s="8" t="s">
        <v>747</v>
      </c>
      <c r="H648" s="8" t="s">
        <v>24</v>
      </c>
      <c r="I648" s="7" t="s">
        <v>25</v>
      </c>
      <c r="J648" s="15">
        <v>6</v>
      </c>
    </row>
    <row r="649" spans="1:10" ht="65" x14ac:dyDescent="0.2">
      <c r="A649" s="7" t="s">
        <v>1290</v>
      </c>
      <c r="B649" s="8" t="s">
        <v>11</v>
      </c>
      <c r="C649" s="8" t="s">
        <v>740</v>
      </c>
      <c r="D649" s="6" t="s">
        <v>738</v>
      </c>
      <c r="E649" s="7" t="s">
        <v>739</v>
      </c>
      <c r="F649" s="7" t="s">
        <v>14</v>
      </c>
      <c r="G649" s="8" t="s">
        <v>30</v>
      </c>
      <c r="H649" s="8" t="s">
        <v>31</v>
      </c>
      <c r="I649" s="7" t="s">
        <v>25</v>
      </c>
      <c r="J649" s="15">
        <v>5</v>
      </c>
    </row>
    <row r="650" spans="1:10" ht="65" x14ac:dyDescent="0.2">
      <c r="A650" s="7" t="s">
        <v>1290</v>
      </c>
      <c r="B650" s="8" t="s">
        <v>11</v>
      </c>
      <c r="C650" s="8" t="s">
        <v>740</v>
      </c>
      <c r="D650" s="6" t="s">
        <v>738</v>
      </c>
      <c r="E650" s="7" t="s">
        <v>739</v>
      </c>
      <c r="F650" s="7" t="s">
        <v>14</v>
      </c>
      <c r="G650" s="8" t="s">
        <v>26</v>
      </c>
      <c r="H650" s="8" t="s">
        <v>748</v>
      </c>
      <c r="I650" s="7" t="s">
        <v>25</v>
      </c>
      <c r="J650" s="15">
        <v>15</v>
      </c>
    </row>
    <row r="651" spans="1:10" ht="91" x14ac:dyDescent="0.2">
      <c r="A651" s="7" t="s">
        <v>1290</v>
      </c>
      <c r="B651" s="8" t="s">
        <v>11</v>
      </c>
      <c r="C651" s="8" t="s">
        <v>740</v>
      </c>
      <c r="D651" s="6" t="s">
        <v>738</v>
      </c>
      <c r="E651" s="7" t="s">
        <v>739</v>
      </c>
      <c r="F651" s="7" t="s">
        <v>14</v>
      </c>
      <c r="G651" s="8" t="s">
        <v>67</v>
      </c>
      <c r="H651" s="8" t="s">
        <v>749</v>
      </c>
      <c r="I651" s="7" t="s">
        <v>25</v>
      </c>
      <c r="J651" s="15">
        <v>6</v>
      </c>
    </row>
    <row r="652" spans="1:10" ht="78" x14ac:dyDescent="0.2">
      <c r="A652" s="7" t="s">
        <v>1290</v>
      </c>
      <c r="B652" s="8" t="s">
        <v>11</v>
      </c>
      <c r="C652" s="8" t="s">
        <v>740</v>
      </c>
      <c r="D652" s="6" t="s">
        <v>738</v>
      </c>
      <c r="E652" s="7" t="s">
        <v>739</v>
      </c>
      <c r="F652" s="7" t="s">
        <v>14</v>
      </c>
      <c r="G652" s="8" t="s">
        <v>32</v>
      </c>
      <c r="H652" s="8" t="s">
        <v>33</v>
      </c>
      <c r="I652" s="7" t="s">
        <v>25</v>
      </c>
      <c r="J652" s="15">
        <v>5</v>
      </c>
    </row>
    <row r="653" spans="1:10" ht="65" x14ac:dyDescent="0.2">
      <c r="A653" s="7" t="s">
        <v>1290</v>
      </c>
      <c r="B653" s="8" t="s">
        <v>11</v>
      </c>
      <c r="C653" s="8" t="s">
        <v>740</v>
      </c>
      <c r="D653" s="6" t="s">
        <v>738</v>
      </c>
      <c r="E653" s="7" t="s">
        <v>739</v>
      </c>
      <c r="F653" s="7" t="s">
        <v>14</v>
      </c>
      <c r="G653" s="8" t="s">
        <v>64</v>
      </c>
      <c r="H653" s="8" t="s">
        <v>750</v>
      </c>
      <c r="I653" s="7" t="s">
        <v>25</v>
      </c>
      <c r="J653" s="15">
        <v>5</v>
      </c>
    </row>
    <row r="654" spans="1:10" ht="65" x14ac:dyDescent="0.2">
      <c r="A654" s="7" t="s">
        <v>1290</v>
      </c>
      <c r="B654" s="8" t="s">
        <v>11</v>
      </c>
      <c r="C654" s="8" t="s">
        <v>740</v>
      </c>
      <c r="D654" s="6" t="s">
        <v>738</v>
      </c>
      <c r="E654" s="7" t="s">
        <v>739</v>
      </c>
      <c r="F654" s="7" t="s">
        <v>14</v>
      </c>
      <c r="G654" s="8" t="s">
        <v>28</v>
      </c>
      <c r="H654" s="8" t="s">
        <v>29</v>
      </c>
      <c r="I654" s="7" t="s">
        <v>25</v>
      </c>
      <c r="J654" s="15">
        <v>12</v>
      </c>
    </row>
    <row r="655" spans="1:10" ht="26" x14ac:dyDescent="0.2">
      <c r="A655" s="7" t="s">
        <v>1290</v>
      </c>
      <c r="B655" s="8" t="s">
        <v>11</v>
      </c>
      <c r="C655" s="8" t="s">
        <v>2082</v>
      </c>
      <c r="D655" s="6" t="s">
        <v>2080</v>
      </c>
      <c r="E655" s="7" t="s">
        <v>2081</v>
      </c>
      <c r="F655" s="7" t="s">
        <v>439</v>
      </c>
      <c r="G655" s="8" t="s">
        <v>442</v>
      </c>
      <c r="H655" s="8" t="s">
        <v>2083</v>
      </c>
      <c r="I655" s="7" t="s">
        <v>17</v>
      </c>
      <c r="J655" s="15">
        <v>5</v>
      </c>
    </row>
    <row r="656" spans="1:10" ht="52" x14ac:dyDescent="0.2">
      <c r="A656" s="7" t="s">
        <v>1290</v>
      </c>
      <c r="B656" s="8" t="s">
        <v>11</v>
      </c>
      <c r="C656" s="8" t="s">
        <v>2082</v>
      </c>
      <c r="D656" s="6" t="s">
        <v>2080</v>
      </c>
      <c r="E656" s="7" t="s">
        <v>2081</v>
      </c>
      <c r="F656" s="7" t="s">
        <v>439</v>
      </c>
      <c r="G656" s="8" t="s">
        <v>2084</v>
      </c>
      <c r="H656" s="8" t="s">
        <v>2085</v>
      </c>
      <c r="I656" s="7" t="s">
        <v>17</v>
      </c>
      <c r="J656" s="15">
        <v>20</v>
      </c>
    </row>
    <row r="657" spans="1:10" ht="26" x14ac:dyDescent="0.2">
      <c r="A657" s="7" t="s">
        <v>1290</v>
      </c>
      <c r="B657" s="8" t="s">
        <v>11</v>
      </c>
      <c r="C657" s="8" t="s">
        <v>2082</v>
      </c>
      <c r="D657" s="6" t="s">
        <v>2080</v>
      </c>
      <c r="E657" s="7" t="s">
        <v>2081</v>
      </c>
      <c r="F657" s="7" t="s">
        <v>439</v>
      </c>
      <c r="G657" s="8" t="s">
        <v>171</v>
      </c>
      <c r="H657" s="8" t="s">
        <v>2086</v>
      </c>
      <c r="I657" s="7" t="s">
        <v>17</v>
      </c>
      <c r="J657" s="15">
        <v>21</v>
      </c>
    </row>
    <row r="658" spans="1:10" ht="65" x14ac:dyDescent="0.2">
      <c r="A658" s="7" t="s">
        <v>1290</v>
      </c>
      <c r="B658" s="8" t="s">
        <v>11</v>
      </c>
      <c r="C658" s="8" t="s">
        <v>2082</v>
      </c>
      <c r="D658" s="6" t="s">
        <v>2080</v>
      </c>
      <c r="E658" s="7" t="s">
        <v>2081</v>
      </c>
      <c r="F658" s="7" t="s">
        <v>439</v>
      </c>
      <c r="G658" s="8" t="s">
        <v>26</v>
      </c>
      <c r="H658" s="8" t="s">
        <v>448</v>
      </c>
      <c r="I658" s="7" t="s">
        <v>25</v>
      </c>
      <c r="J658" s="15">
        <v>8</v>
      </c>
    </row>
    <row r="659" spans="1:10" ht="65" x14ac:dyDescent="0.2">
      <c r="A659" s="7" t="s">
        <v>1290</v>
      </c>
      <c r="B659" s="8" t="s">
        <v>11</v>
      </c>
      <c r="C659" s="8" t="s">
        <v>2082</v>
      </c>
      <c r="D659" s="6" t="s">
        <v>2080</v>
      </c>
      <c r="E659" s="7" t="s">
        <v>2081</v>
      </c>
      <c r="F659" s="7" t="s">
        <v>439</v>
      </c>
      <c r="G659" s="8" t="s">
        <v>28</v>
      </c>
      <c r="H659" s="8" t="s">
        <v>60</v>
      </c>
      <c r="I659" s="7" t="s">
        <v>25</v>
      </c>
      <c r="J659" s="15">
        <v>11</v>
      </c>
    </row>
    <row r="660" spans="1:10" ht="65" x14ac:dyDescent="0.2">
      <c r="A660" s="7" t="s">
        <v>1290</v>
      </c>
      <c r="B660" s="8" t="s">
        <v>11</v>
      </c>
      <c r="C660" s="8" t="s">
        <v>2082</v>
      </c>
      <c r="D660" s="6" t="s">
        <v>2080</v>
      </c>
      <c r="E660" s="7" t="s">
        <v>2081</v>
      </c>
      <c r="F660" s="7" t="s">
        <v>439</v>
      </c>
      <c r="G660" s="8" t="s">
        <v>30</v>
      </c>
      <c r="H660" s="8" t="s">
        <v>59</v>
      </c>
      <c r="I660" s="7" t="s">
        <v>25</v>
      </c>
      <c r="J660" s="15">
        <v>13</v>
      </c>
    </row>
    <row r="661" spans="1:10" ht="78" x14ac:dyDescent="0.2">
      <c r="A661" s="7" t="s">
        <v>1290</v>
      </c>
      <c r="B661" s="8" t="s">
        <v>11</v>
      </c>
      <c r="C661" s="8" t="s">
        <v>2082</v>
      </c>
      <c r="D661" s="6" t="s">
        <v>2080</v>
      </c>
      <c r="E661" s="7" t="s">
        <v>2081</v>
      </c>
      <c r="F661" s="7" t="s">
        <v>439</v>
      </c>
      <c r="G661" s="8" t="s">
        <v>67</v>
      </c>
      <c r="H661" s="8" t="s">
        <v>68</v>
      </c>
      <c r="I661" s="7" t="s">
        <v>25</v>
      </c>
      <c r="J661" s="15">
        <v>8</v>
      </c>
    </row>
    <row r="662" spans="1:10" ht="65" x14ac:dyDescent="0.2">
      <c r="A662" s="7" t="s">
        <v>1290</v>
      </c>
      <c r="B662" s="8" t="s">
        <v>11</v>
      </c>
      <c r="C662" s="8" t="s">
        <v>2082</v>
      </c>
      <c r="D662" s="6" t="s">
        <v>2080</v>
      </c>
      <c r="E662" s="7" t="s">
        <v>2081</v>
      </c>
      <c r="F662" s="7" t="s">
        <v>439</v>
      </c>
      <c r="G662" s="8" t="s">
        <v>447</v>
      </c>
      <c r="H662" s="8" t="s">
        <v>61</v>
      </c>
      <c r="I662" s="7" t="s">
        <v>25</v>
      </c>
      <c r="J662" s="15">
        <v>6</v>
      </c>
    </row>
    <row r="663" spans="1:10" ht="78" x14ac:dyDescent="0.2">
      <c r="A663" s="7" t="s">
        <v>1290</v>
      </c>
      <c r="B663" s="8" t="s">
        <v>11</v>
      </c>
      <c r="C663" s="8" t="s">
        <v>2082</v>
      </c>
      <c r="D663" s="6" t="s">
        <v>2080</v>
      </c>
      <c r="E663" s="7" t="s">
        <v>2081</v>
      </c>
      <c r="F663" s="7" t="s">
        <v>439</v>
      </c>
      <c r="G663" s="8" t="s">
        <v>446</v>
      </c>
      <c r="H663" s="8" t="s">
        <v>63</v>
      </c>
      <c r="I663" s="7" t="s">
        <v>25</v>
      </c>
      <c r="J663" s="15">
        <v>8</v>
      </c>
    </row>
    <row r="664" spans="1:10" ht="39" x14ac:dyDescent="0.2">
      <c r="A664" s="7" t="s">
        <v>1290</v>
      </c>
      <c r="B664" s="8" t="s">
        <v>11</v>
      </c>
      <c r="C664" s="8" t="s">
        <v>1693</v>
      </c>
      <c r="D664" s="6" t="s">
        <v>1691</v>
      </c>
      <c r="E664" s="7" t="s">
        <v>1692</v>
      </c>
      <c r="F664" s="7" t="s">
        <v>14</v>
      </c>
      <c r="G664" s="8" t="s">
        <v>1694</v>
      </c>
      <c r="H664" s="8" t="s">
        <v>743</v>
      </c>
      <c r="I664" s="7" t="s">
        <v>17</v>
      </c>
      <c r="J664" s="15">
        <v>5</v>
      </c>
    </row>
    <row r="665" spans="1:10" ht="26" x14ac:dyDescent="0.2">
      <c r="A665" s="7" t="s">
        <v>1290</v>
      </c>
      <c r="B665" s="8" t="s">
        <v>11</v>
      </c>
      <c r="C665" s="8" t="s">
        <v>1693</v>
      </c>
      <c r="D665" s="6" t="s">
        <v>1691</v>
      </c>
      <c r="E665" s="7" t="s">
        <v>1692</v>
      </c>
      <c r="F665" s="7" t="s">
        <v>14</v>
      </c>
      <c r="G665" s="8" t="s">
        <v>15</v>
      </c>
      <c r="H665" s="8" t="s">
        <v>1695</v>
      </c>
      <c r="I665" s="7" t="s">
        <v>17</v>
      </c>
      <c r="J665" s="15">
        <v>5</v>
      </c>
    </row>
    <row r="666" spans="1:10" ht="39" x14ac:dyDescent="0.2">
      <c r="A666" s="7" t="s">
        <v>1290</v>
      </c>
      <c r="B666" s="8" t="s">
        <v>11</v>
      </c>
      <c r="C666" s="8" t="s">
        <v>1693</v>
      </c>
      <c r="D666" s="6" t="s">
        <v>1691</v>
      </c>
      <c r="E666" s="7" t="s">
        <v>1692</v>
      </c>
      <c r="F666" s="7" t="s">
        <v>14</v>
      </c>
      <c r="G666" s="8" t="s">
        <v>1696</v>
      </c>
      <c r="H666" s="8" t="s">
        <v>1697</v>
      </c>
      <c r="I666" s="7" t="s">
        <v>17</v>
      </c>
      <c r="J666" s="15">
        <v>12</v>
      </c>
    </row>
    <row r="667" spans="1:10" ht="39" x14ac:dyDescent="0.2">
      <c r="A667" s="7" t="s">
        <v>1290</v>
      </c>
      <c r="B667" s="8" t="s">
        <v>11</v>
      </c>
      <c r="C667" s="8" t="s">
        <v>1693</v>
      </c>
      <c r="D667" s="6" t="s">
        <v>1691</v>
      </c>
      <c r="E667" s="7" t="s">
        <v>1692</v>
      </c>
      <c r="F667" s="7" t="s">
        <v>14</v>
      </c>
      <c r="G667" s="8" t="s">
        <v>1698</v>
      </c>
      <c r="H667" s="8" t="s">
        <v>1699</v>
      </c>
      <c r="I667" s="7" t="s">
        <v>17</v>
      </c>
      <c r="J667" s="15">
        <v>13</v>
      </c>
    </row>
    <row r="668" spans="1:10" ht="39" x14ac:dyDescent="0.2">
      <c r="A668" s="7" t="s">
        <v>1290</v>
      </c>
      <c r="B668" s="8" t="s">
        <v>11</v>
      </c>
      <c r="C668" s="8" t="s">
        <v>1693</v>
      </c>
      <c r="D668" s="6" t="s">
        <v>1691</v>
      </c>
      <c r="E668" s="7" t="s">
        <v>1692</v>
      </c>
      <c r="F668" s="7" t="s">
        <v>14</v>
      </c>
      <c r="G668" s="8" t="s">
        <v>1574</v>
      </c>
      <c r="H668" s="8" t="s">
        <v>1700</v>
      </c>
      <c r="I668" s="7" t="s">
        <v>17</v>
      </c>
      <c r="J668" s="15">
        <v>11</v>
      </c>
    </row>
    <row r="669" spans="1:10" ht="65" x14ac:dyDescent="0.2">
      <c r="A669" s="7" t="s">
        <v>1290</v>
      </c>
      <c r="B669" s="8" t="s">
        <v>11</v>
      </c>
      <c r="C669" s="8" t="s">
        <v>1693</v>
      </c>
      <c r="D669" s="6" t="s">
        <v>1691</v>
      </c>
      <c r="E669" s="7" t="s">
        <v>1692</v>
      </c>
      <c r="F669" s="7" t="s">
        <v>14</v>
      </c>
      <c r="G669" s="8" t="s">
        <v>23</v>
      </c>
      <c r="H669" s="8" t="s">
        <v>24</v>
      </c>
      <c r="I669" s="7" t="s">
        <v>25</v>
      </c>
      <c r="J669" s="15">
        <v>14</v>
      </c>
    </row>
    <row r="670" spans="1:10" ht="65" x14ac:dyDescent="0.2">
      <c r="A670" s="7" t="s">
        <v>1290</v>
      </c>
      <c r="B670" s="8" t="s">
        <v>11</v>
      </c>
      <c r="C670" s="8" t="s">
        <v>1693</v>
      </c>
      <c r="D670" s="6" t="s">
        <v>1691</v>
      </c>
      <c r="E670" s="7" t="s">
        <v>1692</v>
      </c>
      <c r="F670" s="7" t="s">
        <v>14</v>
      </c>
      <c r="G670" s="8" t="s">
        <v>28</v>
      </c>
      <c r="H670" s="8" t="s">
        <v>29</v>
      </c>
      <c r="I670" s="7" t="s">
        <v>25</v>
      </c>
      <c r="J670" s="15">
        <v>17</v>
      </c>
    </row>
    <row r="671" spans="1:10" ht="91" x14ac:dyDescent="0.2">
      <c r="A671" s="7" t="s">
        <v>1290</v>
      </c>
      <c r="B671" s="8" t="s">
        <v>11</v>
      </c>
      <c r="C671" s="8" t="s">
        <v>1693</v>
      </c>
      <c r="D671" s="6" t="s">
        <v>1691</v>
      </c>
      <c r="E671" s="7" t="s">
        <v>1692</v>
      </c>
      <c r="F671" s="7" t="s">
        <v>14</v>
      </c>
      <c r="G671" s="8" t="s">
        <v>69</v>
      </c>
      <c r="H671" s="8" t="s">
        <v>70</v>
      </c>
      <c r="I671" s="7" t="s">
        <v>25</v>
      </c>
      <c r="J671" s="15">
        <v>11</v>
      </c>
    </row>
    <row r="672" spans="1:10" ht="78" x14ac:dyDescent="0.2">
      <c r="A672" s="7" t="s">
        <v>1290</v>
      </c>
      <c r="B672" s="8" t="s">
        <v>11</v>
      </c>
      <c r="C672" s="8" t="s">
        <v>1693</v>
      </c>
      <c r="D672" s="6" t="s">
        <v>1691</v>
      </c>
      <c r="E672" s="7" t="s">
        <v>1692</v>
      </c>
      <c r="F672" s="7" t="s">
        <v>14</v>
      </c>
      <c r="G672" s="8" t="s">
        <v>91</v>
      </c>
      <c r="H672" s="8" t="s">
        <v>33</v>
      </c>
      <c r="I672" s="7" t="s">
        <v>25</v>
      </c>
      <c r="J672" s="15">
        <v>12</v>
      </c>
    </row>
    <row r="673" spans="1:10" ht="26" x14ac:dyDescent="0.2">
      <c r="A673" s="7" t="s">
        <v>1290</v>
      </c>
      <c r="B673" s="8" t="s">
        <v>11</v>
      </c>
      <c r="C673" s="8" t="s">
        <v>52</v>
      </c>
      <c r="D673" s="6" t="s">
        <v>13</v>
      </c>
      <c r="E673" s="7" t="s">
        <v>14</v>
      </c>
      <c r="F673" s="7" t="s">
        <v>54</v>
      </c>
      <c r="G673" s="8" t="s">
        <v>15</v>
      </c>
      <c r="H673" s="8" t="s">
        <v>55</v>
      </c>
      <c r="I673" s="7" t="s">
        <v>17</v>
      </c>
      <c r="J673" s="15">
        <v>7</v>
      </c>
    </row>
    <row r="674" spans="1:10" ht="39" x14ac:dyDescent="0.2">
      <c r="A674" s="7" t="s">
        <v>1290</v>
      </c>
      <c r="B674" s="8" t="s">
        <v>11</v>
      </c>
      <c r="C674" s="8" t="s">
        <v>52</v>
      </c>
      <c r="D674" s="6" t="s">
        <v>13</v>
      </c>
      <c r="E674" s="7" t="s">
        <v>14</v>
      </c>
      <c r="F674" s="7" t="s">
        <v>54</v>
      </c>
      <c r="G674" s="8" t="s">
        <v>19</v>
      </c>
      <c r="H674" s="8" t="s">
        <v>56</v>
      </c>
      <c r="I674" s="7" t="s">
        <v>17</v>
      </c>
      <c r="J674" s="15">
        <v>5</v>
      </c>
    </row>
    <row r="675" spans="1:10" ht="26" x14ac:dyDescent="0.2">
      <c r="A675" s="7" t="s">
        <v>1290</v>
      </c>
      <c r="B675" s="8" t="s">
        <v>11</v>
      </c>
      <c r="C675" s="8" t="s">
        <v>52</v>
      </c>
      <c r="D675" s="6" t="s">
        <v>13</v>
      </c>
      <c r="E675" s="7" t="s">
        <v>14</v>
      </c>
      <c r="F675" s="7" t="s">
        <v>54</v>
      </c>
      <c r="G675" s="8" t="s">
        <v>57</v>
      </c>
      <c r="H675" s="8" t="s">
        <v>58</v>
      </c>
      <c r="I675" s="7" t="s">
        <v>17</v>
      </c>
      <c r="J675" s="15">
        <v>15</v>
      </c>
    </row>
    <row r="676" spans="1:10" ht="65" x14ac:dyDescent="0.2">
      <c r="A676" s="7" t="s">
        <v>1290</v>
      </c>
      <c r="B676" s="8" t="s">
        <v>11</v>
      </c>
      <c r="C676" s="8" t="s">
        <v>52</v>
      </c>
      <c r="D676" s="6" t="s">
        <v>13</v>
      </c>
      <c r="E676" s="7" t="s">
        <v>14</v>
      </c>
      <c r="F676" s="7" t="s">
        <v>54</v>
      </c>
      <c r="G676" s="8" t="s">
        <v>30</v>
      </c>
      <c r="H676" s="8" t="s">
        <v>59</v>
      </c>
      <c r="I676" s="7" t="s">
        <v>25</v>
      </c>
      <c r="J676" s="15">
        <v>5</v>
      </c>
    </row>
    <row r="677" spans="1:10" ht="65" x14ac:dyDescent="0.2">
      <c r="A677" s="7" t="s">
        <v>1290</v>
      </c>
      <c r="B677" s="8" t="s">
        <v>11</v>
      </c>
      <c r="C677" s="8" t="s">
        <v>52</v>
      </c>
      <c r="D677" s="6" t="s">
        <v>13</v>
      </c>
      <c r="E677" s="7" t="s">
        <v>14</v>
      </c>
      <c r="F677" s="7" t="s">
        <v>54</v>
      </c>
      <c r="G677" s="8" t="s">
        <v>28</v>
      </c>
      <c r="H677" s="8" t="s">
        <v>60</v>
      </c>
      <c r="I677" s="7" t="s">
        <v>25</v>
      </c>
      <c r="J677" s="15">
        <v>7</v>
      </c>
    </row>
    <row r="678" spans="1:10" ht="65" x14ac:dyDescent="0.2">
      <c r="A678" s="7" t="s">
        <v>1290</v>
      </c>
      <c r="B678" s="8" t="s">
        <v>11</v>
      </c>
      <c r="C678" s="8" t="s">
        <v>52</v>
      </c>
      <c r="D678" s="6" t="s">
        <v>13</v>
      </c>
      <c r="E678" s="7" t="s">
        <v>14</v>
      </c>
      <c r="F678" s="7" t="s">
        <v>54</v>
      </c>
      <c r="G678" s="8" t="s">
        <v>23</v>
      </c>
      <c r="H678" s="8" t="s">
        <v>61</v>
      </c>
      <c r="I678" s="7" t="s">
        <v>25</v>
      </c>
      <c r="J678" s="15">
        <v>15</v>
      </c>
    </row>
    <row r="679" spans="1:10" ht="78" x14ac:dyDescent="0.2">
      <c r="A679" s="7" t="s">
        <v>1290</v>
      </c>
      <c r="B679" s="8" t="s">
        <v>11</v>
      </c>
      <c r="C679" s="8" t="s">
        <v>52</v>
      </c>
      <c r="D679" s="6" t="s">
        <v>13</v>
      </c>
      <c r="E679" s="7" t="s">
        <v>14</v>
      </c>
      <c r="F679" s="7" t="s">
        <v>54</v>
      </c>
      <c r="G679" s="8" t="s">
        <v>62</v>
      </c>
      <c r="H679" s="8" t="s">
        <v>63</v>
      </c>
      <c r="I679" s="7" t="s">
        <v>25</v>
      </c>
      <c r="J679" s="15">
        <v>11</v>
      </c>
    </row>
    <row r="680" spans="1:10" ht="65" x14ac:dyDescent="0.2">
      <c r="A680" s="7" t="s">
        <v>1290</v>
      </c>
      <c r="B680" s="8" t="s">
        <v>11</v>
      </c>
      <c r="C680" s="8" t="s">
        <v>52</v>
      </c>
      <c r="D680" s="6" t="s">
        <v>13</v>
      </c>
      <c r="E680" s="7" t="s">
        <v>14</v>
      </c>
      <c r="F680" s="7" t="s">
        <v>54</v>
      </c>
      <c r="G680" s="8" t="s">
        <v>64</v>
      </c>
      <c r="H680" s="8" t="s">
        <v>65</v>
      </c>
      <c r="I680" s="7" t="s">
        <v>25</v>
      </c>
      <c r="J680" s="15">
        <v>7</v>
      </c>
    </row>
    <row r="681" spans="1:10" ht="65" x14ac:dyDescent="0.2">
      <c r="A681" s="7" t="s">
        <v>1290</v>
      </c>
      <c r="B681" s="8" t="s">
        <v>11</v>
      </c>
      <c r="C681" s="8" t="s">
        <v>52</v>
      </c>
      <c r="D681" s="6" t="s">
        <v>13</v>
      </c>
      <c r="E681" s="7" t="s">
        <v>14</v>
      </c>
      <c r="F681" s="7" t="s">
        <v>54</v>
      </c>
      <c r="G681" s="8" t="s">
        <v>26</v>
      </c>
      <c r="H681" s="8" t="s">
        <v>66</v>
      </c>
      <c r="I681" s="7" t="s">
        <v>25</v>
      </c>
      <c r="J681" s="15">
        <v>7</v>
      </c>
    </row>
    <row r="682" spans="1:10" ht="78" x14ac:dyDescent="0.2">
      <c r="A682" s="7" t="s">
        <v>1290</v>
      </c>
      <c r="B682" s="8" t="s">
        <v>11</v>
      </c>
      <c r="C682" s="8" t="s">
        <v>52</v>
      </c>
      <c r="D682" s="6" t="s">
        <v>13</v>
      </c>
      <c r="E682" s="7" t="s">
        <v>14</v>
      </c>
      <c r="F682" s="7" t="s">
        <v>54</v>
      </c>
      <c r="G682" s="8" t="s">
        <v>67</v>
      </c>
      <c r="H682" s="8" t="s">
        <v>68</v>
      </c>
      <c r="I682" s="7" t="s">
        <v>25</v>
      </c>
      <c r="J682" s="15">
        <v>7</v>
      </c>
    </row>
    <row r="683" spans="1:10" ht="91" x14ac:dyDescent="0.2">
      <c r="A683" s="7" t="s">
        <v>1290</v>
      </c>
      <c r="B683" s="8" t="s">
        <v>11</v>
      </c>
      <c r="C683" s="8" t="s">
        <v>52</v>
      </c>
      <c r="D683" s="6" t="s">
        <v>13</v>
      </c>
      <c r="E683" s="7" t="s">
        <v>14</v>
      </c>
      <c r="F683" s="7" t="s">
        <v>54</v>
      </c>
      <c r="G683" s="8" t="s">
        <v>69</v>
      </c>
      <c r="H683" s="8" t="s">
        <v>70</v>
      </c>
      <c r="I683" s="7" t="s">
        <v>25</v>
      </c>
      <c r="J683" s="15">
        <v>14</v>
      </c>
    </row>
    <row r="684" spans="1:10" ht="65" x14ac:dyDescent="0.2">
      <c r="A684" s="7" t="s">
        <v>1290</v>
      </c>
      <c r="B684" s="8" t="s">
        <v>11</v>
      </c>
      <c r="C684" s="8" t="s">
        <v>2755</v>
      </c>
      <c r="D684" s="6" t="s">
        <v>438</v>
      </c>
      <c r="E684" s="7" t="s">
        <v>439</v>
      </c>
      <c r="F684" s="7" t="s">
        <v>54</v>
      </c>
      <c r="G684" s="8" t="s">
        <v>2756</v>
      </c>
      <c r="H684" s="8" t="s">
        <v>2757</v>
      </c>
      <c r="I684" s="7" t="s">
        <v>17</v>
      </c>
      <c r="J684" s="15">
        <v>10</v>
      </c>
    </row>
    <row r="685" spans="1:10" ht="26" x14ac:dyDescent="0.2">
      <c r="A685" s="7" t="s">
        <v>1290</v>
      </c>
      <c r="B685" s="8" t="s">
        <v>11</v>
      </c>
      <c r="C685" s="8" t="s">
        <v>2755</v>
      </c>
      <c r="D685" s="6" t="s">
        <v>438</v>
      </c>
      <c r="E685" s="7" t="s">
        <v>439</v>
      </c>
      <c r="F685" s="7" t="s">
        <v>54</v>
      </c>
      <c r="G685" s="8" t="s">
        <v>939</v>
      </c>
      <c r="H685" s="8" t="s">
        <v>2758</v>
      </c>
      <c r="I685" s="7" t="s">
        <v>17</v>
      </c>
      <c r="J685" s="15">
        <v>5</v>
      </c>
    </row>
    <row r="686" spans="1:10" ht="65" x14ac:dyDescent="0.2">
      <c r="A686" s="7" t="s">
        <v>1290</v>
      </c>
      <c r="B686" s="8" t="s">
        <v>11</v>
      </c>
      <c r="C686" s="8" t="s">
        <v>2755</v>
      </c>
      <c r="D686" s="6" t="s">
        <v>438</v>
      </c>
      <c r="E686" s="7" t="s">
        <v>439</v>
      </c>
      <c r="F686" s="7" t="s">
        <v>54</v>
      </c>
      <c r="G686" s="8" t="s">
        <v>30</v>
      </c>
      <c r="H686" s="8" t="s">
        <v>59</v>
      </c>
      <c r="I686" s="7" t="s">
        <v>25</v>
      </c>
      <c r="J686" s="15">
        <v>18</v>
      </c>
    </row>
    <row r="687" spans="1:10" ht="78" x14ac:dyDescent="0.2">
      <c r="A687" s="7" t="s">
        <v>1290</v>
      </c>
      <c r="B687" s="8" t="s">
        <v>11</v>
      </c>
      <c r="C687" s="8" t="s">
        <v>2755</v>
      </c>
      <c r="D687" s="6" t="s">
        <v>438</v>
      </c>
      <c r="E687" s="7" t="s">
        <v>439</v>
      </c>
      <c r="F687" s="7" t="s">
        <v>54</v>
      </c>
      <c r="G687" s="8" t="s">
        <v>67</v>
      </c>
      <c r="H687" s="8" t="s">
        <v>68</v>
      </c>
      <c r="I687" s="7" t="s">
        <v>25</v>
      </c>
      <c r="J687" s="15">
        <v>10</v>
      </c>
    </row>
    <row r="688" spans="1:10" ht="65" x14ac:dyDescent="0.2">
      <c r="A688" s="7" t="s">
        <v>1290</v>
      </c>
      <c r="B688" s="8" t="s">
        <v>11</v>
      </c>
      <c r="C688" s="8" t="s">
        <v>2755</v>
      </c>
      <c r="D688" s="6" t="s">
        <v>438</v>
      </c>
      <c r="E688" s="7" t="s">
        <v>439</v>
      </c>
      <c r="F688" s="7" t="s">
        <v>54</v>
      </c>
      <c r="G688" s="8" t="s">
        <v>26</v>
      </c>
      <c r="H688" s="8" t="s">
        <v>66</v>
      </c>
      <c r="I688" s="7" t="s">
        <v>25</v>
      </c>
      <c r="J688" s="15">
        <v>10</v>
      </c>
    </row>
    <row r="689" spans="1:10" ht="65" x14ac:dyDescent="0.2">
      <c r="A689" s="7" t="s">
        <v>1290</v>
      </c>
      <c r="B689" s="8" t="s">
        <v>11</v>
      </c>
      <c r="C689" s="8" t="s">
        <v>2755</v>
      </c>
      <c r="D689" s="6" t="s">
        <v>438</v>
      </c>
      <c r="E689" s="7" t="s">
        <v>439</v>
      </c>
      <c r="F689" s="7" t="s">
        <v>54</v>
      </c>
      <c r="G689" s="8" t="s">
        <v>28</v>
      </c>
      <c r="H689" s="8" t="s">
        <v>60</v>
      </c>
      <c r="I689" s="7" t="s">
        <v>25</v>
      </c>
      <c r="J689" s="15">
        <v>10</v>
      </c>
    </row>
    <row r="690" spans="1:10" ht="65" x14ac:dyDescent="0.2">
      <c r="A690" s="7" t="s">
        <v>1290</v>
      </c>
      <c r="B690" s="8" t="s">
        <v>11</v>
      </c>
      <c r="C690" s="8" t="s">
        <v>2755</v>
      </c>
      <c r="D690" s="6" t="s">
        <v>438</v>
      </c>
      <c r="E690" s="7" t="s">
        <v>439</v>
      </c>
      <c r="F690" s="7" t="s">
        <v>54</v>
      </c>
      <c r="G690" s="8" t="s">
        <v>64</v>
      </c>
      <c r="H690" s="8" t="s">
        <v>65</v>
      </c>
      <c r="I690" s="7" t="s">
        <v>25</v>
      </c>
      <c r="J690" s="15">
        <v>10</v>
      </c>
    </row>
    <row r="691" spans="1:10" ht="65" x14ac:dyDescent="0.2">
      <c r="A691" s="7" t="s">
        <v>1290</v>
      </c>
      <c r="B691" s="8" t="s">
        <v>11</v>
      </c>
      <c r="C691" s="8" t="s">
        <v>2755</v>
      </c>
      <c r="D691" s="6" t="s">
        <v>438</v>
      </c>
      <c r="E691" s="7" t="s">
        <v>439</v>
      </c>
      <c r="F691" s="7" t="s">
        <v>54</v>
      </c>
      <c r="G691" s="8" t="s">
        <v>23</v>
      </c>
      <c r="H691" s="8" t="s">
        <v>61</v>
      </c>
      <c r="I691" s="7" t="s">
        <v>25</v>
      </c>
      <c r="J691" s="15">
        <v>5</v>
      </c>
    </row>
    <row r="692" spans="1:10" ht="78" x14ac:dyDescent="0.2">
      <c r="A692" s="7" t="s">
        <v>1290</v>
      </c>
      <c r="B692" s="8" t="s">
        <v>11</v>
      </c>
      <c r="C692" s="8" t="s">
        <v>2755</v>
      </c>
      <c r="D692" s="6" t="s">
        <v>438</v>
      </c>
      <c r="E692" s="7" t="s">
        <v>439</v>
      </c>
      <c r="F692" s="7" t="s">
        <v>54</v>
      </c>
      <c r="G692" s="8" t="s">
        <v>62</v>
      </c>
      <c r="H692" s="8" t="s">
        <v>63</v>
      </c>
      <c r="I692" s="7" t="s">
        <v>25</v>
      </c>
      <c r="J692" s="15">
        <v>10</v>
      </c>
    </row>
    <row r="693" spans="1:10" ht="52" x14ac:dyDescent="0.2">
      <c r="A693" s="7" t="s">
        <v>1290</v>
      </c>
      <c r="B693" s="8" t="s">
        <v>11</v>
      </c>
      <c r="C693" s="8" t="s">
        <v>2755</v>
      </c>
      <c r="D693" s="6" t="s">
        <v>438</v>
      </c>
      <c r="E693" s="7" t="s">
        <v>439</v>
      </c>
      <c r="F693" s="7" t="s">
        <v>54</v>
      </c>
      <c r="G693" s="8" t="s">
        <v>838</v>
      </c>
      <c r="H693" s="8" t="s">
        <v>2759</v>
      </c>
      <c r="I693" s="7" t="s">
        <v>17</v>
      </c>
      <c r="J693" s="15">
        <v>12</v>
      </c>
    </row>
    <row r="694" spans="1:10" ht="93.5" customHeight="1" x14ac:dyDescent="0.2">
      <c r="A694" s="7" t="s">
        <v>1290</v>
      </c>
      <c r="B694" s="8" t="s">
        <v>157</v>
      </c>
      <c r="C694" s="8" t="s">
        <v>2468</v>
      </c>
      <c r="D694" s="6" t="s">
        <v>2466</v>
      </c>
      <c r="E694" s="7" t="s">
        <v>2467</v>
      </c>
      <c r="F694" s="7" t="s">
        <v>1289</v>
      </c>
      <c r="G694" s="8" t="s">
        <v>2469</v>
      </c>
      <c r="H694" s="8" t="s">
        <v>2990</v>
      </c>
      <c r="I694" s="7" t="s">
        <v>25</v>
      </c>
      <c r="J694" s="13">
        <v>20</v>
      </c>
    </row>
    <row r="695" spans="1:10" ht="115.25" customHeight="1" x14ac:dyDescent="0.2">
      <c r="A695" s="7" t="s">
        <v>1290</v>
      </c>
      <c r="B695" s="8" t="s">
        <v>157</v>
      </c>
      <c r="C695" s="8" t="s">
        <v>2468</v>
      </c>
      <c r="D695" s="6" t="s">
        <v>2466</v>
      </c>
      <c r="E695" s="7" t="s">
        <v>2467</v>
      </c>
      <c r="F695" s="7" t="s">
        <v>1289</v>
      </c>
      <c r="G695" s="8" t="s">
        <v>2470</v>
      </c>
      <c r="H695" s="8" t="s">
        <v>2991</v>
      </c>
      <c r="I695" s="7" t="s">
        <v>25</v>
      </c>
      <c r="J695" s="13">
        <v>10</v>
      </c>
    </row>
    <row r="696" spans="1:10" ht="139.75" customHeight="1" x14ac:dyDescent="0.2">
      <c r="A696" s="7" t="s">
        <v>1290</v>
      </c>
      <c r="B696" s="8" t="s">
        <v>157</v>
      </c>
      <c r="C696" s="8" t="s">
        <v>2468</v>
      </c>
      <c r="D696" s="6" t="s">
        <v>2466</v>
      </c>
      <c r="E696" s="7" t="s">
        <v>2467</v>
      </c>
      <c r="F696" s="7" t="s">
        <v>1289</v>
      </c>
      <c r="G696" s="8" t="s">
        <v>2471</v>
      </c>
      <c r="H696" s="8" t="s">
        <v>2992</v>
      </c>
      <c r="I696" s="7" t="s">
        <v>25</v>
      </c>
      <c r="J696" s="13">
        <v>20</v>
      </c>
    </row>
    <row r="697" spans="1:10" ht="88.25" customHeight="1" x14ac:dyDescent="0.2">
      <c r="A697" s="7" t="s">
        <v>1290</v>
      </c>
      <c r="B697" s="8" t="s">
        <v>157</v>
      </c>
      <c r="C697" s="8" t="s">
        <v>2468</v>
      </c>
      <c r="D697" s="6" t="s">
        <v>2466</v>
      </c>
      <c r="E697" s="7" t="s">
        <v>2467</v>
      </c>
      <c r="F697" s="7" t="s">
        <v>1289</v>
      </c>
      <c r="G697" s="8" t="s">
        <v>2472</v>
      </c>
      <c r="H697" s="8" t="s">
        <v>2993</v>
      </c>
      <c r="I697" s="7" t="s">
        <v>25</v>
      </c>
      <c r="J697" s="13">
        <v>10</v>
      </c>
    </row>
    <row r="698" spans="1:10" ht="165.5" customHeight="1" x14ac:dyDescent="0.2">
      <c r="A698" s="7" t="s">
        <v>1290</v>
      </c>
      <c r="B698" s="8" t="s">
        <v>157</v>
      </c>
      <c r="C698" s="8" t="s">
        <v>2468</v>
      </c>
      <c r="D698" s="6" t="s">
        <v>2466</v>
      </c>
      <c r="E698" s="7" t="s">
        <v>2467</v>
      </c>
      <c r="F698" s="7" t="s">
        <v>1289</v>
      </c>
      <c r="G698" s="8" t="s">
        <v>1212</v>
      </c>
      <c r="H698" s="8" t="s">
        <v>2994</v>
      </c>
      <c r="I698" s="7" t="s">
        <v>25</v>
      </c>
      <c r="J698" s="13">
        <v>20</v>
      </c>
    </row>
    <row r="699" spans="1:10" ht="65" x14ac:dyDescent="0.2">
      <c r="A699" s="7" t="s">
        <v>1290</v>
      </c>
      <c r="B699" s="8" t="s">
        <v>157</v>
      </c>
      <c r="C699" s="8" t="s">
        <v>2468</v>
      </c>
      <c r="D699" s="6" t="s">
        <v>2466</v>
      </c>
      <c r="E699" s="7" t="s">
        <v>2467</v>
      </c>
      <c r="F699" s="7" t="s">
        <v>1289</v>
      </c>
      <c r="G699" s="8" t="s">
        <v>171</v>
      </c>
      <c r="H699" s="8" t="s">
        <v>2995</v>
      </c>
      <c r="I699" s="7" t="s">
        <v>25</v>
      </c>
      <c r="J699" s="13">
        <v>20</v>
      </c>
    </row>
    <row r="700" spans="1:10" ht="234" x14ac:dyDescent="0.2">
      <c r="A700" s="7" t="s">
        <v>1290</v>
      </c>
      <c r="B700" s="8" t="s">
        <v>157</v>
      </c>
      <c r="C700" s="8" t="s">
        <v>689</v>
      </c>
      <c r="D700" s="6" t="s">
        <v>687</v>
      </c>
      <c r="E700" s="7" t="s">
        <v>688</v>
      </c>
      <c r="F700" s="7" t="s">
        <v>160</v>
      </c>
      <c r="G700" s="8" t="s">
        <v>161</v>
      </c>
      <c r="H700" s="8" t="s">
        <v>690</v>
      </c>
      <c r="I700" s="7" t="s">
        <v>25</v>
      </c>
      <c r="J700" s="15">
        <v>10</v>
      </c>
    </row>
    <row r="701" spans="1:10" ht="78" x14ac:dyDescent="0.2">
      <c r="A701" s="7" t="s">
        <v>1290</v>
      </c>
      <c r="B701" s="8" t="s">
        <v>157</v>
      </c>
      <c r="C701" s="8" t="s">
        <v>689</v>
      </c>
      <c r="D701" s="6" t="s">
        <v>687</v>
      </c>
      <c r="E701" s="7" t="s">
        <v>688</v>
      </c>
      <c r="F701" s="7" t="s">
        <v>160</v>
      </c>
      <c r="G701" s="8" t="s">
        <v>691</v>
      </c>
      <c r="H701" s="8" t="s">
        <v>692</v>
      </c>
      <c r="I701" s="7" t="s">
        <v>17</v>
      </c>
      <c r="J701" s="15">
        <v>10</v>
      </c>
    </row>
    <row r="702" spans="1:10" ht="65" x14ac:dyDescent="0.2">
      <c r="A702" s="7" t="s">
        <v>1290</v>
      </c>
      <c r="B702" s="8" t="s">
        <v>157</v>
      </c>
      <c r="C702" s="8" t="s">
        <v>689</v>
      </c>
      <c r="D702" s="6" t="s">
        <v>687</v>
      </c>
      <c r="E702" s="7" t="s">
        <v>688</v>
      </c>
      <c r="F702" s="7" t="s">
        <v>160</v>
      </c>
      <c r="G702" s="8" t="s">
        <v>171</v>
      </c>
      <c r="H702" s="8" t="s">
        <v>693</v>
      </c>
      <c r="I702" s="7" t="s">
        <v>25</v>
      </c>
      <c r="J702" s="15">
        <v>15</v>
      </c>
    </row>
    <row r="703" spans="1:10" ht="52" x14ac:dyDescent="0.2">
      <c r="A703" s="7" t="s">
        <v>1290</v>
      </c>
      <c r="B703" s="8" t="s">
        <v>157</v>
      </c>
      <c r="C703" s="8" t="s">
        <v>689</v>
      </c>
      <c r="D703" s="6" t="s">
        <v>687</v>
      </c>
      <c r="E703" s="7" t="s">
        <v>688</v>
      </c>
      <c r="F703" s="7" t="s">
        <v>160</v>
      </c>
      <c r="G703" s="8" t="s">
        <v>694</v>
      </c>
      <c r="H703" s="8" t="s">
        <v>695</v>
      </c>
      <c r="I703" s="7" t="s">
        <v>17</v>
      </c>
      <c r="J703" s="15">
        <v>25</v>
      </c>
    </row>
    <row r="704" spans="1:10" ht="65" x14ac:dyDescent="0.2">
      <c r="A704" s="7" t="s">
        <v>1290</v>
      </c>
      <c r="B704" s="8" t="s">
        <v>157</v>
      </c>
      <c r="C704" s="8" t="s">
        <v>689</v>
      </c>
      <c r="D704" s="6" t="s">
        <v>687</v>
      </c>
      <c r="E704" s="7" t="s">
        <v>688</v>
      </c>
      <c r="F704" s="7" t="s">
        <v>160</v>
      </c>
      <c r="G704" s="8" t="s">
        <v>696</v>
      </c>
      <c r="H704" s="8" t="s">
        <v>697</v>
      </c>
      <c r="I704" s="7" t="s">
        <v>17</v>
      </c>
      <c r="J704" s="15">
        <v>20</v>
      </c>
    </row>
    <row r="705" spans="1:10" ht="52" x14ac:dyDescent="0.2">
      <c r="A705" s="7" t="s">
        <v>1290</v>
      </c>
      <c r="B705" s="8" t="s">
        <v>157</v>
      </c>
      <c r="C705" s="8" t="s">
        <v>689</v>
      </c>
      <c r="D705" s="6" t="s">
        <v>687</v>
      </c>
      <c r="E705" s="7" t="s">
        <v>688</v>
      </c>
      <c r="F705" s="7" t="s">
        <v>160</v>
      </c>
      <c r="G705" s="8" t="s">
        <v>165</v>
      </c>
      <c r="H705" s="8" t="s">
        <v>698</v>
      </c>
      <c r="I705" s="7" t="s">
        <v>17</v>
      </c>
      <c r="J705" s="15">
        <v>20</v>
      </c>
    </row>
    <row r="706" spans="1:10" ht="52" x14ac:dyDescent="0.2">
      <c r="A706" s="7" t="s">
        <v>1290</v>
      </c>
      <c r="B706" s="8" t="s">
        <v>157</v>
      </c>
      <c r="C706" s="8" t="s">
        <v>689</v>
      </c>
      <c r="D706" s="6" t="s">
        <v>1399</v>
      </c>
      <c r="E706" s="7" t="s">
        <v>1400</v>
      </c>
      <c r="F706" s="7" t="s">
        <v>160</v>
      </c>
      <c r="G706" s="8" t="s">
        <v>165</v>
      </c>
      <c r="H706" s="8" t="s">
        <v>698</v>
      </c>
      <c r="I706" s="7" t="s">
        <v>17</v>
      </c>
      <c r="J706" s="15">
        <v>25</v>
      </c>
    </row>
    <row r="707" spans="1:10" ht="78" x14ac:dyDescent="0.2">
      <c r="A707" s="7" t="s">
        <v>1290</v>
      </c>
      <c r="B707" s="8" t="s">
        <v>157</v>
      </c>
      <c r="C707" s="8" t="s">
        <v>689</v>
      </c>
      <c r="D707" s="6" t="s">
        <v>1399</v>
      </c>
      <c r="E707" s="7" t="s">
        <v>1400</v>
      </c>
      <c r="F707" s="7" t="s">
        <v>160</v>
      </c>
      <c r="G707" s="8" t="s">
        <v>691</v>
      </c>
      <c r="H707" s="8" t="s">
        <v>692</v>
      </c>
      <c r="I707" s="7" t="s">
        <v>17</v>
      </c>
      <c r="J707" s="15">
        <v>10</v>
      </c>
    </row>
    <row r="708" spans="1:10" ht="52" x14ac:dyDescent="0.2">
      <c r="A708" s="7" t="s">
        <v>1290</v>
      </c>
      <c r="B708" s="8" t="s">
        <v>157</v>
      </c>
      <c r="C708" s="8" t="s">
        <v>689</v>
      </c>
      <c r="D708" s="6" t="s">
        <v>1399</v>
      </c>
      <c r="E708" s="7" t="s">
        <v>1400</v>
      </c>
      <c r="F708" s="7" t="s">
        <v>160</v>
      </c>
      <c r="G708" s="8" t="s">
        <v>167</v>
      </c>
      <c r="H708" s="8" t="s">
        <v>1401</v>
      </c>
      <c r="I708" s="7" t="s">
        <v>17</v>
      </c>
      <c r="J708" s="15">
        <v>25</v>
      </c>
    </row>
    <row r="709" spans="1:10" ht="65" x14ac:dyDescent="0.2">
      <c r="A709" s="7" t="s">
        <v>1290</v>
      </c>
      <c r="B709" s="8" t="s">
        <v>157</v>
      </c>
      <c r="C709" s="8" t="s">
        <v>689</v>
      </c>
      <c r="D709" s="6" t="s">
        <v>1399</v>
      </c>
      <c r="E709" s="7" t="s">
        <v>1400</v>
      </c>
      <c r="F709" s="7" t="s">
        <v>160</v>
      </c>
      <c r="G709" s="8" t="s">
        <v>1402</v>
      </c>
      <c r="H709" s="8" t="s">
        <v>1403</v>
      </c>
      <c r="I709" s="7" t="s">
        <v>17</v>
      </c>
      <c r="J709" s="15">
        <v>20</v>
      </c>
    </row>
    <row r="710" spans="1:10" ht="234" x14ac:dyDescent="0.2">
      <c r="A710" s="7" t="s">
        <v>1290</v>
      </c>
      <c r="B710" s="8" t="s">
        <v>157</v>
      </c>
      <c r="C710" s="8" t="s">
        <v>689</v>
      </c>
      <c r="D710" s="6" t="s">
        <v>1399</v>
      </c>
      <c r="E710" s="7" t="s">
        <v>1400</v>
      </c>
      <c r="F710" s="7" t="s">
        <v>160</v>
      </c>
      <c r="G710" s="8" t="s">
        <v>161</v>
      </c>
      <c r="H710" s="8" t="s">
        <v>690</v>
      </c>
      <c r="I710" s="7" t="s">
        <v>25</v>
      </c>
      <c r="J710" s="15">
        <v>10</v>
      </c>
    </row>
    <row r="711" spans="1:10" ht="104" x14ac:dyDescent="0.2">
      <c r="A711" s="7" t="s">
        <v>1290</v>
      </c>
      <c r="B711" s="8" t="s">
        <v>157</v>
      </c>
      <c r="C711" s="8" t="s">
        <v>689</v>
      </c>
      <c r="D711" s="6" t="s">
        <v>1399</v>
      </c>
      <c r="E711" s="7" t="s">
        <v>1400</v>
      </c>
      <c r="F711" s="7" t="s">
        <v>160</v>
      </c>
      <c r="G711" s="8" t="s">
        <v>171</v>
      </c>
      <c r="H711" s="8" t="s">
        <v>1404</v>
      </c>
      <c r="I711" s="7" t="s">
        <v>25</v>
      </c>
      <c r="J711" s="15">
        <v>10</v>
      </c>
    </row>
    <row r="712" spans="1:10" ht="52" x14ac:dyDescent="0.2">
      <c r="A712" s="7" t="s">
        <v>1290</v>
      </c>
      <c r="B712" s="8" t="s">
        <v>157</v>
      </c>
      <c r="C712" s="8" t="s">
        <v>1204</v>
      </c>
      <c r="D712" s="6" t="s">
        <v>1202</v>
      </c>
      <c r="E712" s="7" t="s">
        <v>1203</v>
      </c>
      <c r="F712" s="7" t="s">
        <v>160</v>
      </c>
      <c r="G712" s="8" t="s">
        <v>1205</v>
      </c>
      <c r="H712" s="8" t="s">
        <v>1206</v>
      </c>
      <c r="I712" s="7" t="s">
        <v>17</v>
      </c>
      <c r="J712" s="15">
        <v>20</v>
      </c>
    </row>
    <row r="713" spans="1:10" ht="91" x14ac:dyDescent="0.2">
      <c r="A713" s="7" t="s">
        <v>1290</v>
      </c>
      <c r="B713" s="8" t="s">
        <v>157</v>
      </c>
      <c r="C713" s="8" t="s">
        <v>1204</v>
      </c>
      <c r="D713" s="6" t="s">
        <v>1202</v>
      </c>
      <c r="E713" s="7" t="s">
        <v>1203</v>
      </c>
      <c r="F713" s="7" t="s">
        <v>160</v>
      </c>
      <c r="G713" s="8" t="s">
        <v>171</v>
      </c>
      <c r="H713" s="8" t="s">
        <v>1207</v>
      </c>
      <c r="I713" s="7" t="s">
        <v>25</v>
      </c>
      <c r="J713" s="15">
        <v>10</v>
      </c>
    </row>
    <row r="714" spans="1:10" ht="234" x14ac:dyDescent="0.2">
      <c r="A714" s="7" t="s">
        <v>1290</v>
      </c>
      <c r="B714" s="8" t="s">
        <v>157</v>
      </c>
      <c r="C714" s="8" t="s">
        <v>1204</v>
      </c>
      <c r="D714" s="6" t="s">
        <v>1202</v>
      </c>
      <c r="E714" s="7" t="s">
        <v>1203</v>
      </c>
      <c r="F714" s="7" t="s">
        <v>160</v>
      </c>
      <c r="G714" s="8" t="s">
        <v>161</v>
      </c>
      <c r="H714" s="8" t="s">
        <v>690</v>
      </c>
      <c r="I714" s="7" t="s">
        <v>25</v>
      </c>
      <c r="J714" s="15">
        <v>10</v>
      </c>
    </row>
    <row r="715" spans="1:10" ht="65" x14ac:dyDescent="0.2">
      <c r="A715" s="7" t="s">
        <v>1290</v>
      </c>
      <c r="B715" s="8" t="s">
        <v>157</v>
      </c>
      <c r="C715" s="8" t="s">
        <v>1204</v>
      </c>
      <c r="D715" s="6" t="s">
        <v>1202</v>
      </c>
      <c r="E715" s="7" t="s">
        <v>1203</v>
      </c>
      <c r="F715" s="7" t="s">
        <v>160</v>
      </c>
      <c r="G715" s="8" t="s">
        <v>1208</v>
      </c>
      <c r="H715" s="8" t="s">
        <v>1209</v>
      </c>
      <c r="I715" s="7" t="s">
        <v>25</v>
      </c>
      <c r="J715" s="15">
        <v>15</v>
      </c>
    </row>
    <row r="716" spans="1:10" ht="65" x14ac:dyDescent="0.2">
      <c r="A716" s="7" t="s">
        <v>1290</v>
      </c>
      <c r="B716" s="8" t="s">
        <v>157</v>
      </c>
      <c r="C716" s="8" t="s">
        <v>1204</v>
      </c>
      <c r="D716" s="6" t="s">
        <v>1202</v>
      </c>
      <c r="E716" s="7" t="s">
        <v>1203</v>
      </c>
      <c r="F716" s="7" t="s">
        <v>160</v>
      </c>
      <c r="G716" s="8" t="s">
        <v>1210</v>
      </c>
      <c r="H716" s="8" t="s">
        <v>1211</v>
      </c>
      <c r="I716" s="7" t="s">
        <v>17</v>
      </c>
      <c r="J716" s="15">
        <v>20</v>
      </c>
    </row>
    <row r="717" spans="1:10" ht="117" x14ac:dyDescent="0.2">
      <c r="A717" s="7" t="s">
        <v>1290</v>
      </c>
      <c r="B717" s="8" t="s">
        <v>157</v>
      </c>
      <c r="C717" s="8" t="s">
        <v>1204</v>
      </c>
      <c r="D717" s="6" t="s">
        <v>1202</v>
      </c>
      <c r="E717" s="7" t="s">
        <v>1203</v>
      </c>
      <c r="F717" s="7" t="s">
        <v>160</v>
      </c>
      <c r="G717" s="8" t="s">
        <v>1212</v>
      </c>
      <c r="H717" s="8" t="s">
        <v>1213</v>
      </c>
      <c r="I717" s="7" t="s">
        <v>17</v>
      </c>
      <c r="J717" s="15">
        <v>25</v>
      </c>
    </row>
    <row r="718" spans="1:10" ht="65" x14ac:dyDescent="0.2">
      <c r="A718" s="7" t="s">
        <v>1290</v>
      </c>
      <c r="B718" s="8" t="s">
        <v>157</v>
      </c>
      <c r="C718" s="8" t="s">
        <v>2824</v>
      </c>
      <c r="D718" s="6" t="s">
        <v>2822</v>
      </c>
      <c r="E718" s="7" t="s">
        <v>2823</v>
      </c>
      <c r="F718" s="7" t="s">
        <v>160</v>
      </c>
      <c r="G718" s="8" t="s">
        <v>171</v>
      </c>
      <c r="H718" s="8" t="s">
        <v>2825</v>
      </c>
      <c r="I718" s="7" t="s">
        <v>25</v>
      </c>
      <c r="J718" s="15">
        <v>10</v>
      </c>
    </row>
    <row r="719" spans="1:10" ht="52" x14ac:dyDescent="0.2">
      <c r="A719" s="7" t="s">
        <v>1290</v>
      </c>
      <c r="B719" s="8" t="s">
        <v>157</v>
      </c>
      <c r="C719" s="8" t="s">
        <v>2824</v>
      </c>
      <c r="D719" s="6" t="s">
        <v>2822</v>
      </c>
      <c r="E719" s="7" t="s">
        <v>2823</v>
      </c>
      <c r="F719" s="7" t="s">
        <v>160</v>
      </c>
      <c r="G719" s="8" t="s">
        <v>1205</v>
      </c>
      <c r="H719" s="8" t="s">
        <v>1206</v>
      </c>
      <c r="I719" s="7" t="s">
        <v>17</v>
      </c>
      <c r="J719" s="15">
        <v>20</v>
      </c>
    </row>
    <row r="720" spans="1:10" ht="65" x14ac:dyDescent="0.2">
      <c r="A720" s="7" t="s">
        <v>1290</v>
      </c>
      <c r="B720" s="8" t="s">
        <v>157</v>
      </c>
      <c r="C720" s="8" t="s">
        <v>2824</v>
      </c>
      <c r="D720" s="6" t="s">
        <v>2822</v>
      </c>
      <c r="E720" s="7" t="s">
        <v>2823</v>
      </c>
      <c r="F720" s="7" t="s">
        <v>160</v>
      </c>
      <c r="G720" s="8" t="s">
        <v>1760</v>
      </c>
      <c r="H720" s="8" t="s">
        <v>1209</v>
      </c>
      <c r="I720" s="7" t="s">
        <v>17</v>
      </c>
      <c r="J720" s="15">
        <v>20</v>
      </c>
    </row>
    <row r="721" spans="1:10" ht="221" x14ac:dyDescent="0.2">
      <c r="A721" s="7" t="s">
        <v>1290</v>
      </c>
      <c r="B721" s="8" t="s">
        <v>157</v>
      </c>
      <c r="C721" s="8" t="s">
        <v>2824</v>
      </c>
      <c r="D721" s="6" t="s">
        <v>2822</v>
      </c>
      <c r="E721" s="7" t="s">
        <v>2823</v>
      </c>
      <c r="F721" s="7" t="s">
        <v>160</v>
      </c>
      <c r="G721" s="8" t="s">
        <v>161</v>
      </c>
      <c r="H721" s="8" t="s">
        <v>2826</v>
      </c>
      <c r="I721" s="7" t="s">
        <v>25</v>
      </c>
      <c r="J721" s="15">
        <v>10</v>
      </c>
    </row>
    <row r="722" spans="1:10" ht="65" x14ac:dyDescent="0.2">
      <c r="A722" s="7" t="s">
        <v>1290</v>
      </c>
      <c r="B722" s="8" t="s">
        <v>157</v>
      </c>
      <c r="C722" s="8" t="s">
        <v>2824</v>
      </c>
      <c r="D722" s="6" t="s">
        <v>2822</v>
      </c>
      <c r="E722" s="7" t="s">
        <v>2823</v>
      </c>
      <c r="F722" s="7" t="s">
        <v>160</v>
      </c>
      <c r="G722" s="8" t="s">
        <v>1210</v>
      </c>
      <c r="H722" s="8" t="s">
        <v>1211</v>
      </c>
      <c r="I722" s="7" t="s">
        <v>17</v>
      </c>
      <c r="J722" s="15">
        <v>20</v>
      </c>
    </row>
    <row r="723" spans="1:10" ht="117" x14ac:dyDescent="0.2">
      <c r="A723" s="7" t="s">
        <v>1290</v>
      </c>
      <c r="B723" s="8" t="s">
        <v>157</v>
      </c>
      <c r="C723" s="8" t="s">
        <v>2824</v>
      </c>
      <c r="D723" s="6" t="s">
        <v>2822</v>
      </c>
      <c r="E723" s="7" t="s">
        <v>2823</v>
      </c>
      <c r="F723" s="7" t="s">
        <v>160</v>
      </c>
      <c r="G723" s="8" t="s">
        <v>1212</v>
      </c>
      <c r="H723" s="8" t="s">
        <v>2827</v>
      </c>
      <c r="I723" s="7" t="s">
        <v>25</v>
      </c>
      <c r="J723" s="15">
        <v>20</v>
      </c>
    </row>
    <row r="724" spans="1:10" ht="368" x14ac:dyDescent="0.2">
      <c r="A724" s="7" t="s">
        <v>1290</v>
      </c>
      <c r="B724" s="8" t="s">
        <v>157</v>
      </c>
      <c r="C724" s="8" t="s">
        <v>158</v>
      </c>
      <c r="D724" s="6" t="s">
        <v>155</v>
      </c>
      <c r="E724" s="7" t="s">
        <v>156</v>
      </c>
      <c r="F724" s="7" t="s">
        <v>160</v>
      </c>
      <c r="G724" s="8" t="s">
        <v>161</v>
      </c>
      <c r="H724" s="8" t="s">
        <v>162</v>
      </c>
      <c r="I724" s="7" t="s">
        <v>25</v>
      </c>
      <c r="J724" s="15">
        <v>10</v>
      </c>
    </row>
    <row r="725" spans="1:10" ht="65" x14ac:dyDescent="0.2">
      <c r="A725" s="7" t="s">
        <v>1290</v>
      </c>
      <c r="B725" s="8" t="s">
        <v>157</v>
      </c>
      <c r="C725" s="8" t="s">
        <v>158</v>
      </c>
      <c r="D725" s="6" t="s">
        <v>155</v>
      </c>
      <c r="E725" s="7" t="s">
        <v>156</v>
      </c>
      <c r="F725" s="7" t="s">
        <v>160</v>
      </c>
      <c r="G725" s="8" t="s">
        <v>163</v>
      </c>
      <c r="H725" s="8" t="s">
        <v>164</v>
      </c>
      <c r="I725" s="7" t="s">
        <v>17</v>
      </c>
      <c r="J725" s="15">
        <v>15</v>
      </c>
    </row>
    <row r="726" spans="1:10" ht="52" x14ac:dyDescent="0.2">
      <c r="A726" s="7" t="s">
        <v>1290</v>
      </c>
      <c r="B726" s="8" t="s">
        <v>157</v>
      </c>
      <c r="C726" s="8" t="s">
        <v>158</v>
      </c>
      <c r="D726" s="6" t="s">
        <v>155</v>
      </c>
      <c r="E726" s="7" t="s">
        <v>156</v>
      </c>
      <c r="F726" s="7" t="s">
        <v>160</v>
      </c>
      <c r="G726" s="8" t="s">
        <v>165</v>
      </c>
      <c r="H726" s="8" t="s">
        <v>166</v>
      </c>
      <c r="I726" s="7" t="s">
        <v>17</v>
      </c>
      <c r="J726" s="15">
        <v>25</v>
      </c>
    </row>
    <row r="727" spans="1:10" ht="52" x14ac:dyDescent="0.2">
      <c r="A727" s="7" t="s">
        <v>1290</v>
      </c>
      <c r="B727" s="8" t="s">
        <v>157</v>
      </c>
      <c r="C727" s="8" t="s">
        <v>158</v>
      </c>
      <c r="D727" s="6" t="s">
        <v>155</v>
      </c>
      <c r="E727" s="7" t="s">
        <v>156</v>
      </c>
      <c r="F727" s="7" t="s">
        <v>160</v>
      </c>
      <c r="G727" s="8" t="s">
        <v>167</v>
      </c>
      <c r="H727" s="8" t="s">
        <v>168</v>
      </c>
      <c r="I727" s="7" t="s">
        <v>17</v>
      </c>
      <c r="J727" s="15">
        <v>25</v>
      </c>
    </row>
    <row r="728" spans="1:10" ht="52" x14ac:dyDescent="0.2">
      <c r="A728" s="7" t="s">
        <v>1290</v>
      </c>
      <c r="B728" s="8" t="s">
        <v>157</v>
      </c>
      <c r="C728" s="8" t="s">
        <v>158</v>
      </c>
      <c r="D728" s="6" t="s">
        <v>155</v>
      </c>
      <c r="E728" s="7" t="s">
        <v>156</v>
      </c>
      <c r="F728" s="7" t="s">
        <v>160</v>
      </c>
      <c r="G728" s="8" t="s">
        <v>169</v>
      </c>
      <c r="H728" s="8" t="s">
        <v>170</v>
      </c>
      <c r="I728" s="7" t="s">
        <v>17</v>
      </c>
      <c r="J728" s="15">
        <v>15</v>
      </c>
    </row>
    <row r="729" spans="1:10" ht="78" x14ac:dyDescent="0.2">
      <c r="A729" s="7" t="s">
        <v>1290</v>
      </c>
      <c r="B729" s="8" t="s">
        <v>157</v>
      </c>
      <c r="C729" s="8" t="s">
        <v>158</v>
      </c>
      <c r="D729" s="6" t="s">
        <v>155</v>
      </c>
      <c r="E729" s="7" t="s">
        <v>156</v>
      </c>
      <c r="F729" s="7" t="s">
        <v>160</v>
      </c>
      <c r="G729" s="8" t="s">
        <v>171</v>
      </c>
      <c r="H729" s="8" t="s">
        <v>172</v>
      </c>
      <c r="I729" s="7" t="s">
        <v>25</v>
      </c>
      <c r="J729" s="15">
        <v>10</v>
      </c>
    </row>
    <row r="730" spans="1:10" ht="65" x14ac:dyDescent="0.2">
      <c r="A730" s="7" t="s">
        <v>1290</v>
      </c>
      <c r="B730" s="8" t="s">
        <v>157</v>
      </c>
      <c r="C730" s="8" t="s">
        <v>1759</v>
      </c>
      <c r="D730" s="6" t="s">
        <v>1757</v>
      </c>
      <c r="E730" s="7" t="s">
        <v>1758</v>
      </c>
      <c r="F730" s="7" t="s">
        <v>160</v>
      </c>
      <c r="G730" s="8" t="s">
        <v>1760</v>
      </c>
      <c r="H730" s="8" t="s">
        <v>1209</v>
      </c>
      <c r="I730" s="7" t="s">
        <v>17</v>
      </c>
      <c r="J730" s="15">
        <v>20</v>
      </c>
    </row>
    <row r="731" spans="1:10" ht="65" x14ac:dyDescent="0.2">
      <c r="A731" s="7" t="s">
        <v>1290</v>
      </c>
      <c r="B731" s="8" t="s">
        <v>157</v>
      </c>
      <c r="C731" s="8" t="s">
        <v>1759</v>
      </c>
      <c r="D731" s="6" t="s">
        <v>1757</v>
      </c>
      <c r="E731" s="7" t="s">
        <v>1758</v>
      </c>
      <c r="F731" s="7" t="s">
        <v>160</v>
      </c>
      <c r="G731" s="8" t="s">
        <v>1210</v>
      </c>
      <c r="H731" s="8" t="s">
        <v>1211</v>
      </c>
      <c r="I731" s="7" t="s">
        <v>17</v>
      </c>
      <c r="J731" s="15">
        <v>20</v>
      </c>
    </row>
    <row r="732" spans="1:10" ht="39" x14ac:dyDescent="0.2">
      <c r="A732" s="7" t="s">
        <v>1290</v>
      </c>
      <c r="B732" s="8" t="s">
        <v>157</v>
      </c>
      <c r="C732" s="8" t="s">
        <v>1759</v>
      </c>
      <c r="D732" s="6" t="s">
        <v>1757</v>
      </c>
      <c r="E732" s="7" t="s">
        <v>1758</v>
      </c>
      <c r="F732" s="7" t="s">
        <v>160</v>
      </c>
      <c r="G732" s="8" t="s">
        <v>171</v>
      </c>
      <c r="H732" s="8" t="s">
        <v>1761</v>
      </c>
      <c r="I732" s="7" t="s">
        <v>25</v>
      </c>
      <c r="J732" s="15">
        <v>10</v>
      </c>
    </row>
    <row r="733" spans="1:10" ht="234" x14ac:dyDescent="0.2">
      <c r="A733" s="7" t="s">
        <v>1290</v>
      </c>
      <c r="B733" s="8" t="s">
        <v>157</v>
      </c>
      <c r="C733" s="8" t="s">
        <v>1759</v>
      </c>
      <c r="D733" s="6" t="s">
        <v>1757</v>
      </c>
      <c r="E733" s="7" t="s">
        <v>1758</v>
      </c>
      <c r="F733" s="7" t="s">
        <v>160</v>
      </c>
      <c r="G733" s="8" t="s">
        <v>161</v>
      </c>
      <c r="H733" s="8" t="s">
        <v>690</v>
      </c>
      <c r="I733" s="7" t="s">
        <v>25</v>
      </c>
      <c r="J733" s="15">
        <v>10</v>
      </c>
    </row>
    <row r="734" spans="1:10" ht="52" x14ac:dyDescent="0.2">
      <c r="A734" s="7" t="s">
        <v>1290</v>
      </c>
      <c r="B734" s="8" t="s">
        <v>157</v>
      </c>
      <c r="C734" s="8" t="s">
        <v>1759</v>
      </c>
      <c r="D734" s="6" t="s">
        <v>1757</v>
      </c>
      <c r="E734" s="7" t="s">
        <v>1758</v>
      </c>
      <c r="F734" s="7" t="s">
        <v>160</v>
      </c>
      <c r="G734" s="8" t="s">
        <v>1762</v>
      </c>
      <c r="H734" s="8" t="s">
        <v>1763</v>
      </c>
      <c r="I734" s="7" t="s">
        <v>17</v>
      </c>
      <c r="J734" s="15">
        <v>15</v>
      </c>
    </row>
    <row r="735" spans="1:10" ht="117" x14ac:dyDescent="0.2">
      <c r="A735" s="7" t="s">
        <v>1290</v>
      </c>
      <c r="B735" s="8" t="s">
        <v>157</v>
      </c>
      <c r="C735" s="8" t="s">
        <v>1759</v>
      </c>
      <c r="D735" s="6" t="s">
        <v>1757</v>
      </c>
      <c r="E735" s="7" t="s">
        <v>1758</v>
      </c>
      <c r="F735" s="7" t="s">
        <v>160</v>
      </c>
      <c r="G735" s="8" t="s">
        <v>1212</v>
      </c>
      <c r="H735" s="8" t="s">
        <v>1213</v>
      </c>
      <c r="I735" s="7" t="s">
        <v>25</v>
      </c>
      <c r="J735" s="15">
        <v>25</v>
      </c>
    </row>
    <row r="736" spans="1:10" ht="234" x14ac:dyDescent="0.2">
      <c r="A736" s="7" t="s">
        <v>1290</v>
      </c>
      <c r="B736" s="8" t="s">
        <v>157</v>
      </c>
      <c r="C736" s="8" t="s">
        <v>2887</v>
      </c>
      <c r="D736" s="6" t="s">
        <v>159</v>
      </c>
      <c r="E736" s="7" t="s">
        <v>160</v>
      </c>
      <c r="F736" s="7" t="s">
        <v>2467</v>
      </c>
      <c r="G736" s="8" t="s">
        <v>161</v>
      </c>
      <c r="H736" s="8" t="s">
        <v>2888</v>
      </c>
      <c r="I736" s="7" t="s">
        <v>25</v>
      </c>
      <c r="J736" s="15">
        <v>10</v>
      </c>
    </row>
    <row r="737" spans="1:10" ht="52" x14ac:dyDescent="0.2">
      <c r="A737" s="7" t="s">
        <v>1290</v>
      </c>
      <c r="B737" s="8" t="s">
        <v>157</v>
      </c>
      <c r="C737" s="8" t="s">
        <v>2887</v>
      </c>
      <c r="D737" s="6" t="s">
        <v>159</v>
      </c>
      <c r="E737" s="7" t="s">
        <v>160</v>
      </c>
      <c r="F737" s="7" t="s">
        <v>2467</v>
      </c>
      <c r="G737" s="8" t="s">
        <v>1762</v>
      </c>
      <c r="H737" s="8" t="s">
        <v>1763</v>
      </c>
      <c r="I737" s="7" t="s">
        <v>25</v>
      </c>
      <c r="J737" s="15">
        <v>20</v>
      </c>
    </row>
    <row r="738" spans="1:10" ht="65" x14ac:dyDescent="0.2">
      <c r="A738" s="7" t="s">
        <v>1290</v>
      </c>
      <c r="B738" s="8" t="s">
        <v>157</v>
      </c>
      <c r="C738" s="8" t="s">
        <v>2887</v>
      </c>
      <c r="D738" s="6" t="s">
        <v>159</v>
      </c>
      <c r="E738" s="7" t="s">
        <v>160</v>
      </c>
      <c r="F738" s="7" t="s">
        <v>2467</v>
      </c>
      <c r="G738" s="8" t="s">
        <v>1208</v>
      </c>
      <c r="H738" s="8" t="s">
        <v>2889</v>
      </c>
      <c r="I738" s="7" t="s">
        <v>17</v>
      </c>
      <c r="J738" s="15">
        <v>20</v>
      </c>
    </row>
    <row r="739" spans="1:10" ht="117" x14ac:dyDescent="0.2">
      <c r="A739" s="7" t="s">
        <v>1290</v>
      </c>
      <c r="B739" s="8" t="s">
        <v>157</v>
      </c>
      <c r="C739" s="8" t="s">
        <v>2887</v>
      </c>
      <c r="D739" s="6" t="s">
        <v>159</v>
      </c>
      <c r="E739" s="7" t="s">
        <v>160</v>
      </c>
      <c r="F739" s="7" t="s">
        <v>2467</v>
      </c>
      <c r="G739" s="8" t="s">
        <v>1212</v>
      </c>
      <c r="H739" s="8" t="s">
        <v>2827</v>
      </c>
      <c r="I739" s="7" t="s">
        <v>17</v>
      </c>
      <c r="J739" s="15">
        <v>20</v>
      </c>
    </row>
    <row r="740" spans="1:10" ht="120.5" customHeight="1" x14ac:dyDescent="0.2">
      <c r="A740" s="7" t="s">
        <v>1290</v>
      </c>
      <c r="B740" s="8" t="s">
        <v>157</v>
      </c>
      <c r="C740" s="8" t="s">
        <v>2887</v>
      </c>
      <c r="D740" s="6" t="s">
        <v>159</v>
      </c>
      <c r="E740" s="7" t="s">
        <v>160</v>
      </c>
      <c r="F740" s="7" t="s">
        <v>2467</v>
      </c>
      <c r="G740" s="8" t="s">
        <v>171</v>
      </c>
      <c r="H740" s="8" t="s">
        <v>2890</v>
      </c>
      <c r="I740" s="7" t="s">
        <v>25</v>
      </c>
      <c r="J740" s="15">
        <v>10</v>
      </c>
    </row>
    <row r="741" spans="1:10" ht="52" x14ac:dyDescent="0.2">
      <c r="A741" s="7" t="s">
        <v>1290</v>
      </c>
      <c r="B741" s="8" t="s">
        <v>157</v>
      </c>
      <c r="C741" s="8" t="s">
        <v>2887</v>
      </c>
      <c r="D741" s="6" t="s">
        <v>159</v>
      </c>
      <c r="E741" s="7" t="s">
        <v>160</v>
      </c>
      <c r="F741" s="7" t="s">
        <v>2467</v>
      </c>
      <c r="G741" s="8" t="s">
        <v>2891</v>
      </c>
      <c r="H741" s="8" t="s">
        <v>698</v>
      </c>
      <c r="I741" s="7" t="s">
        <v>25</v>
      </c>
      <c r="J741" s="15">
        <v>20</v>
      </c>
    </row>
    <row r="742" spans="1:10" ht="91" x14ac:dyDescent="0.2">
      <c r="A742" s="7" t="s">
        <v>548</v>
      </c>
      <c r="B742" s="8" t="s">
        <v>127</v>
      </c>
      <c r="C742" s="8" t="s">
        <v>128</v>
      </c>
      <c r="D742" s="6" t="s">
        <v>125</v>
      </c>
      <c r="E742" s="7" t="s">
        <v>126</v>
      </c>
      <c r="F742" s="7" t="s">
        <v>130</v>
      </c>
      <c r="G742" s="8" t="s">
        <v>131</v>
      </c>
      <c r="H742" s="8" t="s">
        <v>3416</v>
      </c>
      <c r="I742" s="7" t="s">
        <v>25</v>
      </c>
      <c r="J742" s="13">
        <v>10</v>
      </c>
    </row>
    <row r="743" spans="1:10" ht="284" x14ac:dyDescent="0.2">
      <c r="A743" s="7" t="s">
        <v>548</v>
      </c>
      <c r="B743" s="8" t="s">
        <v>127</v>
      </c>
      <c r="C743" s="8" t="s">
        <v>128</v>
      </c>
      <c r="D743" s="6" t="s">
        <v>125</v>
      </c>
      <c r="E743" s="7" t="s">
        <v>126</v>
      </c>
      <c r="F743" s="7" t="s">
        <v>130</v>
      </c>
      <c r="G743" s="8" t="s">
        <v>132</v>
      </c>
      <c r="H743" s="8" t="s">
        <v>3417</v>
      </c>
      <c r="I743" s="7" t="s">
        <v>25</v>
      </c>
      <c r="J743" s="13">
        <v>25</v>
      </c>
    </row>
    <row r="744" spans="1:10" ht="117" x14ac:dyDescent="0.2">
      <c r="A744" s="7" t="s">
        <v>548</v>
      </c>
      <c r="B744" s="8" t="s">
        <v>127</v>
      </c>
      <c r="C744" s="8" t="s">
        <v>128</v>
      </c>
      <c r="D744" s="6" t="s">
        <v>125</v>
      </c>
      <c r="E744" s="7" t="s">
        <v>126</v>
      </c>
      <c r="F744" s="7" t="s">
        <v>130</v>
      </c>
      <c r="G744" s="8" t="s">
        <v>133</v>
      </c>
      <c r="H744" s="8" t="s">
        <v>3418</v>
      </c>
      <c r="I744" s="7" t="s">
        <v>25</v>
      </c>
      <c r="J744" s="13">
        <v>15</v>
      </c>
    </row>
    <row r="745" spans="1:10" ht="221" x14ac:dyDescent="0.2">
      <c r="A745" s="7" t="s">
        <v>548</v>
      </c>
      <c r="B745" s="8" t="s">
        <v>127</v>
      </c>
      <c r="C745" s="8" t="s">
        <v>128</v>
      </c>
      <c r="D745" s="6" t="s">
        <v>125</v>
      </c>
      <c r="E745" s="7" t="s">
        <v>126</v>
      </c>
      <c r="F745" s="7" t="s">
        <v>130</v>
      </c>
      <c r="G745" s="8" t="s">
        <v>134</v>
      </c>
      <c r="H745" s="8" t="s">
        <v>3419</v>
      </c>
      <c r="I745" s="7" t="s">
        <v>25</v>
      </c>
      <c r="J745" s="13">
        <v>25</v>
      </c>
    </row>
    <row r="746" spans="1:10" ht="117" x14ac:dyDescent="0.2">
      <c r="A746" s="7" t="s">
        <v>548</v>
      </c>
      <c r="B746" s="8" t="s">
        <v>127</v>
      </c>
      <c r="C746" s="8" t="s">
        <v>128</v>
      </c>
      <c r="D746" s="6" t="s">
        <v>125</v>
      </c>
      <c r="E746" s="7" t="s">
        <v>126</v>
      </c>
      <c r="F746" s="7" t="s">
        <v>130</v>
      </c>
      <c r="G746" s="8" t="s">
        <v>135</v>
      </c>
      <c r="H746" s="8" t="s">
        <v>3420</v>
      </c>
      <c r="I746" s="7" t="s">
        <v>25</v>
      </c>
      <c r="J746" s="13">
        <v>10</v>
      </c>
    </row>
    <row r="747" spans="1:10" ht="143" x14ac:dyDescent="0.2">
      <c r="A747" s="7" t="s">
        <v>548</v>
      </c>
      <c r="B747" s="8" t="s">
        <v>127</v>
      </c>
      <c r="C747" s="8" t="s">
        <v>128</v>
      </c>
      <c r="D747" s="6" t="s">
        <v>125</v>
      </c>
      <c r="E747" s="7" t="s">
        <v>126</v>
      </c>
      <c r="F747" s="7" t="s">
        <v>130</v>
      </c>
      <c r="G747" s="8" t="s">
        <v>136</v>
      </c>
      <c r="H747" s="8" t="s">
        <v>3421</v>
      </c>
      <c r="I747" s="7" t="s">
        <v>25</v>
      </c>
      <c r="J747" s="13">
        <v>15</v>
      </c>
    </row>
    <row r="748" spans="1:10" ht="234" x14ac:dyDescent="0.2">
      <c r="A748" s="7" t="s">
        <v>548</v>
      </c>
      <c r="B748" s="8" t="s">
        <v>127</v>
      </c>
      <c r="C748" s="8" t="s">
        <v>1495</v>
      </c>
      <c r="D748" s="6" t="s">
        <v>1493</v>
      </c>
      <c r="E748" s="7" t="s">
        <v>1494</v>
      </c>
      <c r="F748" s="7" t="s">
        <v>492</v>
      </c>
      <c r="G748" s="8" t="s">
        <v>134</v>
      </c>
      <c r="H748" s="8" t="s">
        <v>1496</v>
      </c>
      <c r="I748" s="7" t="s">
        <v>25</v>
      </c>
      <c r="J748" s="15">
        <v>20</v>
      </c>
    </row>
    <row r="749" spans="1:10" ht="260" x14ac:dyDescent="0.2">
      <c r="A749" s="7" t="s">
        <v>548</v>
      </c>
      <c r="B749" s="8" t="s">
        <v>127</v>
      </c>
      <c r="C749" s="8" t="s">
        <v>1495</v>
      </c>
      <c r="D749" s="6" t="s">
        <v>1493</v>
      </c>
      <c r="E749" s="7" t="s">
        <v>1494</v>
      </c>
      <c r="F749" s="7" t="s">
        <v>492</v>
      </c>
      <c r="G749" s="8" t="s">
        <v>132</v>
      </c>
      <c r="H749" s="8" t="s">
        <v>501</v>
      </c>
      <c r="I749" s="7" t="s">
        <v>25</v>
      </c>
      <c r="J749" s="15">
        <v>25</v>
      </c>
    </row>
    <row r="750" spans="1:10" ht="39" x14ac:dyDescent="0.2">
      <c r="A750" s="7" t="s">
        <v>548</v>
      </c>
      <c r="B750" s="8" t="s">
        <v>127</v>
      </c>
      <c r="C750" s="8" t="s">
        <v>1495</v>
      </c>
      <c r="D750" s="6" t="s">
        <v>1493</v>
      </c>
      <c r="E750" s="7" t="s">
        <v>1494</v>
      </c>
      <c r="F750" s="7" t="s">
        <v>492</v>
      </c>
      <c r="G750" s="8" t="s">
        <v>497</v>
      </c>
      <c r="H750" s="8" t="s">
        <v>1497</v>
      </c>
      <c r="I750" s="7" t="s">
        <v>17</v>
      </c>
      <c r="J750" s="15">
        <v>10</v>
      </c>
    </row>
    <row r="751" spans="1:10" ht="156" x14ac:dyDescent="0.2">
      <c r="A751" s="7" t="s">
        <v>548</v>
      </c>
      <c r="B751" s="8" t="s">
        <v>127</v>
      </c>
      <c r="C751" s="8" t="s">
        <v>1495</v>
      </c>
      <c r="D751" s="6" t="s">
        <v>1493</v>
      </c>
      <c r="E751" s="7" t="s">
        <v>1494</v>
      </c>
      <c r="F751" s="7" t="s">
        <v>492</v>
      </c>
      <c r="G751" s="8" t="s">
        <v>133</v>
      </c>
      <c r="H751" s="8" t="s">
        <v>1498</v>
      </c>
      <c r="I751" s="7" t="s">
        <v>25</v>
      </c>
      <c r="J751" s="15">
        <v>15</v>
      </c>
    </row>
    <row r="752" spans="1:10" ht="130" x14ac:dyDescent="0.2">
      <c r="A752" s="7" t="s">
        <v>548</v>
      </c>
      <c r="B752" s="8" t="s">
        <v>127</v>
      </c>
      <c r="C752" s="8" t="s">
        <v>1495</v>
      </c>
      <c r="D752" s="6" t="s">
        <v>1493</v>
      </c>
      <c r="E752" s="7" t="s">
        <v>1494</v>
      </c>
      <c r="F752" s="7" t="s">
        <v>492</v>
      </c>
      <c r="G752" s="8" t="s">
        <v>1499</v>
      </c>
      <c r="H752" s="8" t="s">
        <v>1500</v>
      </c>
      <c r="I752" s="7" t="s">
        <v>25</v>
      </c>
      <c r="J752" s="15">
        <v>5</v>
      </c>
    </row>
    <row r="753" spans="1:10" ht="156" x14ac:dyDescent="0.2">
      <c r="A753" s="7" t="s">
        <v>548</v>
      </c>
      <c r="B753" s="8" t="s">
        <v>127</v>
      </c>
      <c r="C753" s="8" t="s">
        <v>1495</v>
      </c>
      <c r="D753" s="6" t="s">
        <v>1493</v>
      </c>
      <c r="E753" s="7" t="s">
        <v>1494</v>
      </c>
      <c r="F753" s="7" t="s">
        <v>492</v>
      </c>
      <c r="G753" s="8" t="s">
        <v>135</v>
      </c>
      <c r="H753" s="8" t="s">
        <v>1154</v>
      </c>
      <c r="I753" s="7" t="s">
        <v>25</v>
      </c>
      <c r="J753" s="15">
        <v>10</v>
      </c>
    </row>
    <row r="754" spans="1:10" ht="182" x14ac:dyDescent="0.2">
      <c r="A754" s="7" t="s">
        <v>548</v>
      </c>
      <c r="B754" s="8" t="s">
        <v>127</v>
      </c>
      <c r="C754" s="8" t="s">
        <v>1495</v>
      </c>
      <c r="D754" s="6" t="s">
        <v>1493</v>
      </c>
      <c r="E754" s="7" t="s">
        <v>1494</v>
      </c>
      <c r="F754" s="7" t="s">
        <v>492</v>
      </c>
      <c r="G754" s="8" t="s">
        <v>136</v>
      </c>
      <c r="H754" s="8" t="s">
        <v>495</v>
      </c>
      <c r="I754" s="7" t="s">
        <v>25</v>
      </c>
      <c r="J754" s="15">
        <v>15</v>
      </c>
    </row>
    <row r="755" spans="1:10" ht="130" x14ac:dyDescent="0.2">
      <c r="A755" s="7" t="s">
        <v>548</v>
      </c>
      <c r="B755" s="8" t="s">
        <v>127</v>
      </c>
      <c r="C755" s="8" t="s">
        <v>1495</v>
      </c>
      <c r="D755" s="6" t="s">
        <v>2420</v>
      </c>
      <c r="E755" s="7" t="s">
        <v>2421</v>
      </c>
      <c r="F755" s="7" t="s">
        <v>492</v>
      </c>
      <c r="G755" s="8" t="s">
        <v>2422</v>
      </c>
      <c r="H755" s="8" t="s">
        <v>2423</v>
      </c>
      <c r="I755" s="7" t="s">
        <v>25</v>
      </c>
      <c r="J755" s="15">
        <v>10</v>
      </c>
    </row>
    <row r="756" spans="1:10" ht="91" x14ac:dyDescent="0.2">
      <c r="A756" s="7" t="s">
        <v>548</v>
      </c>
      <c r="B756" s="8" t="s">
        <v>127</v>
      </c>
      <c r="C756" s="8" t="s">
        <v>1495</v>
      </c>
      <c r="D756" s="6" t="s">
        <v>2420</v>
      </c>
      <c r="E756" s="7" t="s">
        <v>2421</v>
      </c>
      <c r="F756" s="7" t="s">
        <v>492</v>
      </c>
      <c r="G756" s="8" t="s">
        <v>2424</v>
      </c>
      <c r="H756" s="8" t="s">
        <v>2425</v>
      </c>
      <c r="I756" s="7" t="s">
        <v>25</v>
      </c>
      <c r="J756" s="15">
        <v>5</v>
      </c>
    </row>
    <row r="757" spans="1:10" ht="26" x14ac:dyDescent="0.2">
      <c r="A757" s="7" t="s">
        <v>548</v>
      </c>
      <c r="B757" s="8" t="s">
        <v>127</v>
      </c>
      <c r="C757" s="8" t="s">
        <v>1495</v>
      </c>
      <c r="D757" s="6" t="s">
        <v>2420</v>
      </c>
      <c r="E757" s="7" t="s">
        <v>2421</v>
      </c>
      <c r="F757" s="7" t="s">
        <v>492</v>
      </c>
      <c r="G757" s="8" t="s">
        <v>497</v>
      </c>
      <c r="H757" s="8" t="s">
        <v>2426</v>
      </c>
      <c r="I757" s="7" t="s">
        <v>17</v>
      </c>
      <c r="J757" s="15">
        <v>10</v>
      </c>
    </row>
    <row r="758" spans="1:10" ht="208" x14ac:dyDescent="0.2">
      <c r="A758" s="7" t="s">
        <v>548</v>
      </c>
      <c r="B758" s="8" t="s">
        <v>127</v>
      </c>
      <c r="C758" s="8" t="s">
        <v>1495</v>
      </c>
      <c r="D758" s="6" t="s">
        <v>2420</v>
      </c>
      <c r="E758" s="7" t="s">
        <v>2421</v>
      </c>
      <c r="F758" s="7" t="s">
        <v>492</v>
      </c>
      <c r="G758" s="8" t="s">
        <v>2427</v>
      </c>
      <c r="H758" s="8" t="s">
        <v>2428</v>
      </c>
      <c r="I758" s="7" t="s">
        <v>25</v>
      </c>
      <c r="J758" s="15">
        <v>20</v>
      </c>
    </row>
    <row r="759" spans="1:10" ht="156" x14ac:dyDescent="0.2">
      <c r="A759" s="7" t="s">
        <v>548</v>
      </c>
      <c r="B759" s="8" t="s">
        <v>127</v>
      </c>
      <c r="C759" s="8" t="s">
        <v>1495</v>
      </c>
      <c r="D759" s="6" t="s">
        <v>2420</v>
      </c>
      <c r="E759" s="7" t="s">
        <v>2421</v>
      </c>
      <c r="F759" s="7" t="s">
        <v>492</v>
      </c>
      <c r="G759" s="8" t="s">
        <v>2429</v>
      </c>
      <c r="H759" s="8" t="s">
        <v>2430</v>
      </c>
      <c r="I759" s="7" t="s">
        <v>25</v>
      </c>
      <c r="J759" s="15">
        <v>15</v>
      </c>
    </row>
    <row r="760" spans="1:10" ht="127.75" customHeight="1" x14ac:dyDescent="0.2">
      <c r="A760" s="7" t="s">
        <v>548</v>
      </c>
      <c r="B760" s="8" t="s">
        <v>127</v>
      </c>
      <c r="C760" s="8" t="s">
        <v>1495</v>
      </c>
      <c r="D760" s="6" t="s">
        <v>2420</v>
      </c>
      <c r="E760" s="7" t="s">
        <v>2421</v>
      </c>
      <c r="F760" s="7" t="s">
        <v>492</v>
      </c>
      <c r="G760" s="8" t="s">
        <v>2431</v>
      </c>
      <c r="H760" s="8" t="s">
        <v>1155</v>
      </c>
      <c r="I760" s="7" t="s">
        <v>25</v>
      </c>
      <c r="J760" s="15">
        <v>25</v>
      </c>
    </row>
    <row r="761" spans="1:10" ht="113.5" customHeight="1" x14ac:dyDescent="0.2">
      <c r="A761" s="7" t="s">
        <v>548</v>
      </c>
      <c r="B761" s="8" t="s">
        <v>127</v>
      </c>
      <c r="C761" s="8" t="s">
        <v>1495</v>
      </c>
      <c r="D761" s="6" t="s">
        <v>2420</v>
      </c>
      <c r="E761" s="7" t="s">
        <v>2421</v>
      </c>
      <c r="F761" s="7" t="s">
        <v>492</v>
      </c>
      <c r="G761" s="8" t="s">
        <v>2432</v>
      </c>
      <c r="H761" s="8" t="s">
        <v>2433</v>
      </c>
      <c r="I761" s="7" t="s">
        <v>25</v>
      </c>
      <c r="J761" s="15">
        <v>15</v>
      </c>
    </row>
    <row r="762" spans="1:10" ht="234" x14ac:dyDescent="0.2">
      <c r="A762" s="7" t="s">
        <v>548</v>
      </c>
      <c r="B762" s="8" t="s">
        <v>127</v>
      </c>
      <c r="C762" s="8" t="s">
        <v>1149</v>
      </c>
      <c r="D762" s="6" t="s">
        <v>1147</v>
      </c>
      <c r="E762" s="7" t="s">
        <v>1148</v>
      </c>
      <c r="F762" s="7" t="s">
        <v>492</v>
      </c>
      <c r="G762" s="8" t="s">
        <v>1150</v>
      </c>
      <c r="H762" s="8" t="s">
        <v>1151</v>
      </c>
      <c r="I762" s="7" t="s">
        <v>25</v>
      </c>
      <c r="J762" s="15">
        <v>20</v>
      </c>
    </row>
    <row r="763" spans="1:10" ht="118.75" customHeight="1" x14ac:dyDescent="0.2">
      <c r="A763" s="7" t="s">
        <v>548</v>
      </c>
      <c r="B763" s="8" t="s">
        <v>127</v>
      </c>
      <c r="C763" s="8" t="s">
        <v>1149</v>
      </c>
      <c r="D763" s="6" t="s">
        <v>1147</v>
      </c>
      <c r="E763" s="7" t="s">
        <v>1148</v>
      </c>
      <c r="F763" s="7" t="s">
        <v>492</v>
      </c>
      <c r="G763" s="8" t="s">
        <v>136</v>
      </c>
      <c r="H763" s="8" t="s">
        <v>495</v>
      </c>
      <c r="I763" s="7" t="s">
        <v>25</v>
      </c>
      <c r="J763" s="15">
        <v>15</v>
      </c>
    </row>
    <row r="764" spans="1:10" ht="154.75" customHeight="1" x14ac:dyDescent="0.2">
      <c r="A764" s="7" t="s">
        <v>548</v>
      </c>
      <c r="B764" s="8" t="s">
        <v>127</v>
      </c>
      <c r="C764" s="8" t="s">
        <v>1149</v>
      </c>
      <c r="D764" s="6" t="s">
        <v>1147</v>
      </c>
      <c r="E764" s="7" t="s">
        <v>1148</v>
      </c>
      <c r="F764" s="7" t="s">
        <v>492</v>
      </c>
      <c r="G764" s="8" t="s">
        <v>497</v>
      </c>
      <c r="H764" s="8" t="s">
        <v>1152</v>
      </c>
      <c r="I764" s="7" t="s">
        <v>17</v>
      </c>
      <c r="J764" s="15">
        <v>10</v>
      </c>
    </row>
    <row r="765" spans="1:10" ht="156" x14ac:dyDescent="0.2">
      <c r="A765" s="7" t="s">
        <v>548</v>
      </c>
      <c r="B765" s="8" t="s">
        <v>127</v>
      </c>
      <c r="C765" s="8" t="s">
        <v>1149</v>
      </c>
      <c r="D765" s="6" t="s">
        <v>1147</v>
      </c>
      <c r="E765" s="7" t="s">
        <v>1148</v>
      </c>
      <c r="F765" s="7" t="s">
        <v>492</v>
      </c>
      <c r="G765" s="8" t="s">
        <v>133</v>
      </c>
      <c r="H765" s="8" t="s">
        <v>1153</v>
      </c>
      <c r="I765" s="7" t="s">
        <v>25</v>
      </c>
      <c r="J765" s="15">
        <v>15</v>
      </c>
    </row>
    <row r="766" spans="1:10" ht="156" x14ac:dyDescent="0.2">
      <c r="A766" s="7" t="s">
        <v>548</v>
      </c>
      <c r="B766" s="8" t="s">
        <v>127</v>
      </c>
      <c r="C766" s="8" t="s">
        <v>1149</v>
      </c>
      <c r="D766" s="6" t="s">
        <v>1147</v>
      </c>
      <c r="E766" s="7" t="s">
        <v>1148</v>
      </c>
      <c r="F766" s="7" t="s">
        <v>492</v>
      </c>
      <c r="G766" s="8" t="s">
        <v>135</v>
      </c>
      <c r="H766" s="8" t="s">
        <v>1154</v>
      </c>
      <c r="I766" s="7" t="s">
        <v>25</v>
      </c>
      <c r="J766" s="15">
        <v>10</v>
      </c>
    </row>
    <row r="767" spans="1:10" ht="260" x14ac:dyDescent="0.2">
      <c r="A767" s="7" t="s">
        <v>548</v>
      </c>
      <c r="B767" s="8" t="s">
        <v>127</v>
      </c>
      <c r="C767" s="8" t="s">
        <v>1149</v>
      </c>
      <c r="D767" s="6" t="s">
        <v>1147</v>
      </c>
      <c r="E767" s="7" t="s">
        <v>1148</v>
      </c>
      <c r="F767" s="7" t="s">
        <v>492</v>
      </c>
      <c r="G767" s="8" t="s">
        <v>132</v>
      </c>
      <c r="H767" s="8" t="s">
        <v>1155</v>
      </c>
      <c r="I767" s="7" t="s">
        <v>25</v>
      </c>
      <c r="J767" s="15">
        <v>25</v>
      </c>
    </row>
    <row r="768" spans="1:10" ht="130" x14ac:dyDescent="0.2">
      <c r="A768" s="7" t="s">
        <v>548</v>
      </c>
      <c r="B768" s="8" t="s">
        <v>127</v>
      </c>
      <c r="C768" s="8" t="s">
        <v>1149</v>
      </c>
      <c r="D768" s="6" t="s">
        <v>1147</v>
      </c>
      <c r="E768" s="7" t="s">
        <v>1148</v>
      </c>
      <c r="F768" s="7" t="s">
        <v>492</v>
      </c>
      <c r="G768" s="8" t="s">
        <v>131</v>
      </c>
      <c r="H768" s="8" t="s">
        <v>1156</v>
      </c>
      <c r="I768" s="7" t="s">
        <v>25</v>
      </c>
      <c r="J768" s="15">
        <v>5</v>
      </c>
    </row>
    <row r="769" spans="1:10" ht="130" x14ac:dyDescent="0.2">
      <c r="A769" s="7" t="s">
        <v>548</v>
      </c>
      <c r="B769" s="8" t="s">
        <v>127</v>
      </c>
      <c r="C769" s="8" t="s">
        <v>493</v>
      </c>
      <c r="D769" s="6" t="s">
        <v>491</v>
      </c>
      <c r="E769" s="7" t="s">
        <v>492</v>
      </c>
      <c r="F769" s="7" t="s">
        <v>126</v>
      </c>
      <c r="G769" s="8" t="s">
        <v>131</v>
      </c>
      <c r="H769" s="8" t="s">
        <v>494</v>
      </c>
      <c r="I769" s="7" t="s">
        <v>25</v>
      </c>
      <c r="J769" s="15">
        <v>5</v>
      </c>
    </row>
    <row r="770" spans="1:10" ht="182" x14ac:dyDescent="0.2">
      <c r="A770" s="7" t="s">
        <v>548</v>
      </c>
      <c r="B770" s="8" t="s">
        <v>127</v>
      </c>
      <c r="C770" s="8" t="s">
        <v>493</v>
      </c>
      <c r="D770" s="6" t="s">
        <v>491</v>
      </c>
      <c r="E770" s="7" t="s">
        <v>492</v>
      </c>
      <c r="F770" s="7" t="s">
        <v>126</v>
      </c>
      <c r="G770" s="8" t="s">
        <v>136</v>
      </c>
      <c r="H770" s="8" t="s">
        <v>495</v>
      </c>
      <c r="I770" s="7" t="s">
        <v>25</v>
      </c>
      <c r="J770" s="15">
        <v>15</v>
      </c>
    </row>
    <row r="771" spans="1:10" ht="156" x14ac:dyDescent="0.2">
      <c r="A771" s="7" t="s">
        <v>548</v>
      </c>
      <c r="B771" s="8" t="s">
        <v>127</v>
      </c>
      <c r="C771" s="8" t="s">
        <v>493</v>
      </c>
      <c r="D771" s="6" t="s">
        <v>491</v>
      </c>
      <c r="E771" s="7" t="s">
        <v>492</v>
      </c>
      <c r="F771" s="7" t="s">
        <v>126</v>
      </c>
      <c r="G771" s="8" t="s">
        <v>133</v>
      </c>
      <c r="H771" s="8" t="s">
        <v>496</v>
      </c>
      <c r="I771" s="7" t="s">
        <v>25</v>
      </c>
      <c r="J771" s="15">
        <v>15</v>
      </c>
    </row>
    <row r="772" spans="1:10" ht="91" x14ac:dyDescent="0.2">
      <c r="A772" s="7" t="s">
        <v>548</v>
      </c>
      <c r="B772" s="8" t="s">
        <v>127</v>
      </c>
      <c r="C772" s="8" t="s">
        <v>493</v>
      </c>
      <c r="D772" s="6" t="s">
        <v>491</v>
      </c>
      <c r="E772" s="7" t="s">
        <v>492</v>
      </c>
      <c r="F772" s="7" t="s">
        <v>126</v>
      </c>
      <c r="G772" s="8" t="s">
        <v>497</v>
      </c>
      <c r="H772" s="8" t="s">
        <v>498</v>
      </c>
      <c r="I772" s="7" t="s">
        <v>17</v>
      </c>
      <c r="J772" s="15">
        <v>10</v>
      </c>
    </row>
    <row r="773" spans="1:10" ht="234" x14ac:dyDescent="0.2">
      <c r="A773" s="7" t="s">
        <v>548</v>
      </c>
      <c r="B773" s="8" t="s">
        <v>127</v>
      </c>
      <c r="C773" s="8" t="s">
        <v>493</v>
      </c>
      <c r="D773" s="6" t="s">
        <v>491</v>
      </c>
      <c r="E773" s="7" t="s">
        <v>492</v>
      </c>
      <c r="F773" s="7" t="s">
        <v>126</v>
      </c>
      <c r="G773" s="8" t="s">
        <v>134</v>
      </c>
      <c r="H773" s="8" t="s">
        <v>499</v>
      </c>
      <c r="I773" s="7" t="s">
        <v>25</v>
      </c>
      <c r="J773" s="15">
        <v>20</v>
      </c>
    </row>
    <row r="774" spans="1:10" ht="156" x14ac:dyDescent="0.2">
      <c r="A774" s="7" t="s">
        <v>548</v>
      </c>
      <c r="B774" s="8" t="s">
        <v>127</v>
      </c>
      <c r="C774" s="8" t="s">
        <v>493</v>
      </c>
      <c r="D774" s="6" t="s">
        <v>491</v>
      </c>
      <c r="E774" s="7" t="s">
        <v>492</v>
      </c>
      <c r="F774" s="7" t="s">
        <v>126</v>
      </c>
      <c r="G774" s="8" t="s">
        <v>135</v>
      </c>
      <c r="H774" s="8" t="s">
        <v>500</v>
      </c>
      <c r="I774" s="7" t="s">
        <v>25</v>
      </c>
      <c r="J774" s="15">
        <v>10</v>
      </c>
    </row>
    <row r="775" spans="1:10" ht="260" x14ac:dyDescent="0.2">
      <c r="A775" s="7" t="s">
        <v>548</v>
      </c>
      <c r="B775" s="8" t="s">
        <v>127</v>
      </c>
      <c r="C775" s="8" t="s">
        <v>493</v>
      </c>
      <c r="D775" s="6" t="s">
        <v>491</v>
      </c>
      <c r="E775" s="7" t="s">
        <v>492</v>
      </c>
      <c r="F775" s="7" t="s">
        <v>126</v>
      </c>
      <c r="G775" s="8" t="s">
        <v>132</v>
      </c>
      <c r="H775" s="8" t="s">
        <v>501</v>
      </c>
      <c r="I775" s="7" t="s">
        <v>25</v>
      </c>
      <c r="J775" s="15">
        <v>25</v>
      </c>
    </row>
    <row r="776" spans="1:10" ht="117" x14ac:dyDescent="0.2">
      <c r="A776" s="7" t="s">
        <v>548</v>
      </c>
      <c r="B776" s="8" t="s">
        <v>320</v>
      </c>
      <c r="C776" s="8" t="s">
        <v>321</v>
      </c>
      <c r="D776" s="6" t="s">
        <v>318</v>
      </c>
      <c r="E776" s="7" t="s">
        <v>319</v>
      </c>
      <c r="F776" s="7" t="s">
        <v>130</v>
      </c>
      <c r="G776" s="8" t="s">
        <v>322</v>
      </c>
      <c r="H776" s="8" t="s">
        <v>3440</v>
      </c>
      <c r="I776" s="7" t="s">
        <v>25</v>
      </c>
      <c r="J776" s="13">
        <v>12</v>
      </c>
    </row>
    <row r="777" spans="1:10" ht="156" x14ac:dyDescent="0.2">
      <c r="A777" s="7" t="s">
        <v>548</v>
      </c>
      <c r="B777" s="8" t="s">
        <v>320</v>
      </c>
      <c r="C777" s="8" t="s">
        <v>321</v>
      </c>
      <c r="D777" s="6" t="s">
        <v>318</v>
      </c>
      <c r="E777" s="7" t="s">
        <v>319</v>
      </c>
      <c r="F777" s="7" t="s">
        <v>130</v>
      </c>
      <c r="G777" s="8" t="s">
        <v>324</v>
      </c>
      <c r="H777" s="8" t="s">
        <v>3439</v>
      </c>
      <c r="I777" s="7" t="s">
        <v>25</v>
      </c>
      <c r="J777" s="13">
        <v>12</v>
      </c>
    </row>
    <row r="778" spans="1:10" ht="182" x14ac:dyDescent="0.2">
      <c r="A778" s="7" t="s">
        <v>548</v>
      </c>
      <c r="B778" s="8" t="s">
        <v>320</v>
      </c>
      <c r="C778" s="8" t="s">
        <v>321</v>
      </c>
      <c r="D778" s="6" t="s">
        <v>318</v>
      </c>
      <c r="E778" s="7" t="s">
        <v>319</v>
      </c>
      <c r="F778" s="7" t="s">
        <v>130</v>
      </c>
      <c r="G778" s="8" t="s">
        <v>326</v>
      </c>
      <c r="H778" s="8" t="s">
        <v>3441</v>
      </c>
      <c r="I778" s="7" t="s">
        <v>25</v>
      </c>
      <c r="J778" s="13">
        <v>12</v>
      </c>
    </row>
    <row r="779" spans="1:10" ht="156" x14ac:dyDescent="0.2">
      <c r="A779" s="7" t="s">
        <v>548</v>
      </c>
      <c r="B779" s="8" t="s">
        <v>320</v>
      </c>
      <c r="C779" s="8" t="s">
        <v>321</v>
      </c>
      <c r="D779" s="6" t="s">
        <v>318</v>
      </c>
      <c r="E779" s="7" t="s">
        <v>319</v>
      </c>
      <c r="F779" s="7" t="s">
        <v>130</v>
      </c>
      <c r="G779" s="8" t="s">
        <v>328</v>
      </c>
      <c r="H779" s="8" t="s">
        <v>329</v>
      </c>
      <c r="I779" s="7" t="s">
        <v>25</v>
      </c>
      <c r="J779" s="13">
        <v>10</v>
      </c>
    </row>
    <row r="780" spans="1:10" ht="169" x14ac:dyDescent="0.2">
      <c r="A780" s="7" t="s">
        <v>548</v>
      </c>
      <c r="B780" s="8" t="s">
        <v>320</v>
      </c>
      <c r="C780" s="8" t="s">
        <v>321</v>
      </c>
      <c r="D780" s="6" t="s">
        <v>318</v>
      </c>
      <c r="E780" s="7" t="s">
        <v>319</v>
      </c>
      <c r="F780" s="7" t="s">
        <v>130</v>
      </c>
      <c r="G780" s="8" t="s">
        <v>330</v>
      </c>
      <c r="H780" s="8" t="s">
        <v>331</v>
      </c>
      <c r="I780" s="7" t="s">
        <v>25</v>
      </c>
      <c r="J780" s="13">
        <v>10</v>
      </c>
    </row>
    <row r="781" spans="1:10" ht="156" x14ac:dyDescent="0.2">
      <c r="A781" s="7" t="s">
        <v>548</v>
      </c>
      <c r="B781" s="8" t="s">
        <v>320</v>
      </c>
      <c r="C781" s="8" t="s">
        <v>321</v>
      </c>
      <c r="D781" s="6" t="s">
        <v>318</v>
      </c>
      <c r="E781" s="7" t="s">
        <v>319</v>
      </c>
      <c r="F781" s="7" t="s">
        <v>130</v>
      </c>
      <c r="G781" s="8" t="s">
        <v>332</v>
      </c>
      <c r="H781" s="8" t="s">
        <v>2984</v>
      </c>
      <c r="I781" s="7" t="s">
        <v>25</v>
      </c>
      <c r="J781" s="13">
        <v>10</v>
      </c>
    </row>
    <row r="782" spans="1:10" ht="130" x14ac:dyDescent="0.2">
      <c r="A782" s="7" t="s">
        <v>548</v>
      </c>
      <c r="B782" s="8" t="s">
        <v>320</v>
      </c>
      <c r="C782" s="8" t="s">
        <v>321</v>
      </c>
      <c r="D782" s="6" t="s">
        <v>318</v>
      </c>
      <c r="E782" s="7" t="s">
        <v>319</v>
      </c>
      <c r="F782" s="7" t="s">
        <v>130</v>
      </c>
      <c r="G782" s="8" t="s">
        <v>334</v>
      </c>
      <c r="H782" s="8" t="s">
        <v>335</v>
      </c>
      <c r="I782" s="7" t="s">
        <v>25</v>
      </c>
      <c r="J782" s="13">
        <v>10</v>
      </c>
    </row>
    <row r="783" spans="1:10" ht="130" x14ac:dyDescent="0.2">
      <c r="A783" s="7" t="s">
        <v>548</v>
      </c>
      <c r="B783" s="8" t="s">
        <v>320</v>
      </c>
      <c r="C783" s="8" t="s">
        <v>321</v>
      </c>
      <c r="D783" s="6" t="s">
        <v>318</v>
      </c>
      <c r="E783" s="7" t="s">
        <v>319</v>
      </c>
      <c r="F783" s="7" t="s">
        <v>130</v>
      </c>
      <c r="G783" s="8" t="s">
        <v>336</v>
      </c>
      <c r="H783" s="8" t="s">
        <v>337</v>
      </c>
      <c r="I783" s="7" t="s">
        <v>25</v>
      </c>
      <c r="J783" s="13">
        <v>12</v>
      </c>
    </row>
    <row r="784" spans="1:10" ht="130" x14ac:dyDescent="0.2">
      <c r="A784" s="7" t="s">
        <v>548</v>
      </c>
      <c r="B784" s="8" t="s">
        <v>320</v>
      </c>
      <c r="C784" s="8" t="s">
        <v>321</v>
      </c>
      <c r="D784" s="6" t="s">
        <v>318</v>
      </c>
      <c r="E784" s="7" t="s">
        <v>319</v>
      </c>
      <c r="F784" s="7" t="s">
        <v>130</v>
      </c>
      <c r="G784" s="8" t="s">
        <v>338</v>
      </c>
      <c r="H784" s="8" t="s">
        <v>2985</v>
      </c>
      <c r="I784" s="7" t="s">
        <v>25</v>
      </c>
      <c r="J784" s="13">
        <v>12</v>
      </c>
    </row>
    <row r="785" spans="1:10" ht="130" x14ac:dyDescent="0.2">
      <c r="A785" s="7" t="s">
        <v>548</v>
      </c>
      <c r="B785" s="8" t="s">
        <v>320</v>
      </c>
      <c r="C785" s="8" t="s">
        <v>2552</v>
      </c>
      <c r="D785" s="6" t="s">
        <v>2550</v>
      </c>
      <c r="E785" s="7" t="s">
        <v>2551</v>
      </c>
      <c r="F785" s="7" t="s">
        <v>393</v>
      </c>
      <c r="G785" s="8" t="s">
        <v>2553</v>
      </c>
      <c r="H785" s="8" t="s">
        <v>2554</v>
      </c>
      <c r="I785" s="7" t="s">
        <v>17</v>
      </c>
      <c r="J785" s="15">
        <v>25</v>
      </c>
    </row>
    <row r="786" spans="1:10" ht="130" x14ac:dyDescent="0.2">
      <c r="A786" s="7" t="s">
        <v>548</v>
      </c>
      <c r="B786" s="8" t="s">
        <v>320</v>
      </c>
      <c r="C786" s="8" t="s">
        <v>2552</v>
      </c>
      <c r="D786" s="6" t="s">
        <v>2550</v>
      </c>
      <c r="E786" s="7" t="s">
        <v>2551</v>
      </c>
      <c r="F786" s="7" t="s">
        <v>393</v>
      </c>
      <c r="G786" s="8" t="s">
        <v>2555</v>
      </c>
      <c r="H786" s="8" t="s">
        <v>2556</v>
      </c>
      <c r="I786" s="7" t="s">
        <v>17</v>
      </c>
      <c r="J786" s="15">
        <v>20</v>
      </c>
    </row>
    <row r="787" spans="1:10" ht="169" x14ac:dyDescent="0.2">
      <c r="A787" s="7" t="s">
        <v>548</v>
      </c>
      <c r="B787" s="8" t="s">
        <v>320</v>
      </c>
      <c r="C787" s="8" t="s">
        <v>2552</v>
      </c>
      <c r="D787" s="6" t="s">
        <v>2550</v>
      </c>
      <c r="E787" s="7" t="s">
        <v>2551</v>
      </c>
      <c r="F787" s="7" t="s">
        <v>393</v>
      </c>
      <c r="G787" s="8" t="s">
        <v>2557</v>
      </c>
      <c r="H787" s="8" t="s">
        <v>2558</v>
      </c>
      <c r="I787" s="7" t="s">
        <v>17</v>
      </c>
      <c r="J787" s="15">
        <v>25</v>
      </c>
    </row>
    <row r="788" spans="1:10" ht="169" x14ac:dyDescent="0.2">
      <c r="A788" s="7" t="s">
        <v>548</v>
      </c>
      <c r="B788" s="8" t="s">
        <v>320</v>
      </c>
      <c r="C788" s="8" t="s">
        <v>2552</v>
      </c>
      <c r="D788" s="6" t="s">
        <v>2550</v>
      </c>
      <c r="E788" s="7" t="s">
        <v>2551</v>
      </c>
      <c r="F788" s="7" t="s">
        <v>393</v>
      </c>
      <c r="G788" s="8" t="s">
        <v>332</v>
      </c>
      <c r="H788" s="8" t="s">
        <v>2559</v>
      </c>
      <c r="I788" s="7" t="s">
        <v>25</v>
      </c>
      <c r="J788" s="15">
        <v>5</v>
      </c>
    </row>
    <row r="789" spans="1:10" ht="156" x14ac:dyDescent="0.2">
      <c r="A789" s="7" t="s">
        <v>548</v>
      </c>
      <c r="B789" s="8" t="s">
        <v>320</v>
      </c>
      <c r="C789" s="8" t="s">
        <v>2552</v>
      </c>
      <c r="D789" s="6" t="s">
        <v>2550</v>
      </c>
      <c r="E789" s="7" t="s">
        <v>2551</v>
      </c>
      <c r="F789" s="7" t="s">
        <v>393</v>
      </c>
      <c r="G789" s="8" t="s">
        <v>2560</v>
      </c>
      <c r="H789" s="8" t="s">
        <v>2561</v>
      </c>
      <c r="I789" s="7" t="s">
        <v>25</v>
      </c>
      <c r="J789" s="15">
        <v>5</v>
      </c>
    </row>
    <row r="790" spans="1:10" ht="104" x14ac:dyDescent="0.2">
      <c r="A790" s="7" t="s">
        <v>548</v>
      </c>
      <c r="B790" s="8" t="s">
        <v>320</v>
      </c>
      <c r="C790" s="8" t="s">
        <v>2552</v>
      </c>
      <c r="D790" s="6" t="s">
        <v>2550</v>
      </c>
      <c r="E790" s="7" t="s">
        <v>2551</v>
      </c>
      <c r="F790" s="7" t="s">
        <v>393</v>
      </c>
      <c r="G790" s="8" t="s">
        <v>2562</v>
      </c>
      <c r="H790" s="8" t="s">
        <v>2563</v>
      </c>
      <c r="I790" s="7" t="s">
        <v>25</v>
      </c>
      <c r="J790" s="15">
        <v>5</v>
      </c>
    </row>
    <row r="791" spans="1:10" ht="182" x14ac:dyDescent="0.2">
      <c r="A791" s="7" t="s">
        <v>548</v>
      </c>
      <c r="B791" s="8" t="s">
        <v>320</v>
      </c>
      <c r="C791" s="8" t="s">
        <v>2552</v>
      </c>
      <c r="D791" s="6" t="s">
        <v>2550</v>
      </c>
      <c r="E791" s="7" t="s">
        <v>2551</v>
      </c>
      <c r="F791" s="7" t="s">
        <v>393</v>
      </c>
      <c r="G791" s="8" t="s">
        <v>330</v>
      </c>
      <c r="H791" s="8" t="s">
        <v>2564</v>
      </c>
      <c r="I791" s="7" t="s">
        <v>25</v>
      </c>
      <c r="J791" s="15">
        <v>5</v>
      </c>
    </row>
    <row r="792" spans="1:10" ht="75" customHeight="1" x14ac:dyDescent="0.2">
      <c r="A792" s="7" t="s">
        <v>548</v>
      </c>
      <c r="B792" s="8" t="s">
        <v>320</v>
      </c>
      <c r="C792" s="8" t="s">
        <v>2552</v>
      </c>
      <c r="D792" s="6" t="s">
        <v>2550</v>
      </c>
      <c r="E792" s="7" t="s">
        <v>2551</v>
      </c>
      <c r="F792" s="7" t="s">
        <v>393</v>
      </c>
      <c r="G792" s="8" t="s">
        <v>338</v>
      </c>
      <c r="H792" s="8" t="s">
        <v>2565</v>
      </c>
      <c r="I792" s="7" t="s">
        <v>25</v>
      </c>
      <c r="J792" s="15">
        <v>5</v>
      </c>
    </row>
    <row r="793" spans="1:10" ht="81.5" customHeight="1" x14ac:dyDescent="0.2">
      <c r="A793" s="7" t="s">
        <v>548</v>
      </c>
      <c r="B793" s="8" t="s">
        <v>320</v>
      </c>
      <c r="C793" s="8" t="s">
        <v>2552</v>
      </c>
      <c r="D793" s="6" t="s">
        <v>2550</v>
      </c>
      <c r="E793" s="7" t="s">
        <v>2551</v>
      </c>
      <c r="F793" s="7" t="s">
        <v>393</v>
      </c>
      <c r="G793" s="8" t="s">
        <v>322</v>
      </c>
      <c r="H793" s="8" t="s">
        <v>2566</v>
      </c>
      <c r="I793" s="7" t="s">
        <v>25</v>
      </c>
      <c r="J793" s="15">
        <v>5</v>
      </c>
    </row>
    <row r="794" spans="1:10" ht="137.5" customHeight="1" x14ac:dyDescent="0.2">
      <c r="A794" s="7" t="s">
        <v>548</v>
      </c>
      <c r="B794" s="8" t="s">
        <v>320</v>
      </c>
      <c r="C794" s="8" t="s">
        <v>391</v>
      </c>
      <c r="D794" s="6" t="s">
        <v>389</v>
      </c>
      <c r="E794" s="7" t="s">
        <v>390</v>
      </c>
      <c r="F794" s="7" t="s">
        <v>393</v>
      </c>
      <c r="G794" s="8" t="s">
        <v>334</v>
      </c>
      <c r="H794" s="8" t="s">
        <v>394</v>
      </c>
      <c r="I794" s="7" t="s">
        <v>25</v>
      </c>
      <c r="J794" s="15">
        <v>10</v>
      </c>
    </row>
    <row r="795" spans="1:10" ht="62.5" customHeight="1" x14ac:dyDescent="0.2">
      <c r="A795" s="7" t="s">
        <v>548</v>
      </c>
      <c r="B795" s="8" t="s">
        <v>320</v>
      </c>
      <c r="C795" s="8" t="s">
        <v>391</v>
      </c>
      <c r="D795" s="6" t="s">
        <v>389</v>
      </c>
      <c r="E795" s="7" t="s">
        <v>390</v>
      </c>
      <c r="F795" s="7" t="s">
        <v>393</v>
      </c>
      <c r="G795" s="8" t="s">
        <v>328</v>
      </c>
      <c r="H795" s="8" t="s">
        <v>395</v>
      </c>
      <c r="I795" s="7" t="s">
        <v>17</v>
      </c>
      <c r="J795" s="15">
        <v>20</v>
      </c>
    </row>
    <row r="796" spans="1:10" ht="182" x14ac:dyDescent="0.2">
      <c r="A796" s="7" t="s">
        <v>548</v>
      </c>
      <c r="B796" s="8" t="s">
        <v>320</v>
      </c>
      <c r="C796" s="8" t="s">
        <v>391</v>
      </c>
      <c r="D796" s="6" t="s">
        <v>389</v>
      </c>
      <c r="E796" s="7" t="s">
        <v>390</v>
      </c>
      <c r="F796" s="7" t="s">
        <v>393</v>
      </c>
      <c r="G796" s="8" t="s">
        <v>330</v>
      </c>
      <c r="H796" s="8" t="s">
        <v>396</v>
      </c>
      <c r="I796" s="7" t="s">
        <v>25</v>
      </c>
      <c r="J796" s="15">
        <v>5</v>
      </c>
    </row>
    <row r="797" spans="1:10" ht="169" x14ac:dyDescent="0.2">
      <c r="A797" s="7" t="s">
        <v>548</v>
      </c>
      <c r="B797" s="8" t="s">
        <v>320</v>
      </c>
      <c r="C797" s="8" t="s">
        <v>391</v>
      </c>
      <c r="D797" s="6" t="s">
        <v>389</v>
      </c>
      <c r="E797" s="7" t="s">
        <v>390</v>
      </c>
      <c r="F797" s="7" t="s">
        <v>393</v>
      </c>
      <c r="G797" s="8" t="s">
        <v>332</v>
      </c>
      <c r="H797" s="8" t="s">
        <v>397</v>
      </c>
      <c r="I797" s="7" t="s">
        <v>25</v>
      </c>
      <c r="J797" s="15">
        <v>5</v>
      </c>
    </row>
    <row r="798" spans="1:10" ht="130" x14ac:dyDescent="0.2">
      <c r="A798" s="7" t="s">
        <v>548</v>
      </c>
      <c r="B798" s="8" t="s">
        <v>320</v>
      </c>
      <c r="C798" s="8" t="s">
        <v>391</v>
      </c>
      <c r="D798" s="6" t="s">
        <v>389</v>
      </c>
      <c r="E798" s="7" t="s">
        <v>390</v>
      </c>
      <c r="F798" s="7" t="s">
        <v>393</v>
      </c>
      <c r="G798" s="8" t="s">
        <v>336</v>
      </c>
      <c r="H798" s="8" t="s">
        <v>398</v>
      </c>
      <c r="I798" s="7" t="s">
        <v>25</v>
      </c>
      <c r="J798" s="15">
        <v>10</v>
      </c>
    </row>
    <row r="799" spans="1:10" ht="104" x14ac:dyDescent="0.2">
      <c r="A799" s="7" t="s">
        <v>548</v>
      </c>
      <c r="B799" s="8" t="s">
        <v>320</v>
      </c>
      <c r="C799" s="8" t="s">
        <v>391</v>
      </c>
      <c r="D799" s="6" t="s">
        <v>389</v>
      </c>
      <c r="E799" s="7" t="s">
        <v>390</v>
      </c>
      <c r="F799" s="7" t="s">
        <v>393</v>
      </c>
      <c r="G799" s="8" t="s">
        <v>322</v>
      </c>
      <c r="H799" s="8" t="s">
        <v>399</v>
      </c>
      <c r="I799" s="7" t="s">
        <v>25</v>
      </c>
      <c r="J799" s="15">
        <v>5</v>
      </c>
    </row>
    <row r="800" spans="1:10" ht="156" x14ac:dyDescent="0.2">
      <c r="A800" s="7" t="s">
        <v>548</v>
      </c>
      <c r="B800" s="8" t="s">
        <v>320</v>
      </c>
      <c r="C800" s="8" t="s">
        <v>391</v>
      </c>
      <c r="D800" s="6" t="s">
        <v>389</v>
      </c>
      <c r="E800" s="7" t="s">
        <v>390</v>
      </c>
      <c r="F800" s="7" t="s">
        <v>393</v>
      </c>
      <c r="G800" s="8" t="s">
        <v>326</v>
      </c>
      <c r="H800" s="8" t="s">
        <v>400</v>
      </c>
      <c r="I800" s="7" t="s">
        <v>17</v>
      </c>
      <c r="J800" s="15">
        <v>10</v>
      </c>
    </row>
    <row r="801" spans="1:10" ht="104" x14ac:dyDescent="0.2">
      <c r="A801" s="7" t="s">
        <v>548</v>
      </c>
      <c r="B801" s="8" t="s">
        <v>320</v>
      </c>
      <c r="C801" s="8" t="s">
        <v>391</v>
      </c>
      <c r="D801" s="6" t="s">
        <v>389</v>
      </c>
      <c r="E801" s="7" t="s">
        <v>390</v>
      </c>
      <c r="F801" s="7" t="s">
        <v>393</v>
      </c>
      <c r="G801" s="8" t="s">
        <v>324</v>
      </c>
      <c r="H801" s="8" t="s">
        <v>401</v>
      </c>
      <c r="I801" s="7" t="s">
        <v>25</v>
      </c>
      <c r="J801" s="15">
        <v>5</v>
      </c>
    </row>
    <row r="802" spans="1:10" ht="130" x14ac:dyDescent="0.2">
      <c r="A802" s="7" t="s">
        <v>548</v>
      </c>
      <c r="B802" s="8" t="s">
        <v>320</v>
      </c>
      <c r="C802" s="8" t="s">
        <v>391</v>
      </c>
      <c r="D802" s="6" t="s">
        <v>389</v>
      </c>
      <c r="E802" s="7" t="s">
        <v>390</v>
      </c>
      <c r="F802" s="7" t="s">
        <v>393</v>
      </c>
      <c r="G802" s="8" t="s">
        <v>338</v>
      </c>
      <c r="H802" s="8" t="s">
        <v>402</v>
      </c>
      <c r="I802" s="7" t="s">
        <v>17</v>
      </c>
      <c r="J802" s="15">
        <v>30</v>
      </c>
    </row>
    <row r="803" spans="1:10" ht="169" x14ac:dyDescent="0.2">
      <c r="A803" s="7" t="s">
        <v>548</v>
      </c>
      <c r="B803" s="8" t="s">
        <v>320</v>
      </c>
      <c r="C803" s="8" t="s">
        <v>391</v>
      </c>
      <c r="D803" s="6" t="s">
        <v>2285</v>
      </c>
      <c r="E803" s="7" t="s">
        <v>2286</v>
      </c>
      <c r="F803" s="7" t="s">
        <v>393</v>
      </c>
      <c r="G803" s="8" t="s">
        <v>332</v>
      </c>
      <c r="H803" s="8" t="s">
        <v>333</v>
      </c>
      <c r="I803" s="7" t="s">
        <v>17</v>
      </c>
      <c r="J803" s="15">
        <v>10</v>
      </c>
    </row>
    <row r="804" spans="1:10" ht="130" x14ac:dyDescent="0.2">
      <c r="A804" s="7" t="s">
        <v>548</v>
      </c>
      <c r="B804" s="8" t="s">
        <v>320</v>
      </c>
      <c r="C804" s="8" t="s">
        <v>391</v>
      </c>
      <c r="D804" s="6" t="s">
        <v>2285</v>
      </c>
      <c r="E804" s="7" t="s">
        <v>2286</v>
      </c>
      <c r="F804" s="7" t="s">
        <v>393</v>
      </c>
      <c r="G804" s="8" t="s">
        <v>336</v>
      </c>
      <c r="H804" s="8" t="s">
        <v>2287</v>
      </c>
      <c r="I804" s="7" t="s">
        <v>25</v>
      </c>
      <c r="J804" s="15">
        <v>5</v>
      </c>
    </row>
    <row r="805" spans="1:10" ht="156" x14ac:dyDescent="0.2">
      <c r="A805" s="7" t="s">
        <v>548</v>
      </c>
      <c r="B805" s="8" t="s">
        <v>320</v>
      </c>
      <c r="C805" s="8" t="s">
        <v>391</v>
      </c>
      <c r="D805" s="6" t="s">
        <v>2285</v>
      </c>
      <c r="E805" s="7" t="s">
        <v>2286</v>
      </c>
      <c r="F805" s="7" t="s">
        <v>393</v>
      </c>
      <c r="G805" s="8" t="s">
        <v>328</v>
      </c>
      <c r="H805" s="8" t="s">
        <v>329</v>
      </c>
      <c r="I805" s="7" t="s">
        <v>25</v>
      </c>
      <c r="J805" s="15">
        <v>10</v>
      </c>
    </row>
    <row r="806" spans="1:10" ht="91" x14ac:dyDescent="0.2">
      <c r="A806" s="7" t="s">
        <v>548</v>
      </c>
      <c r="B806" s="8" t="s">
        <v>320</v>
      </c>
      <c r="C806" s="8" t="s">
        <v>391</v>
      </c>
      <c r="D806" s="6" t="s">
        <v>2285</v>
      </c>
      <c r="E806" s="7" t="s">
        <v>2286</v>
      </c>
      <c r="F806" s="7" t="s">
        <v>393</v>
      </c>
      <c r="G806" s="8" t="s">
        <v>322</v>
      </c>
      <c r="H806" s="8" t="s">
        <v>323</v>
      </c>
      <c r="I806" s="7" t="s">
        <v>25</v>
      </c>
      <c r="J806" s="15">
        <v>15</v>
      </c>
    </row>
    <row r="807" spans="1:10" ht="130" x14ac:dyDescent="0.2">
      <c r="A807" s="7" t="s">
        <v>548</v>
      </c>
      <c r="B807" s="8" t="s">
        <v>320</v>
      </c>
      <c r="C807" s="8" t="s">
        <v>391</v>
      </c>
      <c r="D807" s="6" t="s">
        <v>2285</v>
      </c>
      <c r="E807" s="7" t="s">
        <v>2286</v>
      </c>
      <c r="F807" s="7" t="s">
        <v>393</v>
      </c>
      <c r="G807" s="8" t="s">
        <v>338</v>
      </c>
      <c r="H807" s="8" t="s">
        <v>339</v>
      </c>
      <c r="I807" s="7" t="s">
        <v>25</v>
      </c>
      <c r="J807" s="15">
        <v>5</v>
      </c>
    </row>
    <row r="808" spans="1:10" ht="130" x14ac:dyDescent="0.2">
      <c r="A808" s="7" t="s">
        <v>548</v>
      </c>
      <c r="B808" s="8" t="s">
        <v>320</v>
      </c>
      <c r="C808" s="8" t="s">
        <v>391</v>
      </c>
      <c r="D808" s="6" t="s">
        <v>2285</v>
      </c>
      <c r="E808" s="7" t="s">
        <v>2286</v>
      </c>
      <c r="F808" s="7" t="s">
        <v>393</v>
      </c>
      <c r="G808" s="8" t="s">
        <v>2288</v>
      </c>
      <c r="H808" s="8" t="s">
        <v>2289</v>
      </c>
      <c r="I808" s="7" t="s">
        <v>25</v>
      </c>
      <c r="J808" s="15">
        <v>5</v>
      </c>
    </row>
    <row r="809" spans="1:10" ht="156" x14ac:dyDescent="0.2">
      <c r="A809" s="7" t="s">
        <v>548</v>
      </c>
      <c r="B809" s="8" t="s">
        <v>320</v>
      </c>
      <c r="C809" s="8" t="s">
        <v>391</v>
      </c>
      <c r="D809" s="6" t="s">
        <v>2285</v>
      </c>
      <c r="E809" s="7" t="s">
        <v>2286</v>
      </c>
      <c r="F809" s="7" t="s">
        <v>393</v>
      </c>
      <c r="G809" s="8" t="s">
        <v>326</v>
      </c>
      <c r="H809" s="8" t="s">
        <v>327</v>
      </c>
      <c r="I809" s="7" t="s">
        <v>25</v>
      </c>
      <c r="J809" s="15">
        <v>10</v>
      </c>
    </row>
    <row r="810" spans="1:10" ht="169" x14ac:dyDescent="0.2">
      <c r="A810" s="7" t="s">
        <v>548</v>
      </c>
      <c r="B810" s="8" t="s">
        <v>320</v>
      </c>
      <c r="C810" s="8" t="s">
        <v>391</v>
      </c>
      <c r="D810" s="6" t="s">
        <v>2285</v>
      </c>
      <c r="E810" s="7" t="s">
        <v>2286</v>
      </c>
      <c r="F810" s="7" t="s">
        <v>393</v>
      </c>
      <c r="G810" s="8" t="s">
        <v>330</v>
      </c>
      <c r="H810" s="8" t="s">
        <v>331</v>
      </c>
      <c r="I810" s="7" t="s">
        <v>17</v>
      </c>
      <c r="J810" s="15">
        <v>15</v>
      </c>
    </row>
    <row r="811" spans="1:10" ht="104" x14ac:dyDescent="0.2">
      <c r="A811" s="7" t="s">
        <v>548</v>
      </c>
      <c r="B811" s="8" t="s">
        <v>320</v>
      </c>
      <c r="C811" s="8" t="s">
        <v>391</v>
      </c>
      <c r="D811" s="6" t="s">
        <v>2285</v>
      </c>
      <c r="E811" s="7" t="s">
        <v>2286</v>
      </c>
      <c r="F811" s="7" t="s">
        <v>393</v>
      </c>
      <c r="G811" s="8" t="s">
        <v>324</v>
      </c>
      <c r="H811" s="8" t="s">
        <v>325</v>
      </c>
      <c r="I811" s="7" t="s">
        <v>17</v>
      </c>
      <c r="J811" s="15">
        <v>25</v>
      </c>
    </row>
    <row r="812" spans="1:10" ht="91" x14ac:dyDescent="0.2">
      <c r="A812" s="7" t="s">
        <v>548</v>
      </c>
      <c r="B812" s="8" t="s">
        <v>320</v>
      </c>
      <c r="C812" s="8" t="s">
        <v>1285</v>
      </c>
      <c r="D812" s="6" t="s">
        <v>392</v>
      </c>
      <c r="E812" s="7" t="s">
        <v>393</v>
      </c>
      <c r="F812" s="7" t="s">
        <v>319</v>
      </c>
      <c r="G812" s="8" t="s">
        <v>322</v>
      </c>
      <c r="H812" s="8" t="s">
        <v>323</v>
      </c>
      <c r="I812" s="7" t="s">
        <v>25</v>
      </c>
      <c r="J812" s="15">
        <v>5</v>
      </c>
    </row>
    <row r="813" spans="1:10" ht="130" x14ac:dyDescent="0.2">
      <c r="A813" s="7" t="s">
        <v>548</v>
      </c>
      <c r="B813" s="8" t="s">
        <v>320</v>
      </c>
      <c r="C813" s="8" t="s">
        <v>1285</v>
      </c>
      <c r="D813" s="6" t="s">
        <v>392</v>
      </c>
      <c r="E813" s="7" t="s">
        <v>393</v>
      </c>
      <c r="F813" s="7" t="s">
        <v>319</v>
      </c>
      <c r="G813" s="8" t="s">
        <v>338</v>
      </c>
      <c r="H813" s="8" t="s">
        <v>1286</v>
      </c>
      <c r="I813" s="7" t="s">
        <v>25</v>
      </c>
      <c r="J813" s="15">
        <v>5</v>
      </c>
    </row>
    <row r="814" spans="1:10" ht="169" x14ac:dyDescent="0.2">
      <c r="A814" s="7" t="s">
        <v>548</v>
      </c>
      <c r="B814" s="8" t="s">
        <v>320</v>
      </c>
      <c r="C814" s="8" t="s">
        <v>1285</v>
      </c>
      <c r="D814" s="6" t="s">
        <v>392</v>
      </c>
      <c r="E814" s="7" t="s">
        <v>393</v>
      </c>
      <c r="F814" s="7" t="s">
        <v>319</v>
      </c>
      <c r="G814" s="8" t="s">
        <v>332</v>
      </c>
      <c r="H814" s="8" t="s">
        <v>333</v>
      </c>
      <c r="I814" s="7" t="s">
        <v>17</v>
      </c>
      <c r="J814" s="15">
        <v>10</v>
      </c>
    </row>
    <row r="815" spans="1:10" ht="169" x14ac:dyDescent="0.2">
      <c r="A815" s="7" t="s">
        <v>548</v>
      </c>
      <c r="B815" s="8" t="s">
        <v>320</v>
      </c>
      <c r="C815" s="8" t="s">
        <v>1285</v>
      </c>
      <c r="D815" s="6" t="s">
        <v>392</v>
      </c>
      <c r="E815" s="7" t="s">
        <v>393</v>
      </c>
      <c r="F815" s="7" t="s">
        <v>319</v>
      </c>
      <c r="G815" s="8" t="s">
        <v>330</v>
      </c>
      <c r="H815" s="8" t="s">
        <v>331</v>
      </c>
      <c r="I815" s="7" t="s">
        <v>17</v>
      </c>
      <c r="J815" s="15">
        <v>15</v>
      </c>
    </row>
    <row r="816" spans="1:10" ht="98.5" customHeight="1" x14ac:dyDescent="0.2">
      <c r="A816" s="7" t="s">
        <v>548</v>
      </c>
      <c r="B816" s="8" t="s">
        <v>320</v>
      </c>
      <c r="C816" s="8" t="s">
        <v>1285</v>
      </c>
      <c r="D816" s="6" t="s">
        <v>392</v>
      </c>
      <c r="E816" s="7" t="s">
        <v>393</v>
      </c>
      <c r="F816" s="7" t="s">
        <v>319</v>
      </c>
      <c r="G816" s="8" t="s">
        <v>328</v>
      </c>
      <c r="H816" s="8" t="s">
        <v>329</v>
      </c>
      <c r="I816" s="7" t="s">
        <v>17</v>
      </c>
      <c r="J816" s="15">
        <v>20</v>
      </c>
    </row>
    <row r="817" spans="1:10" ht="282" customHeight="1" x14ac:dyDescent="0.2">
      <c r="A817" s="7" t="s">
        <v>548</v>
      </c>
      <c r="B817" s="8" t="s">
        <v>320</v>
      </c>
      <c r="C817" s="8" t="s">
        <v>1285</v>
      </c>
      <c r="D817" s="6" t="s">
        <v>392</v>
      </c>
      <c r="E817" s="7" t="s">
        <v>393</v>
      </c>
      <c r="F817" s="7" t="s">
        <v>319</v>
      </c>
      <c r="G817" s="8" t="s">
        <v>334</v>
      </c>
      <c r="H817" s="8" t="s">
        <v>335</v>
      </c>
      <c r="I817" s="7" t="s">
        <v>25</v>
      </c>
      <c r="J817" s="15">
        <v>5</v>
      </c>
    </row>
    <row r="818" spans="1:10" ht="155.5" customHeight="1" x14ac:dyDescent="0.2">
      <c r="A818" s="7" t="s">
        <v>548</v>
      </c>
      <c r="B818" s="8" t="s">
        <v>320</v>
      </c>
      <c r="C818" s="8" t="s">
        <v>1285</v>
      </c>
      <c r="D818" s="6" t="s">
        <v>392</v>
      </c>
      <c r="E818" s="7" t="s">
        <v>393</v>
      </c>
      <c r="F818" s="7" t="s">
        <v>319</v>
      </c>
      <c r="G818" s="8" t="s">
        <v>1287</v>
      </c>
      <c r="H818" s="8" t="s">
        <v>325</v>
      </c>
      <c r="I818" s="7" t="s">
        <v>25</v>
      </c>
      <c r="J818" s="15">
        <v>15</v>
      </c>
    </row>
    <row r="819" spans="1:10" ht="240" customHeight="1" x14ac:dyDescent="0.2">
      <c r="A819" s="7" t="s">
        <v>548</v>
      </c>
      <c r="B819" s="8" t="s">
        <v>320</v>
      </c>
      <c r="C819" s="8" t="s">
        <v>1285</v>
      </c>
      <c r="D819" s="6" t="s">
        <v>392</v>
      </c>
      <c r="E819" s="7" t="s">
        <v>393</v>
      </c>
      <c r="F819" s="7" t="s">
        <v>319</v>
      </c>
      <c r="G819" s="8" t="s">
        <v>326</v>
      </c>
      <c r="H819" s="8" t="s">
        <v>327</v>
      </c>
      <c r="I819" s="7" t="s">
        <v>17</v>
      </c>
      <c r="J819" s="15">
        <v>10</v>
      </c>
    </row>
    <row r="820" spans="1:10" ht="131.5" customHeight="1" x14ac:dyDescent="0.2">
      <c r="A820" s="7" t="s">
        <v>548</v>
      </c>
      <c r="B820" s="8" t="s">
        <v>320</v>
      </c>
      <c r="C820" s="8" t="s">
        <v>1285</v>
      </c>
      <c r="D820" s="6" t="s">
        <v>392</v>
      </c>
      <c r="E820" s="7" t="s">
        <v>393</v>
      </c>
      <c r="F820" s="7" t="s">
        <v>319</v>
      </c>
      <c r="G820" s="8" t="s">
        <v>336</v>
      </c>
      <c r="H820" s="8" t="s">
        <v>337</v>
      </c>
      <c r="I820" s="7" t="s">
        <v>25</v>
      </c>
      <c r="J820" s="15">
        <v>15</v>
      </c>
    </row>
    <row r="821" spans="1:10" ht="162" customHeight="1" x14ac:dyDescent="0.2">
      <c r="A821" s="7" t="s">
        <v>548</v>
      </c>
      <c r="B821" s="8" t="s">
        <v>873</v>
      </c>
      <c r="C821" s="8" t="s">
        <v>1376</v>
      </c>
      <c r="D821" s="6" t="s">
        <v>1374</v>
      </c>
      <c r="E821" s="7" t="s">
        <v>1375</v>
      </c>
      <c r="F821" s="7" t="s">
        <v>130</v>
      </c>
      <c r="G821" s="8" t="s">
        <v>1377</v>
      </c>
      <c r="H821" s="8" t="s">
        <v>3001</v>
      </c>
      <c r="I821" s="7" t="s">
        <v>25</v>
      </c>
      <c r="J821" s="13">
        <v>15</v>
      </c>
    </row>
    <row r="822" spans="1:10" ht="169" x14ac:dyDescent="0.2">
      <c r="A822" s="7" t="s">
        <v>548</v>
      </c>
      <c r="B822" s="8" t="s">
        <v>873</v>
      </c>
      <c r="C822" s="8" t="s">
        <v>1376</v>
      </c>
      <c r="D822" s="6" t="s">
        <v>1374</v>
      </c>
      <c r="E822" s="7" t="s">
        <v>1375</v>
      </c>
      <c r="F822" s="7" t="s">
        <v>130</v>
      </c>
      <c r="G822" s="8" t="s">
        <v>1378</v>
      </c>
      <c r="H822" s="8" t="s">
        <v>3002</v>
      </c>
      <c r="I822" s="7" t="s">
        <v>25</v>
      </c>
      <c r="J822" s="13">
        <v>20</v>
      </c>
    </row>
    <row r="823" spans="1:10" ht="117" x14ac:dyDescent="0.2">
      <c r="A823" s="7" t="s">
        <v>548</v>
      </c>
      <c r="B823" s="8" t="s">
        <v>873</v>
      </c>
      <c r="C823" s="8" t="s">
        <v>1376</v>
      </c>
      <c r="D823" s="6" t="s">
        <v>1374</v>
      </c>
      <c r="E823" s="7" t="s">
        <v>1375</v>
      </c>
      <c r="F823" s="7" t="s">
        <v>130</v>
      </c>
      <c r="G823" s="8" t="s">
        <v>1379</v>
      </c>
      <c r="H823" s="8" t="s">
        <v>3003</v>
      </c>
      <c r="I823" s="7" t="s">
        <v>25</v>
      </c>
      <c r="J823" s="13">
        <v>15</v>
      </c>
    </row>
    <row r="824" spans="1:10" ht="104" x14ac:dyDescent="0.2">
      <c r="A824" s="7" t="s">
        <v>548</v>
      </c>
      <c r="B824" s="8" t="s">
        <v>873</v>
      </c>
      <c r="C824" s="8" t="s">
        <v>1376</v>
      </c>
      <c r="D824" s="6" t="s">
        <v>1374</v>
      </c>
      <c r="E824" s="7" t="s">
        <v>1375</v>
      </c>
      <c r="F824" s="7" t="s">
        <v>130</v>
      </c>
      <c r="G824" s="8" t="s">
        <v>555</v>
      </c>
      <c r="H824" s="8" t="s">
        <v>3004</v>
      </c>
      <c r="I824" s="7" t="s">
        <v>25</v>
      </c>
      <c r="J824" s="13">
        <v>15</v>
      </c>
    </row>
    <row r="825" spans="1:10" ht="104" x14ac:dyDescent="0.2">
      <c r="A825" s="7" t="s">
        <v>548</v>
      </c>
      <c r="B825" s="8" t="s">
        <v>873</v>
      </c>
      <c r="C825" s="8" t="s">
        <v>1376</v>
      </c>
      <c r="D825" s="6" t="s">
        <v>1374</v>
      </c>
      <c r="E825" s="7" t="s">
        <v>1375</v>
      </c>
      <c r="F825" s="7" t="s">
        <v>130</v>
      </c>
      <c r="G825" s="8" t="s">
        <v>1380</v>
      </c>
      <c r="H825" s="8" t="s">
        <v>3005</v>
      </c>
      <c r="I825" s="7" t="s">
        <v>25</v>
      </c>
      <c r="J825" s="13">
        <v>20</v>
      </c>
    </row>
    <row r="826" spans="1:10" ht="156" x14ac:dyDescent="0.2">
      <c r="A826" s="7" t="s">
        <v>548</v>
      </c>
      <c r="B826" s="8" t="s">
        <v>873</v>
      </c>
      <c r="C826" s="8" t="s">
        <v>1376</v>
      </c>
      <c r="D826" s="6" t="s">
        <v>1374</v>
      </c>
      <c r="E826" s="7" t="s">
        <v>1375</v>
      </c>
      <c r="F826" s="7" t="s">
        <v>130</v>
      </c>
      <c r="G826" s="8" t="s">
        <v>1381</v>
      </c>
      <c r="H826" s="8" t="s">
        <v>3006</v>
      </c>
      <c r="I826" s="7" t="s">
        <v>25</v>
      </c>
      <c r="J826" s="13">
        <v>15</v>
      </c>
    </row>
    <row r="827" spans="1:10" ht="91" x14ac:dyDescent="0.2">
      <c r="A827" s="7" t="s">
        <v>548</v>
      </c>
      <c r="B827" s="8" t="s">
        <v>873</v>
      </c>
      <c r="C827" s="8" t="s">
        <v>2830</v>
      </c>
      <c r="D827" s="6" t="s">
        <v>2828</v>
      </c>
      <c r="E827" s="7" t="s">
        <v>2829</v>
      </c>
      <c r="F827" s="7" t="s">
        <v>1769</v>
      </c>
      <c r="G827" s="8" t="s">
        <v>1772</v>
      </c>
      <c r="H827" s="8" t="s">
        <v>2831</v>
      </c>
      <c r="I827" s="7" t="s">
        <v>17</v>
      </c>
      <c r="J827" s="15">
        <v>20</v>
      </c>
    </row>
    <row r="828" spans="1:10" ht="169" x14ac:dyDescent="0.2">
      <c r="A828" s="7" t="s">
        <v>548</v>
      </c>
      <c r="B828" s="8" t="s">
        <v>873</v>
      </c>
      <c r="C828" s="8" t="s">
        <v>2830</v>
      </c>
      <c r="D828" s="6" t="s">
        <v>2828</v>
      </c>
      <c r="E828" s="7" t="s">
        <v>2829</v>
      </c>
      <c r="F828" s="7" t="s">
        <v>1769</v>
      </c>
      <c r="G828" s="8" t="s">
        <v>1770</v>
      </c>
      <c r="H828" s="8" t="s">
        <v>2832</v>
      </c>
      <c r="I828" s="7" t="s">
        <v>25</v>
      </c>
      <c r="J828" s="15">
        <v>10</v>
      </c>
    </row>
    <row r="829" spans="1:10" ht="104" x14ac:dyDescent="0.2">
      <c r="A829" s="7" t="s">
        <v>548</v>
      </c>
      <c r="B829" s="8" t="s">
        <v>873</v>
      </c>
      <c r="C829" s="8" t="s">
        <v>2830</v>
      </c>
      <c r="D829" s="6" t="s">
        <v>2828</v>
      </c>
      <c r="E829" s="7" t="s">
        <v>2829</v>
      </c>
      <c r="F829" s="7" t="s">
        <v>1769</v>
      </c>
      <c r="G829" s="8" t="s">
        <v>555</v>
      </c>
      <c r="H829" s="8" t="s">
        <v>2833</v>
      </c>
      <c r="I829" s="7" t="s">
        <v>25</v>
      </c>
      <c r="J829" s="15">
        <v>10</v>
      </c>
    </row>
    <row r="830" spans="1:10" ht="117" x14ac:dyDescent="0.2">
      <c r="A830" s="7" t="s">
        <v>548</v>
      </c>
      <c r="B830" s="8" t="s">
        <v>873</v>
      </c>
      <c r="C830" s="8" t="s">
        <v>2830</v>
      </c>
      <c r="D830" s="6" t="s">
        <v>2828</v>
      </c>
      <c r="E830" s="7" t="s">
        <v>2829</v>
      </c>
      <c r="F830" s="7" t="s">
        <v>1769</v>
      </c>
      <c r="G830" s="8" t="s">
        <v>1379</v>
      </c>
      <c r="H830" s="8" t="s">
        <v>2834</v>
      </c>
      <c r="I830" s="7" t="s">
        <v>25</v>
      </c>
      <c r="J830" s="15">
        <v>10</v>
      </c>
    </row>
    <row r="831" spans="1:10" ht="143" x14ac:dyDescent="0.2">
      <c r="A831" s="7" t="s">
        <v>548</v>
      </c>
      <c r="B831" s="8" t="s">
        <v>873</v>
      </c>
      <c r="C831" s="8" t="s">
        <v>2830</v>
      </c>
      <c r="D831" s="6" t="s">
        <v>2828</v>
      </c>
      <c r="E831" s="7" t="s">
        <v>2829</v>
      </c>
      <c r="F831" s="7" t="s">
        <v>1769</v>
      </c>
      <c r="G831" s="8" t="s">
        <v>1774</v>
      </c>
      <c r="H831" s="8" t="s">
        <v>2835</v>
      </c>
      <c r="I831" s="7" t="s">
        <v>17</v>
      </c>
      <c r="J831" s="15">
        <v>25</v>
      </c>
    </row>
    <row r="832" spans="1:10" ht="104" x14ac:dyDescent="0.2">
      <c r="A832" s="7" t="s">
        <v>548</v>
      </c>
      <c r="B832" s="8" t="s">
        <v>873</v>
      </c>
      <c r="C832" s="8" t="s">
        <v>2830</v>
      </c>
      <c r="D832" s="6" t="s">
        <v>2828</v>
      </c>
      <c r="E832" s="7" t="s">
        <v>2829</v>
      </c>
      <c r="F832" s="7" t="s">
        <v>1769</v>
      </c>
      <c r="G832" s="8" t="s">
        <v>1780</v>
      </c>
      <c r="H832" s="8" t="s">
        <v>2836</v>
      </c>
      <c r="I832" s="7" t="s">
        <v>17</v>
      </c>
      <c r="J832" s="15">
        <v>25</v>
      </c>
    </row>
    <row r="833" spans="1:10" ht="117" x14ac:dyDescent="0.2">
      <c r="A833" s="7" t="s">
        <v>548</v>
      </c>
      <c r="B833" s="8" t="s">
        <v>873</v>
      </c>
      <c r="C833" s="8" t="s">
        <v>874</v>
      </c>
      <c r="D833" s="6" t="s">
        <v>871</v>
      </c>
      <c r="E833" s="7" t="s">
        <v>872</v>
      </c>
      <c r="F833" s="7" t="s">
        <v>876</v>
      </c>
      <c r="G833" s="8" t="s">
        <v>334</v>
      </c>
      <c r="H833" s="8" t="s">
        <v>877</v>
      </c>
      <c r="I833" s="7" t="s">
        <v>25</v>
      </c>
      <c r="J833" s="15">
        <v>30</v>
      </c>
    </row>
    <row r="834" spans="1:10" ht="130" x14ac:dyDescent="0.2">
      <c r="A834" s="7" t="s">
        <v>548</v>
      </c>
      <c r="B834" s="8" t="s">
        <v>873</v>
      </c>
      <c r="C834" s="8" t="s">
        <v>874</v>
      </c>
      <c r="D834" s="6" t="s">
        <v>871</v>
      </c>
      <c r="E834" s="7" t="s">
        <v>872</v>
      </c>
      <c r="F834" s="7" t="s">
        <v>876</v>
      </c>
      <c r="G834" s="8" t="s">
        <v>878</v>
      </c>
      <c r="H834" s="8" t="s">
        <v>879</v>
      </c>
      <c r="I834" s="7" t="s">
        <v>25</v>
      </c>
      <c r="J834" s="15">
        <v>30</v>
      </c>
    </row>
    <row r="835" spans="1:10" ht="156" x14ac:dyDescent="0.2">
      <c r="A835" s="7" t="s">
        <v>548</v>
      </c>
      <c r="B835" s="8" t="s">
        <v>873</v>
      </c>
      <c r="C835" s="8" t="s">
        <v>874</v>
      </c>
      <c r="D835" s="6" t="s">
        <v>871</v>
      </c>
      <c r="E835" s="7" t="s">
        <v>872</v>
      </c>
      <c r="F835" s="7" t="s">
        <v>876</v>
      </c>
      <c r="G835" s="8" t="s">
        <v>880</v>
      </c>
      <c r="H835" s="8" t="s">
        <v>881</v>
      </c>
      <c r="I835" s="7" t="s">
        <v>25</v>
      </c>
      <c r="J835" s="15">
        <v>20</v>
      </c>
    </row>
    <row r="836" spans="1:10" ht="130" x14ac:dyDescent="0.2">
      <c r="A836" s="7" t="s">
        <v>548</v>
      </c>
      <c r="B836" s="8" t="s">
        <v>873</v>
      </c>
      <c r="C836" s="8" t="s">
        <v>874</v>
      </c>
      <c r="D836" s="6" t="s">
        <v>871</v>
      </c>
      <c r="E836" s="7" t="s">
        <v>872</v>
      </c>
      <c r="F836" s="7" t="s">
        <v>876</v>
      </c>
      <c r="G836" s="8" t="s">
        <v>882</v>
      </c>
      <c r="H836" s="8" t="s">
        <v>883</v>
      </c>
      <c r="I836" s="7" t="s">
        <v>17</v>
      </c>
      <c r="J836" s="15">
        <v>20</v>
      </c>
    </row>
    <row r="837" spans="1:10" ht="117" x14ac:dyDescent="0.2">
      <c r="A837" s="7" t="s">
        <v>548</v>
      </c>
      <c r="B837" s="8" t="s">
        <v>873</v>
      </c>
      <c r="C837" s="8" t="s">
        <v>2462</v>
      </c>
      <c r="D837" s="6" t="s">
        <v>2460</v>
      </c>
      <c r="E837" s="7" t="s">
        <v>2461</v>
      </c>
      <c r="F837" s="7" t="s">
        <v>876</v>
      </c>
      <c r="G837" s="8" t="s">
        <v>2004</v>
      </c>
      <c r="H837" s="8" t="s">
        <v>2463</v>
      </c>
      <c r="I837" s="7" t="s">
        <v>25</v>
      </c>
      <c r="J837" s="15">
        <v>40</v>
      </c>
    </row>
    <row r="838" spans="1:10" ht="117" x14ac:dyDescent="0.2">
      <c r="A838" s="7" t="s">
        <v>548</v>
      </c>
      <c r="B838" s="8" t="s">
        <v>873</v>
      </c>
      <c r="C838" s="8" t="s">
        <v>2462</v>
      </c>
      <c r="D838" s="6" t="s">
        <v>2460</v>
      </c>
      <c r="E838" s="7" t="s">
        <v>2461</v>
      </c>
      <c r="F838" s="7" t="s">
        <v>876</v>
      </c>
      <c r="G838" s="8" t="s">
        <v>2002</v>
      </c>
      <c r="H838" s="8" t="s">
        <v>2464</v>
      </c>
      <c r="I838" s="7" t="s">
        <v>17</v>
      </c>
      <c r="J838" s="15">
        <v>40</v>
      </c>
    </row>
    <row r="839" spans="1:10" ht="130" x14ac:dyDescent="0.2">
      <c r="A839" s="7" t="s">
        <v>548</v>
      </c>
      <c r="B839" s="8" t="s">
        <v>873</v>
      </c>
      <c r="C839" s="8" t="s">
        <v>2462</v>
      </c>
      <c r="D839" s="6" t="s">
        <v>2460</v>
      </c>
      <c r="E839" s="7" t="s">
        <v>2461</v>
      </c>
      <c r="F839" s="7" t="s">
        <v>876</v>
      </c>
      <c r="G839" s="8" t="s">
        <v>2007</v>
      </c>
      <c r="H839" s="8" t="s">
        <v>2465</v>
      </c>
      <c r="I839" s="7" t="s">
        <v>25</v>
      </c>
      <c r="J839" s="15">
        <v>20</v>
      </c>
    </row>
    <row r="840" spans="1:10" ht="117" x14ac:dyDescent="0.2">
      <c r="A840" s="7" t="s">
        <v>548</v>
      </c>
      <c r="B840" s="8" t="s">
        <v>873</v>
      </c>
      <c r="C840" s="8" t="s">
        <v>2382</v>
      </c>
      <c r="D840" s="6" t="s">
        <v>2380</v>
      </c>
      <c r="E840" s="7" t="s">
        <v>2381</v>
      </c>
      <c r="F840" s="7" t="s">
        <v>876</v>
      </c>
      <c r="G840" s="8" t="s">
        <v>878</v>
      </c>
      <c r="H840" s="8" t="s">
        <v>2383</v>
      </c>
      <c r="I840" s="7" t="s">
        <v>25</v>
      </c>
      <c r="J840" s="15">
        <v>30</v>
      </c>
    </row>
    <row r="841" spans="1:10" ht="117" x14ac:dyDescent="0.2">
      <c r="A841" s="7" t="s">
        <v>548</v>
      </c>
      <c r="B841" s="8" t="s">
        <v>873</v>
      </c>
      <c r="C841" s="8" t="s">
        <v>2382</v>
      </c>
      <c r="D841" s="6" t="s">
        <v>2380</v>
      </c>
      <c r="E841" s="7" t="s">
        <v>2381</v>
      </c>
      <c r="F841" s="7" t="s">
        <v>876</v>
      </c>
      <c r="G841" s="8" t="s">
        <v>334</v>
      </c>
      <c r="H841" s="8" t="s">
        <v>2384</v>
      </c>
      <c r="I841" s="7" t="s">
        <v>25</v>
      </c>
      <c r="J841" s="15">
        <v>30</v>
      </c>
    </row>
    <row r="842" spans="1:10" ht="156" x14ac:dyDescent="0.2">
      <c r="A842" s="7" t="s">
        <v>548</v>
      </c>
      <c r="B842" s="8" t="s">
        <v>873</v>
      </c>
      <c r="C842" s="8" t="s">
        <v>2382</v>
      </c>
      <c r="D842" s="6" t="s">
        <v>2380</v>
      </c>
      <c r="E842" s="7" t="s">
        <v>2381</v>
      </c>
      <c r="F842" s="7" t="s">
        <v>876</v>
      </c>
      <c r="G842" s="8" t="s">
        <v>880</v>
      </c>
      <c r="H842" s="8" t="s">
        <v>2385</v>
      </c>
      <c r="I842" s="7" t="s">
        <v>25</v>
      </c>
      <c r="J842" s="15">
        <v>20</v>
      </c>
    </row>
    <row r="843" spans="1:10" ht="156" x14ac:dyDescent="0.2">
      <c r="A843" s="7" t="s">
        <v>548</v>
      </c>
      <c r="B843" s="8" t="s">
        <v>873</v>
      </c>
      <c r="C843" s="8" t="s">
        <v>2382</v>
      </c>
      <c r="D843" s="6" t="s">
        <v>2380</v>
      </c>
      <c r="E843" s="7" t="s">
        <v>2381</v>
      </c>
      <c r="F843" s="7" t="s">
        <v>876</v>
      </c>
      <c r="G843" s="8" t="s">
        <v>2386</v>
      </c>
      <c r="H843" s="8" t="s">
        <v>2387</v>
      </c>
      <c r="I843" s="7" t="s">
        <v>17</v>
      </c>
      <c r="J843" s="15">
        <v>20</v>
      </c>
    </row>
    <row r="844" spans="1:10" ht="169" x14ac:dyDescent="0.2">
      <c r="A844" s="7" t="s">
        <v>548</v>
      </c>
      <c r="B844" s="8" t="s">
        <v>873</v>
      </c>
      <c r="C844" s="8" t="s">
        <v>1767</v>
      </c>
      <c r="D844" s="6" t="s">
        <v>1765</v>
      </c>
      <c r="E844" s="7" t="s">
        <v>1766</v>
      </c>
      <c r="F844" s="7" t="s">
        <v>1769</v>
      </c>
      <c r="G844" s="8" t="s">
        <v>1770</v>
      </c>
      <c r="H844" s="8" t="s">
        <v>1771</v>
      </c>
      <c r="I844" s="7" t="s">
        <v>25</v>
      </c>
      <c r="J844" s="15">
        <v>10</v>
      </c>
    </row>
    <row r="845" spans="1:10" ht="104" x14ac:dyDescent="0.2">
      <c r="A845" s="7" t="s">
        <v>548</v>
      </c>
      <c r="B845" s="8" t="s">
        <v>873</v>
      </c>
      <c r="C845" s="8" t="s">
        <v>1767</v>
      </c>
      <c r="D845" s="6" t="s">
        <v>1765</v>
      </c>
      <c r="E845" s="7" t="s">
        <v>1766</v>
      </c>
      <c r="F845" s="7" t="s">
        <v>1769</v>
      </c>
      <c r="G845" s="8" t="s">
        <v>1772</v>
      </c>
      <c r="H845" s="8" t="s">
        <v>1773</v>
      </c>
      <c r="I845" s="7" t="s">
        <v>17</v>
      </c>
      <c r="J845" s="15">
        <v>25</v>
      </c>
    </row>
    <row r="846" spans="1:10" ht="143" x14ac:dyDescent="0.2">
      <c r="A846" s="7" t="s">
        <v>548</v>
      </c>
      <c r="B846" s="8" t="s">
        <v>873</v>
      </c>
      <c r="C846" s="8" t="s">
        <v>1767</v>
      </c>
      <c r="D846" s="6" t="s">
        <v>1765</v>
      </c>
      <c r="E846" s="7" t="s">
        <v>1766</v>
      </c>
      <c r="F846" s="7" t="s">
        <v>1769</v>
      </c>
      <c r="G846" s="8" t="s">
        <v>1774</v>
      </c>
      <c r="H846" s="8" t="s">
        <v>1775</v>
      </c>
      <c r="I846" s="7" t="s">
        <v>17</v>
      </c>
      <c r="J846" s="15">
        <v>10</v>
      </c>
    </row>
    <row r="847" spans="1:10" ht="65" x14ac:dyDescent="0.2">
      <c r="A847" s="7" t="s">
        <v>548</v>
      </c>
      <c r="B847" s="8" t="s">
        <v>873</v>
      </c>
      <c r="C847" s="8" t="s">
        <v>1767</v>
      </c>
      <c r="D847" s="6" t="s">
        <v>1765</v>
      </c>
      <c r="E847" s="7" t="s">
        <v>1766</v>
      </c>
      <c r="F847" s="7" t="s">
        <v>1769</v>
      </c>
      <c r="G847" s="8" t="s">
        <v>1776</v>
      </c>
      <c r="H847" s="8" t="s">
        <v>1777</v>
      </c>
      <c r="I847" s="7" t="s">
        <v>17</v>
      </c>
      <c r="J847" s="15">
        <v>15</v>
      </c>
    </row>
    <row r="848" spans="1:10" ht="143" x14ac:dyDescent="0.2">
      <c r="A848" s="7" t="s">
        <v>548</v>
      </c>
      <c r="B848" s="8" t="s">
        <v>873</v>
      </c>
      <c r="C848" s="8" t="s">
        <v>1767</v>
      </c>
      <c r="D848" s="6" t="s">
        <v>1765</v>
      </c>
      <c r="E848" s="7" t="s">
        <v>1766</v>
      </c>
      <c r="F848" s="7" t="s">
        <v>1769</v>
      </c>
      <c r="G848" s="8" t="s">
        <v>1379</v>
      </c>
      <c r="H848" s="8" t="s">
        <v>1778</v>
      </c>
      <c r="I848" s="7" t="s">
        <v>25</v>
      </c>
      <c r="J848" s="15">
        <v>10</v>
      </c>
    </row>
    <row r="849" spans="1:10" ht="104" x14ac:dyDescent="0.2">
      <c r="A849" s="7" t="s">
        <v>548</v>
      </c>
      <c r="B849" s="8" t="s">
        <v>873</v>
      </c>
      <c r="C849" s="8" t="s">
        <v>1767</v>
      </c>
      <c r="D849" s="6" t="s">
        <v>1765</v>
      </c>
      <c r="E849" s="7" t="s">
        <v>1766</v>
      </c>
      <c r="F849" s="7" t="s">
        <v>1769</v>
      </c>
      <c r="G849" s="8" t="s">
        <v>555</v>
      </c>
      <c r="H849" s="8" t="s">
        <v>1779</v>
      </c>
      <c r="I849" s="7" t="s">
        <v>25</v>
      </c>
      <c r="J849" s="15">
        <v>10</v>
      </c>
    </row>
    <row r="850" spans="1:10" ht="104" x14ac:dyDescent="0.2">
      <c r="A850" s="7" t="s">
        <v>548</v>
      </c>
      <c r="B850" s="8" t="s">
        <v>873</v>
      </c>
      <c r="C850" s="8" t="s">
        <v>1767</v>
      </c>
      <c r="D850" s="6" t="s">
        <v>1765</v>
      </c>
      <c r="E850" s="7" t="s">
        <v>1766</v>
      </c>
      <c r="F850" s="7" t="s">
        <v>1769</v>
      </c>
      <c r="G850" s="8" t="s">
        <v>1780</v>
      </c>
      <c r="H850" s="8" t="s">
        <v>1781</v>
      </c>
      <c r="I850" s="7" t="s">
        <v>17</v>
      </c>
      <c r="J850" s="15">
        <v>20</v>
      </c>
    </row>
    <row r="851" spans="1:10" ht="130" x14ac:dyDescent="0.2">
      <c r="A851" s="7" t="s">
        <v>548</v>
      </c>
      <c r="B851" s="8" t="s">
        <v>873</v>
      </c>
      <c r="C851" s="8" t="s">
        <v>2211</v>
      </c>
      <c r="D851" s="6" t="s">
        <v>1768</v>
      </c>
      <c r="E851" s="7" t="s">
        <v>1769</v>
      </c>
      <c r="F851" s="7" t="s">
        <v>1375</v>
      </c>
      <c r="G851" s="8" t="s">
        <v>1379</v>
      </c>
      <c r="H851" s="8" t="s">
        <v>2212</v>
      </c>
      <c r="I851" s="7" t="s">
        <v>25</v>
      </c>
      <c r="J851" s="15">
        <v>25</v>
      </c>
    </row>
    <row r="852" spans="1:10" ht="169" x14ac:dyDescent="0.2">
      <c r="A852" s="7" t="s">
        <v>548</v>
      </c>
      <c r="B852" s="8" t="s">
        <v>873</v>
      </c>
      <c r="C852" s="8" t="s">
        <v>2211</v>
      </c>
      <c r="D852" s="6" t="s">
        <v>1768</v>
      </c>
      <c r="E852" s="7" t="s">
        <v>1769</v>
      </c>
      <c r="F852" s="7" t="s">
        <v>1375</v>
      </c>
      <c r="G852" s="8" t="s">
        <v>1770</v>
      </c>
      <c r="H852" s="8" t="s">
        <v>2213</v>
      </c>
      <c r="I852" s="7" t="s">
        <v>25</v>
      </c>
      <c r="J852" s="15">
        <v>25</v>
      </c>
    </row>
    <row r="853" spans="1:10" ht="104" x14ac:dyDescent="0.2">
      <c r="A853" s="7" t="s">
        <v>548</v>
      </c>
      <c r="B853" s="8" t="s">
        <v>873</v>
      </c>
      <c r="C853" s="8" t="s">
        <v>2211</v>
      </c>
      <c r="D853" s="6" t="s">
        <v>1768</v>
      </c>
      <c r="E853" s="7" t="s">
        <v>1769</v>
      </c>
      <c r="F853" s="7" t="s">
        <v>1375</v>
      </c>
      <c r="G853" s="8" t="s">
        <v>555</v>
      </c>
      <c r="H853" s="8" t="s">
        <v>2214</v>
      </c>
      <c r="I853" s="7" t="s">
        <v>25</v>
      </c>
      <c r="J853" s="15">
        <v>25</v>
      </c>
    </row>
    <row r="854" spans="1:10" ht="130" x14ac:dyDescent="0.2">
      <c r="A854" s="7" t="s">
        <v>548</v>
      </c>
      <c r="B854" s="8" t="s">
        <v>873</v>
      </c>
      <c r="C854" s="8" t="s">
        <v>2211</v>
      </c>
      <c r="D854" s="6" t="s">
        <v>1768</v>
      </c>
      <c r="E854" s="7" t="s">
        <v>1769</v>
      </c>
      <c r="F854" s="7" t="s">
        <v>1375</v>
      </c>
      <c r="G854" s="8" t="s">
        <v>2215</v>
      </c>
      <c r="H854" s="8" t="s">
        <v>2216</v>
      </c>
      <c r="I854" s="7" t="s">
        <v>17</v>
      </c>
      <c r="J854" s="15">
        <v>25</v>
      </c>
    </row>
    <row r="855" spans="1:10" ht="143" x14ac:dyDescent="0.2">
      <c r="A855" s="7" t="s">
        <v>548</v>
      </c>
      <c r="B855" s="8" t="s">
        <v>873</v>
      </c>
      <c r="C855" s="8" t="s">
        <v>2000</v>
      </c>
      <c r="D855" s="6" t="s">
        <v>875</v>
      </c>
      <c r="E855" s="7" t="s">
        <v>876</v>
      </c>
      <c r="F855" s="7" t="s">
        <v>1375</v>
      </c>
      <c r="G855" s="8" t="s">
        <v>880</v>
      </c>
      <c r="H855" s="8" t="s">
        <v>2001</v>
      </c>
      <c r="I855" s="7" t="s">
        <v>25</v>
      </c>
      <c r="J855" s="15">
        <v>10</v>
      </c>
    </row>
    <row r="856" spans="1:10" ht="117" x14ac:dyDescent="0.2">
      <c r="A856" s="7" t="s">
        <v>548</v>
      </c>
      <c r="B856" s="8" t="s">
        <v>873</v>
      </c>
      <c r="C856" s="8" t="s">
        <v>2000</v>
      </c>
      <c r="D856" s="6" t="s">
        <v>875</v>
      </c>
      <c r="E856" s="7" t="s">
        <v>876</v>
      </c>
      <c r="F856" s="7" t="s">
        <v>1375</v>
      </c>
      <c r="G856" s="8" t="s">
        <v>2002</v>
      </c>
      <c r="H856" s="8" t="s">
        <v>2003</v>
      </c>
      <c r="I856" s="7" t="s">
        <v>25</v>
      </c>
      <c r="J856" s="15">
        <v>15</v>
      </c>
    </row>
    <row r="857" spans="1:10" ht="117" x14ac:dyDescent="0.2">
      <c r="A857" s="7" t="s">
        <v>548</v>
      </c>
      <c r="B857" s="8" t="s">
        <v>873</v>
      </c>
      <c r="C857" s="8" t="s">
        <v>2000</v>
      </c>
      <c r="D857" s="6" t="s">
        <v>875</v>
      </c>
      <c r="E857" s="7" t="s">
        <v>876</v>
      </c>
      <c r="F857" s="7" t="s">
        <v>1375</v>
      </c>
      <c r="G857" s="8" t="s">
        <v>2004</v>
      </c>
      <c r="H857" s="8" t="s">
        <v>2005</v>
      </c>
      <c r="I857" s="7" t="s">
        <v>25</v>
      </c>
      <c r="J857" s="15">
        <v>15</v>
      </c>
    </row>
    <row r="858" spans="1:10" ht="117" x14ac:dyDescent="0.2">
      <c r="A858" s="7" t="s">
        <v>548</v>
      </c>
      <c r="B858" s="8" t="s">
        <v>873</v>
      </c>
      <c r="C858" s="8" t="s">
        <v>2000</v>
      </c>
      <c r="D858" s="6" t="s">
        <v>875</v>
      </c>
      <c r="E858" s="7" t="s">
        <v>876</v>
      </c>
      <c r="F858" s="7" t="s">
        <v>1375</v>
      </c>
      <c r="G858" s="8" t="s">
        <v>878</v>
      </c>
      <c r="H858" s="8" t="s">
        <v>2006</v>
      </c>
      <c r="I858" s="7" t="s">
        <v>25</v>
      </c>
      <c r="J858" s="15">
        <v>15</v>
      </c>
    </row>
    <row r="859" spans="1:10" ht="130" x14ac:dyDescent="0.2">
      <c r="A859" s="7" t="s">
        <v>548</v>
      </c>
      <c r="B859" s="8" t="s">
        <v>873</v>
      </c>
      <c r="C859" s="8" t="s">
        <v>2000</v>
      </c>
      <c r="D859" s="6" t="s">
        <v>875</v>
      </c>
      <c r="E859" s="7" t="s">
        <v>876</v>
      </c>
      <c r="F859" s="7" t="s">
        <v>1375</v>
      </c>
      <c r="G859" s="8" t="s">
        <v>2007</v>
      </c>
      <c r="H859" s="8" t="s">
        <v>2008</v>
      </c>
      <c r="I859" s="7" t="s">
        <v>25</v>
      </c>
      <c r="J859" s="15">
        <v>10</v>
      </c>
    </row>
    <row r="860" spans="1:10" ht="156" x14ac:dyDescent="0.2">
      <c r="A860" s="7" t="s">
        <v>548</v>
      </c>
      <c r="B860" s="8" t="s">
        <v>873</v>
      </c>
      <c r="C860" s="8" t="s">
        <v>2000</v>
      </c>
      <c r="D860" s="6" t="s">
        <v>875</v>
      </c>
      <c r="E860" s="7" t="s">
        <v>876</v>
      </c>
      <c r="F860" s="7" t="s">
        <v>1375</v>
      </c>
      <c r="G860" s="8" t="s">
        <v>2009</v>
      </c>
      <c r="H860" s="8" t="s">
        <v>2010</v>
      </c>
      <c r="I860" s="7" t="s">
        <v>17</v>
      </c>
      <c r="J860" s="15">
        <v>20</v>
      </c>
    </row>
    <row r="861" spans="1:10" ht="117" x14ac:dyDescent="0.2">
      <c r="A861" s="7" t="s">
        <v>548</v>
      </c>
      <c r="B861" s="8" t="s">
        <v>873</v>
      </c>
      <c r="C861" s="8" t="s">
        <v>2000</v>
      </c>
      <c r="D861" s="6" t="s">
        <v>875</v>
      </c>
      <c r="E861" s="7" t="s">
        <v>876</v>
      </c>
      <c r="F861" s="7" t="s">
        <v>1375</v>
      </c>
      <c r="G861" s="8" t="s">
        <v>334</v>
      </c>
      <c r="H861" s="8" t="s">
        <v>2011</v>
      </c>
      <c r="I861" s="7" t="s">
        <v>25</v>
      </c>
      <c r="J861" s="15">
        <v>15</v>
      </c>
    </row>
    <row r="862" spans="1:10" ht="65" x14ac:dyDescent="0.2">
      <c r="A862" s="8" t="s">
        <v>1260</v>
      </c>
      <c r="B862" s="8" t="s">
        <v>139</v>
      </c>
      <c r="C862" s="8" t="s">
        <v>2014</v>
      </c>
      <c r="D862" s="6" t="s">
        <v>2012</v>
      </c>
      <c r="E862" s="7" t="s">
        <v>2013</v>
      </c>
      <c r="F862" s="7" t="s">
        <v>177</v>
      </c>
      <c r="G862" s="8" t="s">
        <v>2015</v>
      </c>
      <c r="H862" s="8" t="s">
        <v>2016</v>
      </c>
      <c r="I862" s="7" t="s">
        <v>17</v>
      </c>
      <c r="J862" s="15">
        <v>15</v>
      </c>
    </row>
    <row r="863" spans="1:10" ht="65" x14ac:dyDescent="0.2">
      <c r="A863" s="8" t="s">
        <v>1260</v>
      </c>
      <c r="B863" s="8" t="s">
        <v>139</v>
      </c>
      <c r="C863" s="8" t="s">
        <v>2014</v>
      </c>
      <c r="D863" s="6" t="s">
        <v>2012</v>
      </c>
      <c r="E863" s="7" t="s">
        <v>2013</v>
      </c>
      <c r="F863" s="7" t="s">
        <v>177</v>
      </c>
      <c r="G863" s="8" t="s">
        <v>145</v>
      </c>
      <c r="H863" s="8" t="s">
        <v>2017</v>
      </c>
      <c r="I863" s="7" t="s">
        <v>25</v>
      </c>
      <c r="J863" s="15">
        <v>25</v>
      </c>
    </row>
    <row r="864" spans="1:10" ht="39" x14ac:dyDescent="0.2">
      <c r="A864" s="8" t="s">
        <v>1260</v>
      </c>
      <c r="B864" s="8" t="s">
        <v>139</v>
      </c>
      <c r="C864" s="8" t="s">
        <v>2014</v>
      </c>
      <c r="D864" s="6" t="s">
        <v>2012</v>
      </c>
      <c r="E864" s="7" t="s">
        <v>2013</v>
      </c>
      <c r="F864" s="7" t="s">
        <v>177</v>
      </c>
      <c r="G864" s="8" t="s">
        <v>2018</v>
      </c>
      <c r="H864" s="8" t="s">
        <v>2019</v>
      </c>
      <c r="I864" s="7" t="s">
        <v>17</v>
      </c>
      <c r="J864" s="15">
        <v>25</v>
      </c>
    </row>
    <row r="865" spans="1:10" ht="104" x14ac:dyDescent="0.2">
      <c r="A865" s="8" t="s">
        <v>1260</v>
      </c>
      <c r="B865" s="8" t="s">
        <v>139</v>
      </c>
      <c r="C865" s="8" t="s">
        <v>2014</v>
      </c>
      <c r="D865" s="6" t="s">
        <v>2012</v>
      </c>
      <c r="E865" s="7" t="s">
        <v>2013</v>
      </c>
      <c r="F865" s="7" t="s">
        <v>177</v>
      </c>
      <c r="G865" s="8" t="s">
        <v>2020</v>
      </c>
      <c r="H865" s="8" t="s">
        <v>2021</v>
      </c>
      <c r="I865" s="7" t="s">
        <v>17</v>
      </c>
      <c r="J865" s="15">
        <v>30</v>
      </c>
    </row>
    <row r="866" spans="1:10" ht="52" x14ac:dyDescent="0.2">
      <c r="A866" s="8" t="s">
        <v>1260</v>
      </c>
      <c r="B866" s="8" t="s">
        <v>139</v>
      </c>
      <c r="C866" s="8" t="s">
        <v>2014</v>
      </c>
      <c r="D866" s="6" t="s">
        <v>2012</v>
      </c>
      <c r="E866" s="7" t="s">
        <v>2013</v>
      </c>
      <c r="F866" s="7" t="s">
        <v>177</v>
      </c>
      <c r="G866" s="8" t="s">
        <v>183</v>
      </c>
      <c r="H866" s="8" t="s">
        <v>2022</v>
      </c>
      <c r="I866" s="7" t="s">
        <v>25</v>
      </c>
      <c r="J866" s="15">
        <v>5</v>
      </c>
    </row>
    <row r="867" spans="1:10" ht="39" x14ac:dyDescent="0.2">
      <c r="A867" s="8" t="s">
        <v>1260</v>
      </c>
      <c r="B867" s="8" t="s">
        <v>139</v>
      </c>
      <c r="C867" s="8" t="s">
        <v>175</v>
      </c>
      <c r="D867" s="6" t="s">
        <v>173</v>
      </c>
      <c r="E867" s="7" t="s">
        <v>174</v>
      </c>
      <c r="F867" s="7" t="s">
        <v>177</v>
      </c>
      <c r="G867" s="8" t="s">
        <v>178</v>
      </c>
      <c r="H867" s="8" t="s">
        <v>179</v>
      </c>
      <c r="I867" s="7" t="s">
        <v>17</v>
      </c>
      <c r="J867" s="15">
        <v>15</v>
      </c>
    </row>
    <row r="868" spans="1:10" ht="104" x14ac:dyDescent="0.2">
      <c r="A868" s="8" t="s">
        <v>1260</v>
      </c>
      <c r="B868" s="8" t="s">
        <v>139</v>
      </c>
      <c r="C868" s="8" t="s">
        <v>175</v>
      </c>
      <c r="D868" s="6" t="s">
        <v>173</v>
      </c>
      <c r="E868" s="7" t="s">
        <v>174</v>
      </c>
      <c r="F868" s="7" t="s">
        <v>177</v>
      </c>
      <c r="G868" s="8" t="s">
        <v>180</v>
      </c>
      <c r="H868" s="8" t="s">
        <v>181</v>
      </c>
      <c r="I868" s="7" t="s">
        <v>17</v>
      </c>
      <c r="J868" s="15">
        <v>15</v>
      </c>
    </row>
    <row r="869" spans="1:10" ht="65" x14ac:dyDescent="0.2">
      <c r="A869" s="8" t="s">
        <v>1260</v>
      </c>
      <c r="B869" s="8" t="s">
        <v>139</v>
      </c>
      <c r="C869" s="8" t="s">
        <v>175</v>
      </c>
      <c r="D869" s="6" t="s">
        <v>173</v>
      </c>
      <c r="E869" s="7" t="s">
        <v>174</v>
      </c>
      <c r="F869" s="7" t="s">
        <v>177</v>
      </c>
      <c r="G869" s="8" t="s">
        <v>145</v>
      </c>
      <c r="H869" s="8" t="s">
        <v>182</v>
      </c>
      <c r="I869" s="7" t="s">
        <v>25</v>
      </c>
      <c r="J869" s="15">
        <v>25</v>
      </c>
    </row>
    <row r="870" spans="1:10" ht="52" x14ac:dyDescent="0.2">
      <c r="A870" s="8" t="s">
        <v>1260</v>
      </c>
      <c r="B870" s="8" t="s">
        <v>139</v>
      </c>
      <c r="C870" s="8" t="s">
        <v>175</v>
      </c>
      <c r="D870" s="6" t="s">
        <v>173</v>
      </c>
      <c r="E870" s="7" t="s">
        <v>174</v>
      </c>
      <c r="F870" s="7" t="s">
        <v>177</v>
      </c>
      <c r="G870" s="8" t="s">
        <v>183</v>
      </c>
      <c r="H870" s="8" t="s">
        <v>184</v>
      </c>
      <c r="I870" s="7" t="s">
        <v>25</v>
      </c>
      <c r="J870" s="15">
        <v>5</v>
      </c>
    </row>
    <row r="871" spans="1:10" ht="78" x14ac:dyDescent="0.2">
      <c r="A871" s="8" t="s">
        <v>1260</v>
      </c>
      <c r="B871" s="8" t="s">
        <v>139</v>
      </c>
      <c r="C871" s="8" t="s">
        <v>175</v>
      </c>
      <c r="D871" s="6" t="s">
        <v>173</v>
      </c>
      <c r="E871" s="7" t="s">
        <v>174</v>
      </c>
      <c r="F871" s="7" t="s">
        <v>177</v>
      </c>
      <c r="G871" s="8" t="s">
        <v>185</v>
      </c>
      <c r="H871" s="8" t="s">
        <v>186</v>
      </c>
      <c r="I871" s="7" t="s">
        <v>17</v>
      </c>
      <c r="J871" s="15">
        <v>30</v>
      </c>
    </row>
    <row r="872" spans="1:10" ht="65" x14ac:dyDescent="0.2">
      <c r="A872" s="8" t="s">
        <v>1260</v>
      </c>
      <c r="B872" s="8" t="s">
        <v>139</v>
      </c>
      <c r="C872" s="8" t="s">
        <v>175</v>
      </c>
      <c r="D872" s="6" t="s">
        <v>173</v>
      </c>
      <c r="E872" s="7" t="s">
        <v>174</v>
      </c>
      <c r="F872" s="7" t="s">
        <v>177</v>
      </c>
      <c r="G872" s="8" t="s">
        <v>187</v>
      </c>
      <c r="H872" s="8" t="s">
        <v>188</v>
      </c>
      <c r="I872" s="7" t="s">
        <v>17</v>
      </c>
      <c r="J872" s="15">
        <v>10</v>
      </c>
    </row>
    <row r="873" spans="1:10" ht="169" x14ac:dyDescent="0.2">
      <c r="A873" s="8" t="s">
        <v>1260</v>
      </c>
      <c r="B873" s="8" t="s">
        <v>139</v>
      </c>
      <c r="C873" s="8" t="s">
        <v>1036</v>
      </c>
      <c r="D873" s="6" t="s">
        <v>617</v>
      </c>
      <c r="E873" s="7" t="s">
        <v>618</v>
      </c>
      <c r="F873" s="7" t="s">
        <v>733</v>
      </c>
      <c r="G873" s="8" t="s">
        <v>1037</v>
      </c>
      <c r="H873" s="8" t="s">
        <v>3360</v>
      </c>
      <c r="I873" s="7" t="s">
        <v>25</v>
      </c>
      <c r="J873" s="13">
        <v>20</v>
      </c>
    </row>
    <row r="874" spans="1:10" ht="104" x14ac:dyDescent="0.2">
      <c r="A874" s="8" t="s">
        <v>1260</v>
      </c>
      <c r="B874" s="8" t="s">
        <v>139</v>
      </c>
      <c r="C874" s="8" t="s">
        <v>1036</v>
      </c>
      <c r="D874" s="6" t="s">
        <v>617</v>
      </c>
      <c r="E874" s="7" t="s">
        <v>618</v>
      </c>
      <c r="F874" s="7" t="s">
        <v>733</v>
      </c>
      <c r="G874" s="8" t="s">
        <v>619</v>
      </c>
      <c r="H874" s="8" t="s">
        <v>3361</v>
      </c>
      <c r="I874" s="7" t="s">
        <v>25</v>
      </c>
      <c r="J874" s="13">
        <v>20</v>
      </c>
    </row>
    <row r="875" spans="1:10" ht="104" x14ac:dyDescent="0.2">
      <c r="A875" s="8" t="s">
        <v>1260</v>
      </c>
      <c r="B875" s="8" t="s">
        <v>139</v>
      </c>
      <c r="C875" s="8" t="s">
        <v>1036</v>
      </c>
      <c r="D875" s="6" t="s">
        <v>617</v>
      </c>
      <c r="E875" s="7" t="s">
        <v>618</v>
      </c>
      <c r="F875" s="7" t="s">
        <v>733</v>
      </c>
      <c r="G875" s="8" t="s">
        <v>145</v>
      </c>
      <c r="H875" s="8" t="s">
        <v>3362</v>
      </c>
      <c r="I875" s="7" t="s">
        <v>25</v>
      </c>
      <c r="J875" s="13">
        <v>20</v>
      </c>
    </row>
    <row r="876" spans="1:10" ht="247" x14ac:dyDescent="0.2">
      <c r="A876" s="8" t="s">
        <v>1260</v>
      </c>
      <c r="B876" s="8" t="s">
        <v>139</v>
      </c>
      <c r="C876" s="8" t="s">
        <v>1036</v>
      </c>
      <c r="D876" s="6" t="s">
        <v>617</v>
      </c>
      <c r="E876" s="7" t="s">
        <v>618</v>
      </c>
      <c r="F876" s="7" t="s">
        <v>733</v>
      </c>
      <c r="G876" s="8" t="s">
        <v>143</v>
      </c>
      <c r="H876" s="8" t="s">
        <v>3363</v>
      </c>
      <c r="I876" s="7" t="s">
        <v>25</v>
      </c>
      <c r="J876" s="13">
        <v>20</v>
      </c>
    </row>
    <row r="877" spans="1:10" ht="104" x14ac:dyDescent="0.2">
      <c r="A877" s="8" t="s">
        <v>1260</v>
      </c>
      <c r="B877" s="8" t="s">
        <v>139</v>
      </c>
      <c r="C877" s="8" t="s">
        <v>1036</v>
      </c>
      <c r="D877" s="6" t="s">
        <v>617</v>
      </c>
      <c r="E877" s="7" t="s">
        <v>618</v>
      </c>
      <c r="F877" s="7" t="s">
        <v>733</v>
      </c>
      <c r="G877" s="8" t="s">
        <v>1039</v>
      </c>
      <c r="H877" s="8" t="s">
        <v>3364</v>
      </c>
      <c r="I877" s="7" t="s">
        <v>25</v>
      </c>
      <c r="J877" s="13">
        <v>10</v>
      </c>
    </row>
    <row r="878" spans="1:10" ht="117" x14ac:dyDescent="0.2">
      <c r="A878" s="8" t="s">
        <v>1260</v>
      </c>
      <c r="B878" s="8" t="s">
        <v>139</v>
      </c>
      <c r="C878" s="8" t="s">
        <v>1036</v>
      </c>
      <c r="D878" s="6" t="s">
        <v>617</v>
      </c>
      <c r="E878" s="7" t="s">
        <v>618</v>
      </c>
      <c r="F878" s="7" t="s">
        <v>733</v>
      </c>
      <c r="G878" s="8" t="s">
        <v>1040</v>
      </c>
      <c r="H878" s="8" t="s">
        <v>3365</v>
      </c>
      <c r="I878" s="7" t="s">
        <v>25</v>
      </c>
      <c r="J878" s="13">
        <v>10</v>
      </c>
    </row>
    <row r="879" spans="1:10" ht="104" x14ac:dyDescent="0.2">
      <c r="A879" s="8" t="s">
        <v>1260</v>
      </c>
      <c r="B879" s="8" t="s">
        <v>139</v>
      </c>
      <c r="C879" s="8" t="s">
        <v>140</v>
      </c>
      <c r="D879" s="6" t="s">
        <v>137</v>
      </c>
      <c r="E879" s="7" t="s">
        <v>138</v>
      </c>
      <c r="F879" s="7" t="s">
        <v>142</v>
      </c>
      <c r="G879" s="8" t="s">
        <v>143</v>
      </c>
      <c r="H879" s="8" t="s">
        <v>144</v>
      </c>
      <c r="I879" s="7" t="s">
        <v>25</v>
      </c>
      <c r="J879" s="15">
        <v>20</v>
      </c>
    </row>
    <row r="880" spans="1:10" ht="143" x14ac:dyDescent="0.2">
      <c r="A880" s="8" t="s">
        <v>1260</v>
      </c>
      <c r="B880" s="8" t="s">
        <v>139</v>
      </c>
      <c r="C880" s="8" t="s">
        <v>140</v>
      </c>
      <c r="D880" s="6" t="s">
        <v>137</v>
      </c>
      <c r="E880" s="7" t="s">
        <v>138</v>
      </c>
      <c r="F880" s="7" t="s">
        <v>142</v>
      </c>
      <c r="G880" s="8" t="s">
        <v>145</v>
      </c>
      <c r="H880" s="8" t="s">
        <v>146</v>
      </c>
      <c r="I880" s="7" t="s">
        <v>25</v>
      </c>
      <c r="J880" s="15">
        <v>20</v>
      </c>
    </row>
    <row r="881" spans="1:10" ht="78" x14ac:dyDescent="0.2">
      <c r="A881" s="8" t="s">
        <v>1260</v>
      </c>
      <c r="B881" s="8" t="s">
        <v>139</v>
      </c>
      <c r="C881" s="8" t="s">
        <v>140</v>
      </c>
      <c r="D881" s="6" t="s">
        <v>137</v>
      </c>
      <c r="E881" s="7" t="s">
        <v>138</v>
      </c>
      <c r="F881" s="7" t="s">
        <v>142</v>
      </c>
      <c r="G881" s="8" t="s">
        <v>147</v>
      </c>
      <c r="H881" s="8" t="s">
        <v>148</v>
      </c>
      <c r="I881" s="7" t="s">
        <v>17</v>
      </c>
      <c r="J881" s="15">
        <v>15</v>
      </c>
    </row>
    <row r="882" spans="1:10" ht="52" x14ac:dyDescent="0.2">
      <c r="A882" s="8" t="s">
        <v>1260</v>
      </c>
      <c r="B882" s="8" t="s">
        <v>139</v>
      </c>
      <c r="C882" s="8" t="s">
        <v>140</v>
      </c>
      <c r="D882" s="6" t="s">
        <v>137</v>
      </c>
      <c r="E882" s="7" t="s">
        <v>138</v>
      </c>
      <c r="F882" s="7" t="s">
        <v>142</v>
      </c>
      <c r="G882" s="8" t="s">
        <v>149</v>
      </c>
      <c r="H882" s="8" t="s">
        <v>150</v>
      </c>
      <c r="I882" s="7" t="s">
        <v>17</v>
      </c>
      <c r="J882" s="15">
        <v>15</v>
      </c>
    </row>
    <row r="883" spans="1:10" ht="52" x14ac:dyDescent="0.2">
      <c r="A883" s="8" t="s">
        <v>1260</v>
      </c>
      <c r="B883" s="8" t="s">
        <v>139</v>
      </c>
      <c r="C883" s="8" t="s">
        <v>140</v>
      </c>
      <c r="D883" s="6" t="s">
        <v>137</v>
      </c>
      <c r="E883" s="7" t="s">
        <v>138</v>
      </c>
      <c r="F883" s="7" t="s">
        <v>142</v>
      </c>
      <c r="G883" s="8" t="s">
        <v>151</v>
      </c>
      <c r="H883" s="8" t="s">
        <v>152</v>
      </c>
      <c r="I883" s="7" t="s">
        <v>17</v>
      </c>
      <c r="J883" s="15">
        <v>15</v>
      </c>
    </row>
    <row r="884" spans="1:10" ht="52" x14ac:dyDescent="0.2">
      <c r="A884" s="8" t="s">
        <v>1260</v>
      </c>
      <c r="B884" s="8" t="s">
        <v>139</v>
      </c>
      <c r="C884" s="8" t="s">
        <v>140</v>
      </c>
      <c r="D884" s="6" t="s">
        <v>137</v>
      </c>
      <c r="E884" s="7" t="s">
        <v>138</v>
      </c>
      <c r="F884" s="7" t="s">
        <v>142</v>
      </c>
      <c r="G884" s="8" t="s">
        <v>153</v>
      </c>
      <c r="H884" s="8" t="s">
        <v>154</v>
      </c>
      <c r="I884" s="7" t="s">
        <v>17</v>
      </c>
      <c r="J884" s="15">
        <v>15</v>
      </c>
    </row>
    <row r="885" spans="1:10" ht="52" x14ac:dyDescent="0.2">
      <c r="A885" s="8" t="s">
        <v>1260</v>
      </c>
      <c r="B885" s="8" t="s">
        <v>139</v>
      </c>
      <c r="C885" s="8" t="s">
        <v>140</v>
      </c>
      <c r="D885" s="6" t="s">
        <v>1405</v>
      </c>
      <c r="E885" s="7" t="s">
        <v>1406</v>
      </c>
      <c r="F885" s="7" t="s">
        <v>142</v>
      </c>
      <c r="G885" s="8" t="s">
        <v>1407</v>
      </c>
      <c r="H885" s="8" t="s">
        <v>1408</v>
      </c>
      <c r="I885" s="7" t="s">
        <v>17</v>
      </c>
      <c r="J885" s="15">
        <v>15</v>
      </c>
    </row>
    <row r="886" spans="1:10" ht="156" x14ac:dyDescent="0.2">
      <c r="A886" s="8" t="s">
        <v>1260</v>
      </c>
      <c r="B886" s="8" t="s">
        <v>139</v>
      </c>
      <c r="C886" s="8" t="s">
        <v>140</v>
      </c>
      <c r="D886" s="6" t="s">
        <v>1405</v>
      </c>
      <c r="E886" s="7" t="s">
        <v>1406</v>
      </c>
      <c r="F886" s="7" t="s">
        <v>142</v>
      </c>
      <c r="G886" s="8" t="s">
        <v>143</v>
      </c>
      <c r="H886" s="8" t="s">
        <v>1409</v>
      </c>
      <c r="I886" s="7" t="s">
        <v>25</v>
      </c>
      <c r="J886" s="15">
        <v>20</v>
      </c>
    </row>
    <row r="887" spans="1:10" ht="52" x14ac:dyDescent="0.2">
      <c r="A887" s="8" t="s">
        <v>1260</v>
      </c>
      <c r="B887" s="8" t="s">
        <v>139</v>
      </c>
      <c r="C887" s="8" t="s">
        <v>140</v>
      </c>
      <c r="D887" s="6" t="s">
        <v>1405</v>
      </c>
      <c r="E887" s="7" t="s">
        <v>1406</v>
      </c>
      <c r="F887" s="7" t="s">
        <v>142</v>
      </c>
      <c r="G887" s="8" t="s">
        <v>1410</v>
      </c>
      <c r="H887" s="8" t="s">
        <v>1411</v>
      </c>
      <c r="I887" s="7" t="s">
        <v>17</v>
      </c>
      <c r="J887" s="15">
        <v>15</v>
      </c>
    </row>
    <row r="888" spans="1:10" ht="52" x14ac:dyDescent="0.2">
      <c r="A888" s="8" t="s">
        <v>1260</v>
      </c>
      <c r="B888" s="8" t="s">
        <v>139</v>
      </c>
      <c r="C888" s="8" t="s">
        <v>140</v>
      </c>
      <c r="D888" s="6" t="s">
        <v>1405</v>
      </c>
      <c r="E888" s="7" t="s">
        <v>1406</v>
      </c>
      <c r="F888" s="7" t="s">
        <v>142</v>
      </c>
      <c r="G888" s="8" t="s">
        <v>1412</v>
      </c>
      <c r="H888" s="8" t="s">
        <v>1413</v>
      </c>
      <c r="I888" s="7" t="s">
        <v>17</v>
      </c>
      <c r="J888" s="15">
        <v>15</v>
      </c>
    </row>
    <row r="889" spans="1:10" ht="52" x14ac:dyDescent="0.2">
      <c r="A889" s="8" t="s">
        <v>1260</v>
      </c>
      <c r="B889" s="8" t="s">
        <v>139</v>
      </c>
      <c r="C889" s="8" t="s">
        <v>140</v>
      </c>
      <c r="D889" s="6" t="s">
        <v>1405</v>
      </c>
      <c r="E889" s="7" t="s">
        <v>1406</v>
      </c>
      <c r="F889" s="7" t="s">
        <v>142</v>
      </c>
      <c r="G889" s="8" t="s">
        <v>1414</v>
      </c>
      <c r="H889" s="8" t="s">
        <v>1415</v>
      </c>
      <c r="I889" s="7" t="s">
        <v>17</v>
      </c>
      <c r="J889" s="15">
        <v>15</v>
      </c>
    </row>
    <row r="890" spans="1:10" ht="78" x14ac:dyDescent="0.2">
      <c r="A890" s="8" t="s">
        <v>1260</v>
      </c>
      <c r="B890" s="8" t="s">
        <v>139</v>
      </c>
      <c r="C890" s="8" t="s">
        <v>140</v>
      </c>
      <c r="D890" s="6" t="s">
        <v>1405</v>
      </c>
      <c r="E890" s="7" t="s">
        <v>1406</v>
      </c>
      <c r="F890" s="7" t="s">
        <v>142</v>
      </c>
      <c r="G890" s="8" t="s">
        <v>145</v>
      </c>
      <c r="H890" s="8" t="s">
        <v>1416</v>
      </c>
      <c r="I890" s="7" t="s">
        <v>25</v>
      </c>
      <c r="J890" s="15">
        <v>20</v>
      </c>
    </row>
    <row r="891" spans="1:10" ht="78" x14ac:dyDescent="0.2">
      <c r="A891" s="8" t="s">
        <v>1260</v>
      </c>
      <c r="B891" s="8" t="s">
        <v>139</v>
      </c>
      <c r="C891" s="8" t="s">
        <v>235</v>
      </c>
      <c r="D891" s="6" t="s">
        <v>233</v>
      </c>
      <c r="E891" s="7" t="s">
        <v>234</v>
      </c>
      <c r="F891" s="7" t="s">
        <v>177</v>
      </c>
      <c r="G891" s="8" t="s">
        <v>145</v>
      </c>
      <c r="H891" s="8" t="s">
        <v>236</v>
      </c>
      <c r="I891" s="7" t="s">
        <v>25</v>
      </c>
      <c r="J891" s="15">
        <v>20</v>
      </c>
    </row>
    <row r="892" spans="1:10" ht="91" x14ac:dyDescent="0.2">
      <c r="A892" s="8" t="s">
        <v>1260</v>
      </c>
      <c r="B892" s="8" t="s">
        <v>139</v>
      </c>
      <c r="C892" s="8" t="s">
        <v>235</v>
      </c>
      <c r="D892" s="6" t="s">
        <v>233</v>
      </c>
      <c r="E892" s="7" t="s">
        <v>234</v>
      </c>
      <c r="F892" s="7" t="s">
        <v>177</v>
      </c>
      <c r="G892" s="8" t="s">
        <v>237</v>
      </c>
      <c r="H892" s="8" t="s">
        <v>238</v>
      </c>
      <c r="I892" s="7" t="s">
        <v>17</v>
      </c>
      <c r="J892" s="15">
        <v>50</v>
      </c>
    </row>
    <row r="893" spans="1:10" ht="78" x14ac:dyDescent="0.2">
      <c r="A893" s="8" t="s">
        <v>1260</v>
      </c>
      <c r="B893" s="8" t="s">
        <v>139</v>
      </c>
      <c r="C893" s="8" t="s">
        <v>235</v>
      </c>
      <c r="D893" s="6" t="s">
        <v>233</v>
      </c>
      <c r="E893" s="7" t="s">
        <v>234</v>
      </c>
      <c r="F893" s="7" t="s">
        <v>177</v>
      </c>
      <c r="G893" s="8" t="s">
        <v>239</v>
      </c>
      <c r="H893" s="8" t="s">
        <v>240</v>
      </c>
      <c r="I893" s="7" t="s">
        <v>17</v>
      </c>
      <c r="J893" s="15">
        <v>20</v>
      </c>
    </row>
    <row r="894" spans="1:10" ht="52" x14ac:dyDescent="0.2">
      <c r="A894" s="8" t="s">
        <v>1260</v>
      </c>
      <c r="B894" s="8" t="s">
        <v>139</v>
      </c>
      <c r="C894" s="8" t="s">
        <v>235</v>
      </c>
      <c r="D894" s="6" t="s">
        <v>233</v>
      </c>
      <c r="E894" s="7" t="s">
        <v>234</v>
      </c>
      <c r="F894" s="7" t="s">
        <v>177</v>
      </c>
      <c r="G894" s="8" t="s">
        <v>241</v>
      </c>
      <c r="H894" s="8" t="s">
        <v>242</v>
      </c>
      <c r="I894" s="7" t="s">
        <v>25</v>
      </c>
      <c r="J894" s="15">
        <v>10</v>
      </c>
    </row>
    <row r="895" spans="1:10" ht="156" x14ac:dyDescent="0.2">
      <c r="A895" s="8" t="s">
        <v>1260</v>
      </c>
      <c r="B895" s="8" t="s">
        <v>139</v>
      </c>
      <c r="C895" s="8" t="s">
        <v>1681</v>
      </c>
      <c r="D895" s="6" t="s">
        <v>1679</v>
      </c>
      <c r="E895" s="7" t="s">
        <v>1680</v>
      </c>
      <c r="F895" s="7" t="s">
        <v>142</v>
      </c>
      <c r="G895" s="8" t="s">
        <v>143</v>
      </c>
      <c r="H895" s="8" t="s">
        <v>1682</v>
      </c>
      <c r="I895" s="7" t="s">
        <v>25</v>
      </c>
      <c r="J895" s="15">
        <v>20</v>
      </c>
    </row>
    <row r="896" spans="1:10" ht="78" x14ac:dyDescent="0.2">
      <c r="A896" s="8" t="s">
        <v>1260</v>
      </c>
      <c r="B896" s="8" t="s">
        <v>139</v>
      </c>
      <c r="C896" s="8" t="s">
        <v>1681</v>
      </c>
      <c r="D896" s="6" t="s">
        <v>1679</v>
      </c>
      <c r="E896" s="7" t="s">
        <v>1680</v>
      </c>
      <c r="F896" s="7" t="s">
        <v>142</v>
      </c>
      <c r="G896" s="8" t="s">
        <v>145</v>
      </c>
      <c r="H896" s="8" t="s">
        <v>1683</v>
      </c>
      <c r="I896" s="7" t="s">
        <v>25</v>
      </c>
      <c r="J896" s="15">
        <v>20</v>
      </c>
    </row>
    <row r="897" spans="1:10" ht="104" x14ac:dyDescent="0.2">
      <c r="A897" s="8" t="s">
        <v>1260</v>
      </c>
      <c r="B897" s="8" t="s">
        <v>139</v>
      </c>
      <c r="C897" s="8" t="s">
        <v>1681</v>
      </c>
      <c r="D897" s="6" t="s">
        <v>1679</v>
      </c>
      <c r="E897" s="7" t="s">
        <v>1680</v>
      </c>
      <c r="F897" s="7" t="s">
        <v>142</v>
      </c>
      <c r="G897" s="8" t="s">
        <v>1684</v>
      </c>
      <c r="H897" s="8" t="s">
        <v>1685</v>
      </c>
      <c r="I897" s="7" t="s">
        <v>17</v>
      </c>
      <c r="J897" s="15">
        <v>15</v>
      </c>
    </row>
    <row r="898" spans="1:10" ht="91" x14ac:dyDescent="0.2">
      <c r="A898" s="8" t="s">
        <v>1260</v>
      </c>
      <c r="B898" s="8" t="s">
        <v>139</v>
      </c>
      <c r="C898" s="8" t="s">
        <v>1681</v>
      </c>
      <c r="D898" s="6" t="s">
        <v>1679</v>
      </c>
      <c r="E898" s="7" t="s">
        <v>1680</v>
      </c>
      <c r="F898" s="7" t="s">
        <v>142</v>
      </c>
      <c r="G898" s="8" t="s">
        <v>1686</v>
      </c>
      <c r="H898" s="8" t="s">
        <v>1687</v>
      </c>
      <c r="I898" s="7" t="s">
        <v>17</v>
      </c>
      <c r="J898" s="15">
        <v>15</v>
      </c>
    </row>
    <row r="899" spans="1:10" ht="104" x14ac:dyDescent="0.2">
      <c r="A899" s="8" t="s">
        <v>1260</v>
      </c>
      <c r="B899" s="8" t="s">
        <v>139</v>
      </c>
      <c r="C899" s="8" t="s">
        <v>1681</v>
      </c>
      <c r="D899" s="6" t="s">
        <v>1679</v>
      </c>
      <c r="E899" s="7" t="s">
        <v>1680</v>
      </c>
      <c r="F899" s="7" t="s">
        <v>142</v>
      </c>
      <c r="G899" s="8" t="s">
        <v>1688</v>
      </c>
      <c r="H899" s="8" t="s">
        <v>1689</v>
      </c>
      <c r="I899" s="7" t="s">
        <v>17</v>
      </c>
      <c r="J899" s="15">
        <v>15</v>
      </c>
    </row>
    <row r="900" spans="1:10" ht="78" x14ac:dyDescent="0.2">
      <c r="A900" s="8" t="s">
        <v>1260</v>
      </c>
      <c r="B900" s="8" t="s">
        <v>139</v>
      </c>
      <c r="C900" s="8" t="s">
        <v>1681</v>
      </c>
      <c r="D900" s="6" t="s">
        <v>1679</v>
      </c>
      <c r="E900" s="7" t="s">
        <v>1680</v>
      </c>
      <c r="F900" s="7" t="s">
        <v>142</v>
      </c>
      <c r="G900" s="8" t="s">
        <v>917</v>
      </c>
      <c r="H900" s="8" t="s">
        <v>1690</v>
      </c>
      <c r="I900" s="7" t="s">
        <v>17</v>
      </c>
      <c r="J900" s="15">
        <v>15</v>
      </c>
    </row>
    <row r="901" spans="1:10" ht="65" x14ac:dyDescent="0.2">
      <c r="A901" s="8" t="s">
        <v>1260</v>
      </c>
      <c r="B901" s="8" t="s">
        <v>139</v>
      </c>
      <c r="C901" s="8" t="s">
        <v>1299</v>
      </c>
      <c r="D901" s="6" t="s">
        <v>1297</v>
      </c>
      <c r="E901" s="7" t="s">
        <v>1298</v>
      </c>
      <c r="F901" s="7" t="s">
        <v>177</v>
      </c>
      <c r="G901" s="8" t="s">
        <v>145</v>
      </c>
      <c r="H901" s="8" t="s">
        <v>621</v>
      </c>
      <c r="I901" s="7" t="s">
        <v>25</v>
      </c>
      <c r="J901" s="15">
        <v>20</v>
      </c>
    </row>
    <row r="902" spans="1:10" ht="78" x14ac:dyDescent="0.2">
      <c r="A902" s="8" t="s">
        <v>1260</v>
      </c>
      <c r="B902" s="8" t="s">
        <v>139</v>
      </c>
      <c r="C902" s="8" t="s">
        <v>1299</v>
      </c>
      <c r="D902" s="6" t="s">
        <v>1297</v>
      </c>
      <c r="E902" s="7" t="s">
        <v>1298</v>
      </c>
      <c r="F902" s="7" t="s">
        <v>177</v>
      </c>
      <c r="G902" s="8" t="s">
        <v>1300</v>
      </c>
      <c r="H902" s="8" t="s">
        <v>1301</v>
      </c>
      <c r="I902" s="7" t="s">
        <v>17</v>
      </c>
      <c r="J902" s="15">
        <v>25</v>
      </c>
    </row>
    <row r="903" spans="1:10" ht="65" x14ac:dyDescent="0.2">
      <c r="A903" s="8" t="s">
        <v>1260</v>
      </c>
      <c r="B903" s="8" t="s">
        <v>139</v>
      </c>
      <c r="C903" s="8" t="s">
        <v>1299</v>
      </c>
      <c r="D903" s="6" t="s">
        <v>1297</v>
      </c>
      <c r="E903" s="7" t="s">
        <v>1298</v>
      </c>
      <c r="F903" s="7" t="s">
        <v>177</v>
      </c>
      <c r="G903" s="8" t="s">
        <v>1302</v>
      </c>
      <c r="H903" s="8" t="s">
        <v>1303</v>
      </c>
      <c r="I903" s="7" t="s">
        <v>17</v>
      </c>
      <c r="J903" s="15">
        <v>20</v>
      </c>
    </row>
    <row r="904" spans="1:10" ht="104" x14ac:dyDescent="0.2">
      <c r="A904" s="8" t="s">
        <v>1260</v>
      </c>
      <c r="B904" s="8" t="s">
        <v>139</v>
      </c>
      <c r="C904" s="8" t="s">
        <v>1299</v>
      </c>
      <c r="D904" s="6" t="s">
        <v>1297</v>
      </c>
      <c r="E904" s="7" t="s">
        <v>1298</v>
      </c>
      <c r="F904" s="7" t="s">
        <v>177</v>
      </c>
      <c r="G904" s="8" t="s">
        <v>1304</v>
      </c>
      <c r="H904" s="8" t="s">
        <v>1305</v>
      </c>
      <c r="I904" s="7" t="s">
        <v>17</v>
      </c>
      <c r="J904" s="15">
        <v>25</v>
      </c>
    </row>
    <row r="905" spans="1:10" ht="182" x14ac:dyDescent="0.2">
      <c r="A905" s="8" t="s">
        <v>1260</v>
      </c>
      <c r="B905" s="8" t="s">
        <v>139</v>
      </c>
      <c r="C905" s="8" t="s">
        <v>1299</v>
      </c>
      <c r="D905" s="6" t="s">
        <v>1297</v>
      </c>
      <c r="E905" s="7" t="s">
        <v>1298</v>
      </c>
      <c r="F905" s="7" t="s">
        <v>177</v>
      </c>
      <c r="G905" s="8" t="s">
        <v>143</v>
      </c>
      <c r="H905" s="8" t="s">
        <v>627</v>
      </c>
      <c r="I905" s="7" t="s">
        <v>25</v>
      </c>
      <c r="J905" s="15">
        <v>10</v>
      </c>
    </row>
    <row r="906" spans="1:10" ht="65" x14ac:dyDescent="0.2">
      <c r="A906" s="8" t="s">
        <v>1260</v>
      </c>
      <c r="B906" s="8" t="s">
        <v>139</v>
      </c>
      <c r="C906" s="8" t="s">
        <v>1118</v>
      </c>
      <c r="D906" s="6" t="s">
        <v>141</v>
      </c>
      <c r="E906" s="7" t="s">
        <v>142</v>
      </c>
      <c r="F906" s="7" t="s">
        <v>618</v>
      </c>
      <c r="G906" s="8" t="s">
        <v>145</v>
      </c>
      <c r="H906" s="8" t="s">
        <v>1038</v>
      </c>
      <c r="I906" s="7" t="s">
        <v>25</v>
      </c>
      <c r="J906" s="15">
        <v>20</v>
      </c>
    </row>
    <row r="907" spans="1:10" ht="78" x14ac:dyDescent="0.2">
      <c r="A907" s="8" t="s">
        <v>1260</v>
      </c>
      <c r="B907" s="8" t="s">
        <v>139</v>
      </c>
      <c r="C907" s="8" t="s">
        <v>1118</v>
      </c>
      <c r="D907" s="6" t="s">
        <v>141</v>
      </c>
      <c r="E907" s="7" t="s">
        <v>142</v>
      </c>
      <c r="F907" s="7" t="s">
        <v>618</v>
      </c>
      <c r="G907" s="8" t="s">
        <v>1119</v>
      </c>
      <c r="H907" s="8" t="s">
        <v>1120</v>
      </c>
      <c r="I907" s="7" t="s">
        <v>17</v>
      </c>
      <c r="J907" s="15">
        <v>15</v>
      </c>
    </row>
    <row r="908" spans="1:10" ht="65" x14ac:dyDescent="0.2">
      <c r="A908" s="8" t="s">
        <v>1260</v>
      </c>
      <c r="B908" s="8" t="s">
        <v>139</v>
      </c>
      <c r="C908" s="8" t="s">
        <v>1118</v>
      </c>
      <c r="D908" s="6" t="s">
        <v>141</v>
      </c>
      <c r="E908" s="7" t="s">
        <v>142</v>
      </c>
      <c r="F908" s="7" t="s">
        <v>618</v>
      </c>
      <c r="G908" s="8" t="s">
        <v>917</v>
      </c>
      <c r="H908" s="8" t="s">
        <v>1121</v>
      </c>
      <c r="I908" s="7" t="s">
        <v>17</v>
      </c>
      <c r="J908" s="15">
        <v>15</v>
      </c>
    </row>
    <row r="909" spans="1:10" ht="182" x14ac:dyDescent="0.2">
      <c r="A909" s="8" t="s">
        <v>1260</v>
      </c>
      <c r="B909" s="8" t="s">
        <v>139</v>
      </c>
      <c r="C909" s="8" t="s">
        <v>1118</v>
      </c>
      <c r="D909" s="6" t="s">
        <v>141</v>
      </c>
      <c r="E909" s="7" t="s">
        <v>142</v>
      </c>
      <c r="F909" s="7" t="s">
        <v>618</v>
      </c>
      <c r="G909" s="8" t="s">
        <v>143</v>
      </c>
      <c r="H909" s="8" t="s">
        <v>1122</v>
      </c>
      <c r="I909" s="7" t="s">
        <v>25</v>
      </c>
      <c r="J909" s="15">
        <v>20</v>
      </c>
    </row>
    <row r="910" spans="1:10" ht="104" x14ac:dyDescent="0.2">
      <c r="A910" s="8" t="s">
        <v>1260</v>
      </c>
      <c r="B910" s="8" t="s">
        <v>139</v>
      </c>
      <c r="C910" s="8" t="s">
        <v>1118</v>
      </c>
      <c r="D910" s="6" t="s">
        <v>141</v>
      </c>
      <c r="E910" s="7" t="s">
        <v>142</v>
      </c>
      <c r="F910" s="7" t="s">
        <v>618</v>
      </c>
      <c r="G910" s="8" t="s">
        <v>1037</v>
      </c>
      <c r="H910" s="8" t="s">
        <v>1123</v>
      </c>
      <c r="I910" s="7" t="s">
        <v>17</v>
      </c>
      <c r="J910" s="15">
        <v>15</v>
      </c>
    </row>
    <row r="911" spans="1:10" ht="169" x14ac:dyDescent="0.2">
      <c r="A911" s="8" t="s">
        <v>1260</v>
      </c>
      <c r="B911" s="8" t="s">
        <v>139</v>
      </c>
      <c r="C911" s="8" t="s">
        <v>1118</v>
      </c>
      <c r="D911" s="6" t="s">
        <v>141</v>
      </c>
      <c r="E911" s="7" t="s">
        <v>142</v>
      </c>
      <c r="F911" s="7" t="s">
        <v>618</v>
      </c>
      <c r="G911" s="8" t="s">
        <v>913</v>
      </c>
      <c r="H911" s="8" t="s">
        <v>1124</v>
      </c>
      <c r="I911" s="7" t="s">
        <v>17</v>
      </c>
      <c r="J911" s="15">
        <v>15</v>
      </c>
    </row>
    <row r="912" spans="1:10" ht="52" x14ac:dyDescent="0.2">
      <c r="A912" s="8" t="s">
        <v>1260</v>
      </c>
      <c r="B912" s="8" t="s">
        <v>139</v>
      </c>
      <c r="C912" s="8" t="s">
        <v>616</v>
      </c>
      <c r="D912" s="6" t="s">
        <v>176</v>
      </c>
      <c r="E912" s="7" t="s">
        <v>177</v>
      </c>
      <c r="F912" s="7" t="s">
        <v>618</v>
      </c>
      <c r="G912" s="8" t="s">
        <v>619</v>
      </c>
      <c r="H912" s="8" t="s">
        <v>620</v>
      </c>
      <c r="I912" s="7" t="s">
        <v>25</v>
      </c>
      <c r="J912" s="15">
        <v>10</v>
      </c>
    </row>
    <row r="913" spans="1:10" ht="65" x14ac:dyDescent="0.2">
      <c r="A913" s="8" t="s">
        <v>1260</v>
      </c>
      <c r="B913" s="8" t="s">
        <v>139</v>
      </c>
      <c r="C913" s="8" t="s">
        <v>616</v>
      </c>
      <c r="D913" s="6" t="s">
        <v>176</v>
      </c>
      <c r="E913" s="7" t="s">
        <v>177</v>
      </c>
      <c r="F913" s="7" t="s">
        <v>618</v>
      </c>
      <c r="G913" s="8" t="s">
        <v>145</v>
      </c>
      <c r="H913" s="8" t="s">
        <v>621</v>
      </c>
      <c r="I913" s="7" t="s">
        <v>25</v>
      </c>
      <c r="J913" s="15">
        <v>10</v>
      </c>
    </row>
    <row r="914" spans="1:10" ht="78" x14ac:dyDescent="0.2">
      <c r="A914" s="8" t="s">
        <v>1260</v>
      </c>
      <c r="B914" s="8" t="s">
        <v>139</v>
      </c>
      <c r="C914" s="8" t="s">
        <v>616</v>
      </c>
      <c r="D914" s="6" t="s">
        <v>176</v>
      </c>
      <c r="E914" s="7" t="s">
        <v>177</v>
      </c>
      <c r="F914" s="7" t="s">
        <v>618</v>
      </c>
      <c r="G914" s="8" t="s">
        <v>622</v>
      </c>
      <c r="H914" s="8" t="s">
        <v>623</v>
      </c>
      <c r="I914" s="7" t="s">
        <v>17</v>
      </c>
      <c r="J914" s="15">
        <v>20</v>
      </c>
    </row>
    <row r="915" spans="1:10" ht="91" x14ac:dyDescent="0.2">
      <c r="A915" s="8" t="s">
        <v>1260</v>
      </c>
      <c r="B915" s="8" t="s">
        <v>139</v>
      </c>
      <c r="C915" s="8" t="s">
        <v>616</v>
      </c>
      <c r="D915" s="6" t="s">
        <v>176</v>
      </c>
      <c r="E915" s="7" t="s">
        <v>177</v>
      </c>
      <c r="F915" s="7" t="s">
        <v>618</v>
      </c>
      <c r="G915" s="8" t="s">
        <v>624</v>
      </c>
      <c r="H915" s="8" t="s">
        <v>625</v>
      </c>
      <c r="I915" s="7" t="s">
        <v>25</v>
      </c>
      <c r="J915" s="15">
        <v>30</v>
      </c>
    </row>
    <row r="916" spans="1:10" ht="104" x14ac:dyDescent="0.2">
      <c r="A916" s="8" t="s">
        <v>1260</v>
      </c>
      <c r="B916" s="8" t="s">
        <v>139</v>
      </c>
      <c r="C916" s="8" t="s">
        <v>616</v>
      </c>
      <c r="D916" s="6" t="s">
        <v>176</v>
      </c>
      <c r="E916" s="7" t="s">
        <v>177</v>
      </c>
      <c r="F916" s="7" t="s">
        <v>618</v>
      </c>
      <c r="G916" s="8" t="s">
        <v>180</v>
      </c>
      <c r="H916" s="8" t="s">
        <v>626</v>
      </c>
      <c r="I916" s="7" t="s">
        <v>17</v>
      </c>
      <c r="J916" s="15">
        <v>20</v>
      </c>
    </row>
    <row r="917" spans="1:10" ht="182" x14ac:dyDescent="0.2">
      <c r="A917" s="8" t="s">
        <v>1260</v>
      </c>
      <c r="B917" s="8" t="s">
        <v>139</v>
      </c>
      <c r="C917" s="8" t="s">
        <v>616</v>
      </c>
      <c r="D917" s="6" t="s">
        <v>176</v>
      </c>
      <c r="E917" s="7" t="s">
        <v>177</v>
      </c>
      <c r="F917" s="7" t="s">
        <v>618</v>
      </c>
      <c r="G917" s="8" t="s">
        <v>143</v>
      </c>
      <c r="H917" s="8" t="s">
        <v>627</v>
      </c>
      <c r="I917" s="7" t="s">
        <v>25</v>
      </c>
      <c r="J917" s="15">
        <v>10</v>
      </c>
    </row>
    <row r="918" spans="1:10" ht="117" x14ac:dyDescent="0.2">
      <c r="A918" s="8" t="s">
        <v>1260</v>
      </c>
      <c r="B918" s="8" t="s">
        <v>139</v>
      </c>
      <c r="C918" s="8" t="s">
        <v>910</v>
      </c>
      <c r="D918" s="6" t="s">
        <v>908</v>
      </c>
      <c r="E918" s="7" t="s">
        <v>909</v>
      </c>
      <c r="F918" s="7" t="s">
        <v>142</v>
      </c>
      <c r="G918" s="8" t="s">
        <v>143</v>
      </c>
      <c r="H918" s="8" t="s">
        <v>911</v>
      </c>
      <c r="I918" s="7" t="s">
        <v>25</v>
      </c>
      <c r="J918" s="15">
        <v>20</v>
      </c>
    </row>
    <row r="919" spans="1:10" ht="78" x14ac:dyDescent="0.2">
      <c r="A919" s="8" t="s">
        <v>1260</v>
      </c>
      <c r="B919" s="8" t="s">
        <v>139</v>
      </c>
      <c r="C919" s="8" t="s">
        <v>910</v>
      </c>
      <c r="D919" s="6" t="s">
        <v>908</v>
      </c>
      <c r="E919" s="7" t="s">
        <v>909</v>
      </c>
      <c r="F919" s="7" t="s">
        <v>142</v>
      </c>
      <c r="G919" s="8" t="s">
        <v>145</v>
      </c>
      <c r="H919" s="8" t="s">
        <v>912</v>
      </c>
      <c r="I919" s="7" t="s">
        <v>25</v>
      </c>
      <c r="J919" s="15">
        <v>20</v>
      </c>
    </row>
    <row r="920" spans="1:10" ht="78" x14ac:dyDescent="0.2">
      <c r="A920" s="8" t="s">
        <v>1260</v>
      </c>
      <c r="B920" s="8" t="s">
        <v>139</v>
      </c>
      <c r="C920" s="8" t="s">
        <v>910</v>
      </c>
      <c r="D920" s="6" t="s">
        <v>908</v>
      </c>
      <c r="E920" s="7" t="s">
        <v>909</v>
      </c>
      <c r="F920" s="7" t="s">
        <v>142</v>
      </c>
      <c r="G920" s="8" t="s">
        <v>913</v>
      </c>
      <c r="H920" s="8" t="s">
        <v>914</v>
      </c>
      <c r="I920" s="7" t="s">
        <v>17</v>
      </c>
      <c r="J920" s="15">
        <v>15</v>
      </c>
    </row>
    <row r="921" spans="1:10" ht="78" x14ac:dyDescent="0.2">
      <c r="A921" s="8" t="s">
        <v>1260</v>
      </c>
      <c r="B921" s="8" t="s">
        <v>139</v>
      </c>
      <c r="C921" s="8" t="s">
        <v>910</v>
      </c>
      <c r="D921" s="6" t="s">
        <v>908</v>
      </c>
      <c r="E921" s="7" t="s">
        <v>909</v>
      </c>
      <c r="F921" s="7" t="s">
        <v>142</v>
      </c>
      <c r="G921" s="8" t="s">
        <v>915</v>
      </c>
      <c r="H921" s="8" t="s">
        <v>916</v>
      </c>
      <c r="I921" s="7" t="s">
        <v>17</v>
      </c>
      <c r="J921" s="15">
        <v>15</v>
      </c>
    </row>
    <row r="922" spans="1:10" ht="65" x14ac:dyDescent="0.2">
      <c r="A922" s="8" t="s">
        <v>1260</v>
      </c>
      <c r="B922" s="8" t="s">
        <v>139</v>
      </c>
      <c r="C922" s="8" t="s">
        <v>910</v>
      </c>
      <c r="D922" s="6" t="s">
        <v>908</v>
      </c>
      <c r="E922" s="7" t="s">
        <v>909</v>
      </c>
      <c r="F922" s="7" t="s">
        <v>142</v>
      </c>
      <c r="G922" s="8" t="s">
        <v>917</v>
      </c>
      <c r="H922" s="8" t="s">
        <v>918</v>
      </c>
      <c r="I922" s="7" t="s">
        <v>17</v>
      </c>
      <c r="J922" s="15">
        <v>15</v>
      </c>
    </row>
    <row r="923" spans="1:10" ht="104" x14ac:dyDescent="0.2">
      <c r="A923" s="8" t="s">
        <v>1260</v>
      </c>
      <c r="B923" s="8" t="s">
        <v>139</v>
      </c>
      <c r="C923" s="8" t="s">
        <v>910</v>
      </c>
      <c r="D923" s="6" t="s">
        <v>908</v>
      </c>
      <c r="E923" s="7" t="s">
        <v>909</v>
      </c>
      <c r="F923" s="7" t="s">
        <v>142</v>
      </c>
      <c r="G923" s="8" t="s">
        <v>919</v>
      </c>
      <c r="H923" s="8" t="s">
        <v>920</v>
      </c>
      <c r="I923" s="7" t="s">
        <v>17</v>
      </c>
      <c r="J923" s="15">
        <v>15</v>
      </c>
    </row>
    <row r="924" spans="1:10" ht="39" x14ac:dyDescent="0.2">
      <c r="A924" s="8" t="s">
        <v>1260</v>
      </c>
      <c r="B924" s="8" t="s">
        <v>245</v>
      </c>
      <c r="C924" s="8" t="s">
        <v>2512</v>
      </c>
      <c r="D924" s="6" t="s">
        <v>2510</v>
      </c>
      <c r="E924" s="7" t="s">
        <v>2511</v>
      </c>
      <c r="F924" s="7" t="s">
        <v>244</v>
      </c>
      <c r="G924" s="8" t="s">
        <v>2513</v>
      </c>
      <c r="H924" s="8" t="s">
        <v>2514</v>
      </c>
      <c r="I924" s="7" t="s">
        <v>17</v>
      </c>
      <c r="J924" s="15">
        <v>20</v>
      </c>
    </row>
    <row r="925" spans="1:10" ht="39" x14ac:dyDescent="0.2">
      <c r="A925" s="8" t="s">
        <v>1260</v>
      </c>
      <c r="B925" s="8" t="s">
        <v>245</v>
      </c>
      <c r="C925" s="8" t="s">
        <v>2512</v>
      </c>
      <c r="D925" s="6" t="s">
        <v>2510</v>
      </c>
      <c r="E925" s="7" t="s">
        <v>2511</v>
      </c>
      <c r="F925" s="7" t="s">
        <v>244</v>
      </c>
      <c r="G925" s="8" t="s">
        <v>2515</v>
      </c>
      <c r="H925" s="8" t="s">
        <v>2516</v>
      </c>
      <c r="I925" s="7" t="s">
        <v>17</v>
      </c>
      <c r="J925" s="15">
        <v>10</v>
      </c>
    </row>
    <row r="926" spans="1:10" ht="39" x14ac:dyDescent="0.2">
      <c r="A926" s="8" t="s">
        <v>1260</v>
      </c>
      <c r="B926" s="8" t="s">
        <v>245</v>
      </c>
      <c r="C926" s="8" t="s">
        <v>2512</v>
      </c>
      <c r="D926" s="6" t="s">
        <v>2510</v>
      </c>
      <c r="E926" s="7" t="s">
        <v>2511</v>
      </c>
      <c r="F926" s="7" t="s">
        <v>244</v>
      </c>
      <c r="G926" s="8" t="s">
        <v>2517</v>
      </c>
      <c r="H926" s="8" t="s">
        <v>2518</v>
      </c>
      <c r="I926" s="7" t="s">
        <v>17</v>
      </c>
      <c r="J926" s="15">
        <v>20</v>
      </c>
    </row>
    <row r="927" spans="1:10" ht="39" x14ac:dyDescent="0.2">
      <c r="A927" s="8" t="s">
        <v>1260</v>
      </c>
      <c r="B927" s="8" t="s">
        <v>245</v>
      </c>
      <c r="C927" s="8" t="s">
        <v>2512</v>
      </c>
      <c r="D927" s="6" t="s">
        <v>2510</v>
      </c>
      <c r="E927" s="7" t="s">
        <v>2511</v>
      </c>
      <c r="F927" s="7" t="s">
        <v>244</v>
      </c>
      <c r="G927" s="8" t="s">
        <v>2519</v>
      </c>
      <c r="H927" s="8" t="s">
        <v>2520</v>
      </c>
      <c r="I927" s="7" t="s">
        <v>17</v>
      </c>
      <c r="J927" s="15">
        <v>20</v>
      </c>
    </row>
    <row r="928" spans="1:10" ht="104" x14ac:dyDescent="0.2">
      <c r="A928" s="8" t="s">
        <v>1260</v>
      </c>
      <c r="B928" s="8" t="s">
        <v>245</v>
      </c>
      <c r="C928" s="8" t="s">
        <v>2512</v>
      </c>
      <c r="D928" s="6" t="s">
        <v>2510</v>
      </c>
      <c r="E928" s="7" t="s">
        <v>2511</v>
      </c>
      <c r="F928" s="7" t="s">
        <v>244</v>
      </c>
      <c r="G928" s="8" t="s">
        <v>253</v>
      </c>
      <c r="H928" s="8" t="s">
        <v>1137</v>
      </c>
      <c r="I928" s="7" t="s">
        <v>25</v>
      </c>
      <c r="J928" s="15">
        <v>15</v>
      </c>
    </row>
    <row r="929" spans="1:10" ht="104" x14ac:dyDescent="0.2">
      <c r="A929" s="8" t="s">
        <v>1260</v>
      </c>
      <c r="B929" s="8" t="s">
        <v>245</v>
      </c>
      <c r="C929" s="8" t="s">
        <v>2512</v>
      </c>
      <c r="D929" s="6" t="s">
        <v>2510</v>
      </c>
      <c r="E929" s="7" t="s">
        <v>2511</v>
      </c>
      <c r="F929" s="7" t="s">
        <v>244</v>
      </c>
      <c r="G929" s="8" t="s">
        <v>257</v>
      </c>
      <c r="H929" s="8" t="s">
        <v>1134</v>
      </c>
      <c r="I929" s="7" t="s">
        <v>25</v>
      </c>
      <c r="J929" s="15">
        <v>15</v>
      </c>
    </row>
    <row r="930" spans="1:10" ht="52" x14ac:dyDescent="0.2">
      <c r="A930" s="8" t="s">
        <v>1260</v>
      </c>
      <c r="B930" s="8" t="s">
        <v>245</v>
      </c>
      <c r="C930" s="8" t="s">
        <v>1127</v>
      </c>
      <c r="D930" s="6" t="s">
        <v>1125</v>
      </c>
      <c r="E930" s="7" t="s">
        <v>1126</v>
      </c>
      <c r="F930" s="7" t="s">
        <v>244</v>
      </c>
      <c r="G930" s="8" t="s">
        <v>1128</v>
      </c>
      <c r="H930" s="8" t="s">
        <v>1129</v>
      </c>
      <c r="I930" s="7" t="s">
        <v>17</v>
      </c>
      <c r="J930" s="15">
        <v>15</v>
      </c>
    </row>
    <row r="931" spans="1:10" ht="52" x14ac:dyDescent="0.2">
      <c r="A931" s="8" t="s">
        <v>1260</v>
      </c>
      <c r="B931" s="8" t="s">
        <v>245</v>
      </c>
      <c r="C931" s="8" t="s">
        <v>1127</v>
      </c>
      <c r="D931" s="6" t="s">
        <v>1125</v>
      </c>
      <c r="E931" s="7" t="s">
        <v>1126</v>
      </c>
      <c r="F931" s="7" t="s">
        <v>244</v>
      </c>
      <c r="G931" s="8" t="s">
        <v>1130</v>
      </c>
      <c r="H931" s="8" t="s">
        <v>1131</v>
      </c>
      <c r="I931" s="7" t="s">
        <v>17</v>
      </c>
      <c r="J931" s="15">
        <v>15</v>
      </c>
    </row>
    <row r="932" spans="1:10" ht="39" x14ac:dyDescent="0.2">
      <c r="A932" s="8" t="s">
        <v>1260</v>
      </c>
      <c r="B932" s="8" t="s">
        <v>245</v>
      </c>
      <c r="C932" s="8" t="s">
        <v>1127</v>
      </c>
      <c r="D932" s="6" t="s">
        <v>1125</v>
      </c>
      <c r="E932" s="7" t="s">
        <v>1126</v>
      </c>
      <c r="F932" s="7" t="s">
        <v>244</v>
      </c>
      <c r="G932" s="8" t="s">
        <v>1132</v>
      </c>
      <c r="H932" s="8" t="s">
        <v>1133</v>
      </c>
      <c r="I932" s="7" t="s">
        <v>17</v>
      </c>
      <c r="J932" s="15">
        <v>20</v>
      </c>
    </row>
    <row r="933" spans="1:10" ht="104" x14ac:dyDescent="0.2">
      <c r="A933" s="8" t="s">
        <v>1260</v>
      </c>
      <c r="B933" s="8" t="s">
        <v>245</v>
      </c>
      <c r="C933" s="8" t="s">
        <v>1127</v>
      </c>
      <c r="D933" s="6" t="s">
        <v>1125</v>
      </c>
      <c r="E933" s="7" t="s">
        <v>1126</v>
      </c>
      <c r="F933" s="7" t="s">
        <v>244</v>
      </c>
      <c r="G933" s="8" t="s">
        <v>257</v>
      </c>
      <c r="H933" s="8" t="s">
        <v>1134</v>
      </c>
      <c r="I933" s="7" t="s">
        <v>25</v>
      </c>
      <c r="J933" s="15">
        <v>15</v>
      </c>
    </row>
    <row r="934" spans="1:10" ht="52" x14ac:dyDescent="0.2">
      <c r="A934" s="8" t="s">
        <v>1260</v>
      </c>
      <c r="B934" s="8" t="s">
        <v>245</v>
      </c>
      <c r="C934" s="8" t="s">
        <v>1127</v>
      </c>
      <c r="D934" s="6" t="s">
        <v>1125</v>
      </c>
      <c r="E934" s="7" t="s">
        <v>1126</v>
      </c>
      <c r="F934" s="7" t="s">
        <v>244</v>
      </c>
      <c r="G934" s="8" t="s">
        <v>1135</v>
      </c>
      <c r="H934" s="8" t="s">
        <v>1136</v>
      </c>
      <c r="I934" s="7" t="s">
        <v>17</v>
      </c>
      <c r="J934" s="15">
        <v>20</v>
      </c>
    </row>
    <row r="935" spans="1:10" ht="104" x14ac:dyDescent="0.2">
      <c r="A935" s="8" t="s">
        <v>1260</v>
      </c>
      <c r="B935" s="8" t="s">
        <v>245</v>
      </c>
      <c r="C935" s="8" t="s">
        <v>1127</v>
      </c>
      <c r="D935" s="6" t="s">
        <v>1125</v>
      </c>
      <c r="E935" s="7" t="s">
        <v>1126</v>
      </c>
      <c r="F935" s="7" t="s">
        <v>244</v>
      </c>
      <c r="G935" s="8" t="s">
        <v>253</v>
      </c>
      <c r="H935" s="8" t="s">
        <v>1137</v>
      </c>
      <c r="I935" s="7" t="s">
        <v>25</v>
      </c>
      <c r="J935" s="15">
        <v>15</v>
      </c>
    </row>
    <row r="936" spans="1:10" ht="52" x14ac:dyDescent="0.2">
      <c r="A936" s="8" t="s">
        <v>1260</v>
      </c>
      <c r="B936" s="8" t="s">
        <v>245</v>
      </c>
      <c r="C936" s="8" t="s">
        <v>2744</v>
      </c>
      <c r="D936" s="6" t="s">
        <v>2742</v>
      </c>
      <c r="E936" s="7" t="s">
        <v>2743</v>
      </c>
      <c r="F936" s="7" t="s">
        <v>244</v>
      </c>
      <c r="G936" s="8" t="s">
        <v>2745</v>
      </c>
      <c r="H936" s="8" t="s">
        <v>2746</v>
      </c>
      <c r="I936" s="7" t="s">
        <v>17</v>
      </c>
      <c r="J936" s="15">
        <v>15</v>
      </c>
    </row>
    <row r="937" spans="1:10" ht="39" x14ac:dyDescent="0.2">
      <c r="A937" s="8" t="s">
        <v>1260</v>
      </c>
      <c r="B937" s="8" t="s">
        <v>245</v>
      </c>
      <c r="C937" s="8" t="s">
        <v>2744</v>
      </c>
      <c r="D937" s="6" t="s">
        <v>2742</v>
      </c>
      <c r="E937" s="7" t="s">
        <v>2743</v>
      </c>
      <c r="F937" s="7" t="s">
        <v>244</v>
      </c>
      <c r="G937" s="8" t="s">
        <v>2747</v>
      </c>
      <c r="H937" s="8" t="s">
        <v>2748</v>
      </c>
      <c r="I937" s="7" t="s">
        <v>17</v>
      </c>
      <c r="J937" s="15">
        <v>20</v>
      </c>
    </row>
    <row r="938" spans="1:10" ht="39" x14ac:dyDescent="0.2">
      <c r="A938" s="8" t="s">
        <v>1260</v>
      </c>
      <c r="B938" s="8" t="s">
        <v>245</v>
      </c>
      <c r="C938" s="8" t="s">
        <v>2744</v>
      </c>
      <c r="D938" s="6" t="s">
        <v>2742</v>
      </c>
      <c r="E938" s="7" t="s">
        <v>2743</v>
      </c>
      <c r="F938" s="7" t="s">
        <v>244</v>
      </c>
      <c r="G938" s="8" t="s">
        <v>2749</v>
      </c>
      <c r="H938" s="8" t="s">
        <v>2750</v>
      </c>
      <c r="I938" s="7" t="s">
        <v>17</v>
      </c>
      <c r="J938" s="15">
        <v>15</v>
      </c>
    </row>
    <row r="939" spans="1:10" ht="39" x14ac:dyDescent="0.2">
      <c r="A939" s="8" t="s">
        <v>1260</v>
      </c>
      <c r="B939" s="8" t="s">
        <v>245</v>
      </c>
      <c r="C939" s="8" t="s">
        <v>2744</v>
      </c>
      <c r="D939" s="6" t="s">
        <v>2742</v>
      </c>
      <c r="E939" s="7" t="s">
        <v>2743</v>
      </c>
      <c r="F939" s="7" t="s">
        <v>244</v>
      </c>
      <c r="G939" s="8" t="s">
        <v>2751</v>
      </c>
      <c r="H939" s="8" t="s">
        <v>2752</v>
      </c>
      <c r="I939" s="7" t="s">
        <v>17</v>
      </c>
      <c r="J939" s="15">
        <v>20</v>
      </c>
    </row>
    <row r="940" spans="1:10" ht="78" x14ac:dyDescent="0.2">
      <c r="A940" s="8" t="s">
        <v>1260</v>
      </c>
      <c r="B940" s="8" t="s">
        <v>245</v>
      </c>
      <c r="C940" s="8" t="s">
        <v>2744</v>
      </c>
      <c r="D940" s="6" t="s">
        <v>2742</v>
      </c>
      <c r="E940" s="7" t="s">
        <v>2743</v>
      </c>
      <c r="F940" s="7" t="s">
        <v>244</v>
      </c>
      <c r="G940" s="8" t="s">
        <v>253</v>
      </c>
      <c r="H940" s="8" t="s">
        <v>2753</v>
      </c>
      <c r="I940" s="7" t="s">
        <v>25</v>
      </c>
      <c r="J940" s="15">
        <v>15</v>
      </c>
    </row>
    <row r="941" spans="1:10" ht="65" x14ac:dyDescent="0.2">
      <c r="A941" s="8" t="s">
        <v>1260</v>
      </c>
      <c r="B941" s="8" t="s">
        <v>245</v>
      </c>
      <c r="C941" s="8" t="s">
        <v>2744</v>
      </c>
      <c r="D941" s="6" t="s">
        <v>2742</v>
      </c>
      <c r="E941" s="7" t="s">
        <v>2743</v>
      </c>
      <c r="F941" s="7" t="s">
        <v>244</v>
      </c>
      <c r="G941" s="8" t="s">
        <v>737</v>
      </c>
      <c r="H941" s="8" t="s">
        <v>2754</v>
      </c>
      <c r="I941" s="7" t="s">
        <v>25</v>
      </c>
      <c r="J941" s="15">
        <v>15</v>
      </c>
    </row>
    <row r="942" spans="1:10" ht="39" x14ac:dyDescent="0.2">
      <c r="A942" s="8" t="s">
        <v>1260</v>
      </c>
      <c r="B942" s="8" t="s">
        <v>245</v>
      </c>
      <c r="C942" s="8" t="s">
        <v>1897</v>
      </c>
      <c r="D942" s="6" t="s">
        <v>1895</v>
      </c>
      <c r="E942" s="7" t="s">
        <v>1896</v>
      </c>
      <c r="F942" s="7" t="s">
        <v>244</v>
      </c>
      <c r="G942" s="8" t="s">
        <v>1898</v>
      </c>
      <c r="H942" s="8" t="s">
        <v>1899</v>
      </c>
      <c r="I942" s="7" t="s">
        <v>17</v>
      </c>
      <c r="J942" s="15">
        <v>20</v>
      </c>
    </row>
    <row r="943" spans="1:10" ht="52" x14ac:dyDescent="0.2">
      <c r="A943" s="8" t="s">
        <v>1260</v>
      </c>
      <c r="B943" s="8" t="s">
        <v>245</v>
      </c>
      <c r="C943" s="8" t="s">
        <v>1897</v>
      </c>
      <c r="D943" s="6" t="s">
        <v>1895</v>
      </c>
      <c r="E943" s="7" t="s">
        <v>1896</v>
      </c>
      <c r="F943" s="7" t="s">
        <v>244</v>
      </c>
      <c r="G943" s="8" t="s">
        <v>1900</v>
      </c>
      <c r="H943" s="8" t="s">
        <v>1901</v>
      </c>
      <c r="I943" s="7" t="s">
        <v>17</v>
      </c>
      <c r="J943" s="15">
        <v>15</v>
      </c>
    </row>
    <row r="944" spans="1:10" ht="39" x14ac:dyDescent="0.2">
      <c r="A944" s="8" t="s">
        <v>1260</v>
      </c>
      <c r="B944" s="8" t="s">
        <v>245</v>
      </c>
      <c r="C944" s="8" t="s">
        <v>1897</v>
      </c>
      <c r="D944" s="6" t="s">
        <v>1895</v>
      </c>
      <c r="E944" s="7" t="s">
        <v>1896</v>
      </c>
      <c r="F944" s="7" t="s">
        <v>244</v>
      </c>
      <c r="G944" s="8" t="s">
        <v>1902</v>
      </c>
      <c r="H944" s="8" t="s">
        <v>1903</v>
      </c>
      <c r="I944" s="7" t="s">
        <v>25</v>
      </c>
      <c r="J944" s="15">
        <v>15</v>
      </c>
    </row>
    <row r="945" spans="1:10" ht="39" x14ac:dyDescent="0.2">
      <c r="A945" s="8" t="s">
        <v>1260</v>
      </c>
      <c r="B945" s="8" t="s">
        <v>245</v>
      </c>
      <c r="C945" s="8" t="s">
        <v>1897</v>
      </c>
      <c r="D945" s="6" t="s">
        <v>1895</v>
      </c>
      <c r="E945" s="7" t="s">
        <v>1896</v>
      </c>
      <c r="F945" s="7" t="s">
        <v>244</v>
      </c>
      <c r="G945" s="8" t="s">
        <v>1904</v>
      </c>
      <c r="H945" s="8" t="s">
        <v>1905</v>
      </c>
      <c r="I945" s="7" t="s">
        <v>17</v>
      </c>
      <c r="J945" s="15">
        <v>20</v>
      </c>
    </row>
    <row r="946" spans="1:10" ht="104" x14ac:dyDescent="0.2">
      <c r="A946" s="8" t="s">
        <v>1260</v>
      </c>
      <c r="B946" s="8" t="s">
        <v>245</v>
      </c>
      <c r="C946" s="8" t="s">
        <v>1897</v>
      </c>
      <c r="D946" s="6" t="s">
        <v>1895</v>
      </c>
      <c r="E946" s="7" t="s">
        <v>1896</v>
      </c>
      <c r="F946" s="7" t="s">
        <v>244</v>
      </c>
      <c r="G946" s="8" t="s">
        <v>257</v>
      </c>
      <c r="H946" s="8" t="s">
        <v>1134</v>
      </c>
      <c r="I946" s="7" t="s">
        <v>25</v>
      </c>
      <c r="J946" s="15">
        <v>15</v>
      </c>
    </row>
    <row r="947" spans="1:10" ht="104" x14ac:dyDescent="0.2">
      <c r="A947" s="8" t="s">
        <v>1260</v>
      </c>
      <c r="B947" s="8" t="s">
        <v>245</v>
      </c>
      <c r="C947" s="8" t="s">
        <v>1897</v>
      </c>
      <c r="D947" s="6" t="s">
        <v>1895</v>
      </c>
      <c r="E947" s="7" t="s">
        <v>1896</v>
      </c>
      <c r="F947" s="7" t="s">
        <v>244</v>
      </c>
      <c r="G947" s="8" t="s">
        <v>253</v>
      </c>
      <c r="H947" s="8" t="s">
        <v>1137</v>
      </c>
      <c r="I947" s="7" t="s">
        <v>25</v>
      </c>
      <c r="J947" s="15">
        <v>15</v>
      </c>
    </row>
    <row r="948" spans="1:10" ht="52" x14ac:dyDescent="0.2">
      <c r="A948" s="8" t="s">
        <v>1260</v>
      </c>
      <c r="B948" s="8" t="s">
        <v>245</v>
      </c>
      <c r="C948" s="8" t="s">
        <v>923</v>
      </c>
      <c r="D948" s="6" t="s">
        <v>921</v>
      </c>
      <c r="E948" s="7" t="s">
        <v>922</v>
      </c>
      <c r="F948" s="7" t="s">
        <v>925</v>
      </c>
      <c r="G948" s="8" t="s">
        <v>926</v>
      </c>
      <c r="H948" s="8" t="s">
        <v>927</v>
      </c>
      <c r="I948" s="7" t="s">
        <v>17</v>
      </c>
      <c r="J948" s="15">
        <v>25</v>
      </c>
    </row>
    <row r="949" spans="1:10" ht="65" x14ac:dyDescent="0.2">
      <c r="A949" s="8" t="s">
        <v>1260</v>
      </c>
      <c r="B949" s="8" t="s">
        <v>245</v>
      </c>
      <c r="C949" s="8" t="s">
        <v>923</v>
      </c>
      <c r="D949" s="6" t="s">
        <v>921</v>
      </c>
      <c r="E949" s="7" t="s">
        <v>922</v>
      </c>
      <c r="F949" s="7" t="s">
        <v>925</v>
      </c>
      <c r="G949" s="8" t="s">
        <v>928</v>
      </c>
      <c r="H949" s="8" t="s">
        <v>929</v>
      </c>
      <c r="I949" s="7" t="s">
        <v>17</v>
      </c>
      <c r="J949" s="15">
        <v>20</v>
      </c>
    </row>
    <row r="950" spans="1:10" ht="52" x14ac:dyDescent="0.2">
      <c r="A950" s="8" t="s">
        <v>1260</v>
      </c>
      <c r="B950" s="8" t="s">
        <v>245</v>
      </c>
      <c r="C950" s="8" t="s">
        <v>923</v>
      </c>
      <c r="D950" s="6" t="s">
        <v>921</v>
      </c>
      <c r="E950" s="7" t="s">
        <v>922</v>
      </c>
      <c r="F950" s="7" t="s">
        <v>925</v>
      </c>
      <c r="G950" s="8" t="s">
        <v>930</v>
      </c>
      <c r="H950" s="8" t="s">
        <v>931</v>
      </c>
      <c r="I950" s="7" t="s">
        <v>17</v>
      </c>
      <c r="J950" s="15">
        <v>25</v>
      </c>
    </row>
    <row r="951" spans="1:10" ht="104" x14ac:dyDescent="0.2">
      <c r="A951" s="8" t="s">
        <v>1260</v>
      </c>
      <c r="B951" s="8" t="s">
        <v>245</v>
      </c>
      <c r="C951" s="8" t="s">
        <v>923</v>
      </c>
      <c r="D951" s="6" t="s">
        <v>921</v>
      </c>
      <c r="E951" s="7" t="s">
        <v>922</v>
      </c>
      <c r="F951" s="7" t="s">
        <v>925</v>
      </c>
      <c r="G951" s="8" t="s">
        <v>253</v>
      </c>
      <c r="H951" s="8" t="s">
        <v>932</v>
      </c>
      <c r="I951" s="7" t="s">
        <v>25</v>
      </c>
      <c r="J951" s="15">
        <v>15</v>
      </c>
    </row>
    <row r="952" spans="1:10" ht="104" x14ac:dyDescent="0.2">
      <c r="A952" s="8" t="s">
        <v>1260</v>
      </c>
      <c r="B952" s="8" t="s">
        <v>245</v>
      </c>
      <c r="C952" s="8" t="s">
        <v>923</v>
      </c>
      <c r="D952" s="6" t="s">
        <v>921</v>
      </c>
      <c r="E952" s="7" t="s">
        <v>922</v>
      </c>
      <c r="F952" s="7" t="s">
        <v>925</v>
      </c>
      <c r="G952" s="8" t="s">
        <v>737</v>
      </c>
      <c r="H952" s="8" t="s">
        <v>933</v>
      </c>
      <c r="I952" s="7" t="s">
        <v>25</v>
      </c>
      <c r="J952" s="15">
        <v>15</v>
      </c>
    </row>
    <row r="953" spans="1:10" ht="104" x14ac:dyDescent="0.2">
      <c r="A953" s="8" t="s">
        <v>1260</v>
      </c>
      <c r="B953" s="8" t="s">
        <v>245</v>
      </c>
      <c r="C953" s="8" t="s">
        <v>923</v>
      </c>
      <c r="D953" s="6" t="s">
        <v>1221</v>
      </c>
      <c r="E953" s="7" t="s">
        <v>1222</v>
      </c>
      <c r="F953" s="7" t="s">
        <v>925</v>
      </c>
      <c r="G953" s="8" t="s">
        <v>253</v>
      </c>
      <c r="H953" s="8" t="s">
        <v>1223</v>
      </c>
      <c r="I953" s="7" t="s">
        <v>25</v>
      </c>
      <c r="J953" s="15">
        <v>15</v>
      </c>
    </row>
    <row r="954" spans="1:10" ht="104" x14ac:dyDescent="0.2">
      <c r="A954" s="8" t="s">
        <v>1260</v>
      </c>
      <c r="B954" s="8" t="s">
        <v>245</v>
      </c>
      <c r="C954" s="8" t="s">
        <v>923</v>
      </c>
      <c r="D954" s="6" t="s">
        <v>1221</v>
      </c>
      <c r="E954" s="7" t="s">
        <v>1222</v>
      </c>
      <c r="F954" s="7" t="s">
        <v>925</v>
      </c>
      <c r="G954" s="8" t="s">
        <v>737</v>
      </c>
      <c r="H954" s="8" t="s">
        <v>1224</v>
      </c>
      <c r="I954" s="7" t="s">
        <v>25</v>
      </c>
      <c r="J954" s="15">
        <v>15</v>
      </c>
    </row>
    <row r="955" spans="1:10" ht="39" x14ac:dyDescent="0.2">
      <c r="A955" s="8" t="s">
        <v>1260</v>
      </c>
      <c r="B955" s="8" t="s">
        <v>245</v>
      </c>
      <c r="C955" s="8" t="s">
        <v>923</v>
      </c>
      <c r="D955" s="6" t="s">
        <v>1221</v>
      </c>
      <c r="E955" s="7" t="s">
        <v>1222</v>
      </c>
      <c r="F955" s="7" t="s">
        <v>925</v>
      </c>
      <c r="G955" s="8" t="s">
        <v>1225</v>
      </c>
      <c r="H955" s="8" t="s">
        <v>1226</v>
      </c>
      <c r="I955" s="7" t="s">
        <v>17</v>
      </c>
      <c r="J955" s="15">
        <v>20</v>
      </c>
    </row>
    <row r="956" spans="1:10" ht="52" x14ac:dyDescent="0.2">
      <c r="A956" s="8" t="s">
        <v>1260</v>
      </c>
      <c r="B956" s="8" t="s">
        <v>245</v>
      </c>
      <c r="C956" s="8" t="s">
        <v>923</v>
      </c>
      <c r="D956" s="6" t="s">
        <v>1221</v>
      </c>
      <c r="E956" s="7" t="s">
        <v>1222</v>
      </c>
      <c r="F956" s="7" t="s">
        <v>925</v>
      </c>
      <c r="G956" s="8" t="s">
        <v>930</v>
      </c>
      <c r="H956" s="8" t="s">
        <v>1227</v>
      </c>
      <c r="I956" s="7" t="s">
        <v>17</v>
      </c>
      <c r="J956" s="15">
        <v>25</v>
      </c>
    </row>
    <row r="957" spans="1:10" ht="39" x14ac:dyDescent="0.2">
      <c r="A957" s="8" t="s">
        <v>1260</v>
      </c>
      <c r="B957" s="8" t="s">
        <v>245</v>
      </c>
      <c r="C957" s="8" t="s">
        <v>923</v>
      </c>
      <c r="D957" s="6" t="s">
        <v>1221</v>
      </c>
      <c r="E957" s="7" t="s">
        <v>1222</v>
      </c>
      <c r="F957" s="7" t="s">
        <v>925</v>
      </c>
      <c r="G957" s="8" t="s">
        <v>1228</v>
      </c>
      <c r="H957" s="8" t="s">
        <v>1229</v>
      </c>
      <c r="I957" s="7" t="s">
        <v>17</v>
      </c>
      <c r="J957" s="15">
        <v>25</v>
      </c>
    </row>
    <row r="958" spans="1:10" ht="78" x14ac:dyDescent="0.2">
      <c r="A958" s="8" t="s">
        <v>1260</v>
      </c>
      <c r="B958" s="8" t="s">
        <v>245</v>
      </c>
      <c r="C958" s="8" t="s">
        <v>731</v>
      </c>
      <c r="D958" s="6" t="s">
        <v>247</v>
      </c>
      <c r="E958" s="7" t="s">
        <v>248</v>
      </c>
      <c r="F958" s="7" t="s">
        <v>733</v>
      </c>
      <c r="G958" s="8" t="s">
        <v>734</v>
      </c>
      <c r="H958" s="8" t="s">
        <v>3394</v>
      </c>
      <c r="I958" s="7" t="s">
        <v>25</v>
      </c>
      <c r="J958" s="13">
        <v>15</v>
      </c>
    </row>
    <row r="959" spans="1:10" ht="78" x14ac:dyDescent="0.2">
      <c r="A959" s="8" t="s">
        <v>1260</v>
      </c>
      <c r="B959" s="8" t="s">
        <v>245</v>
      </c>
      <c r="C959" s="8" t="s">
        <v>731</v>
      </c>
      <c r="D959" s="6" t="s">
        <v>247</v>
      </c>
      <c r="E959" s="7" t="s">
        <v>248</v>
      </c>
      <c r="F959" s="7" t="s">
        <v>733</v>
      </c>
      <c r="G959" s="8" t="s">
        <v>735</v>
      </c>
      <c r="H959" s="8" t="s">
        <v>3395</v>
      </c>
      <c r="I959" s="7" t="s">
        <v>25</v>
      </c>
      <c r="J959" s="13">
        <v>20</v>
      </c>
    </row>
    <row r="960" spans="1:10" ht="104" x14ac:dyDescent="0.2">
      <c r="A960" s="8" t="s">
        <v>1260</v>
      </c>
      <c r="B960" s="8" t="s">
        <v>245</v>
      </c>
      <c r="C960" s="8" t="s">
        <v>731</v>
      </c>
      <c r="D960" s="6" t="s">
        <v>247</v>
      </c>
      <c r="E960" s="7" t="s">
        <v>248</v>
      </c>
      <c r="F960" s="7" t="s">
        <v>733</v>
      </c>
      <c r="G960" s="8" t="s">
        <v>736</v>
      </c>
      <c r="H960" s="8" t="s">
        <v>3396</v>
      </c>
      <c r="I960" s="7" t="s">
        <v>25</v>
      </c>
      <c r="J960" s="13">
        <v>15</v>
      </c>
    </row>
    <row r="961" spans="1:10" ht="182" x14ac:dyDescent="0.2">
      <c r="A961" s="8" t="s">
        <v>1260</v>
      </c>
      <c r="B961" s="8" t="s">
        <v>245</v>
      </c>
      <c r="C961" s="8" t="s">
        <v>731</v>
      </c>
      <c r="D961" s="6" t="s">
        <v>247</v>
      </c>
      <c r="E961" s="7" t="s">
        <v>248</v>
      </c>
      <c r="F961" s="7" t="s">
        <v>733</v>
      </c>
      <c r="G961" s="8" t="s">
        <v>737</v>
      </c>
      <c r="H961" s="8" t="s">
        <v>3397</v>
      </c>
      <c r="I961" s="7" t="s">
        <v>25</v>
      </c>
      <c r="J961" s="13">
        <v>25</v>
      </c>
    </row>
    <row r="962" spans="1:10" ht="182" x14ac:dyDescent="0.2">
      <c r="A962" s="8" t="s">
        <v>1260</v>
      </c>
      <c r="B962" s="8" t="s">
        <v>245</v>
      </c>
      <c r="C962" s="8" t="s">
        <v>731</v>
      </c>
      <c r="D962" s="6" t="s">
        <v>247</v>
      </c>
      <c r="E962" s="7" t="s">
        <v>248</v>
      </c>
      <c r="F962" s="7" t="s">
        <v>733</v>
      </c>
      <c r="G962" s="8" t="s">
        <v>253</v>
      </c>
      <c r="H962" s="8" t="s">
        <v>3398</v>
      </c>
      <c r="I962" s="7" t="s">
        <v>25</v>
      </c>
      <c r="J962" s="13">
        <v>25</v>
      </c>
    </row>
    <row r="963" spans="1:10" ht="52" x14ac:dyDescent="0.2">
      <c r="A963" s="8" t="s">
        <v>1260</v>
      </c>
      <c r="B963" s="8" t="s">
        <v>245</v>
      </c>
      <c r="C963" s="8" t="s">
        <v>2691</v>
      </c>
      <c r="D963" s="6" t="s">
        <v>2689</v>
      </c>
      <c r="E963" s="7" t="s">
        <v>2690</v>
      </c>
      <c r="F963" s="7" t="s">
        <v>925</v>
      </c>
      <c r="G963" s="8" t="s">
        <v>2692</v>
      </c>
      <c r="H963" s="8" t="s">
        <v>2693</v>
      </c>
      <c r="I963" s="7" t="s">
        <v>17</v>
      </c>
      <c r="J963" s="15">
        <v>15</v>
      </c>
    </row>
    <row r="964" spans="1:10" ht="104" x14ac:dyDescent="0.2">
      <c r="A964" s="8" t="s">
        <v>1260</v>
      </c>
      <c r="B964" s="8" t="s">
        <v>245</v>
      </c>
      <c r="C964" s="8" t="s">
        <v>2691</v>
      </c>
      <c r="D964" s="6" t="s">
        <v>2689</v>
      </c>
      <c r="E964" s="7" t="s">
        <v>2690</v>
      </c>
      <c r="F964" s="7" t="s">
        <v>925</v>
      </c>
      <c r="G964" s="8" t="s">
        <v>737</v>
      </c>
      <c r="H964" s="8" t="s">
        <v>2694</v>
      </c>
      <c r="I964" s="7" t="s">
        <v>25</v>
      </c>
      <c r="J964" s="15">
        <v>15</v>
      </c>
    </row>
    <row r="965" spans="1:10" ht="52" x14ac:dyDescent="0.2">
      <c r="A965" s="8" t="s">
        <v>1260</v>
      </c>
      <c r="B965" s="8" t="s">
        <v>245</v>
      </c>
      <c r="C965" s="8" t="s">
        <v>2691</v>
      </c>
      <c r="D965" s="6" t="s">
        <v>2689</v>
      </c>
      <c r="E965" s="7" t="s">
        <v>2690</v>
      </c>
      <c r="F965" s="7" t="s">
        <v>925</v>
      </c>
      <c r="G965" s="8" t="s">
        <v>2695</v>
      </c>
      <c r="H965" s="8" t="s">
        <v>2696</v>
      </c>
      <c r="I965" s="7" t="s">
        <v>17</v>
      </c>
      <c r="J965" s="15">
        <v>15</v>
      </c>
    </row>
    <row r="966" spans="1:10" ht="52" x14ac:dyDescent="0.2">
      <c r="A966" s="8" t="s">
        <v>1260</v>
      </c>
      <c r="B966" s="8" t="s">
        <v>245</v>
      </c>
      <c r="C966" s="8" t="s">
        <v>2691</v>
      </c>
      <c r="D966" s="6" t="s">
        <v>2689</v>
      </c>
      <c r="E966" s="7" t="s">
        <v>2690</v>
      </c>
      <c r="F966" s="7" t="s">
        <v>925</v>
      </c>
      <c r="G966" s="8" t="s">
        <v>2697</v>
      </c>
      <c r="H966" s="8" t="s">
        <v>2698</v>
      </c>
      <c r="I966" s="7" t="s">
        <v>17</v>
      </c>
      <c r="J966" s="15">
        <v>25</v>
      </c>
    </row>
    <row r="967" spans="1:10" ht="104" x14ac:dyDescent="0.2">
      <c r="A967" s="8" t="s">
        <v>1260</v>
      </c>
      <c r="B967" s="8" t="s">
        <v>245</v>
      </c>
      <c r="C967" s="8" t="s">
        <v>2691</v>
      </c>
      <c r="D967" s="6" t="s">
        <v>2689</v>
      </c>
      <c r="E967" s="7" t="s">
        <v>2690</v>
      </c>
      <c r="F967" s="7" t="s">
        <v>925</v>
      </c>
      <c r="G967" s="8" t="s">
        <v>253</v>
      </c>
      <c r="H967" s="8" t="s">
        <v>2453</v>
      </c>
      <c r="I967" s="7" t="s">
        <v>25</v>
      </c>
      <c r="J967" s="15">
        <v>15</v>
      </c>
    </row>
    <row r="968" spans="1:10" ht="52" x14ac:dyDescent="0.2">
      <c r="A968" s="8" t="s">
        <v>1260</v>
      </c>
      <c r="B968" s="8" t="s">
        <v>245</v>
      </c>
      <c r="C968" s="8" t="s">
        <v>2691</v>
      </c>
      <c r="D968" s="6" t="s">
        <v>2689</v>
      </c>
      <c r="E968" s="7" t="s">
        <v>2690</v>
      </c>
      <c r="F968" s="7" t="s">
        <v>925</v>
      </c>
      <c r="G968" s="8" t="s">
        <v>2699</v>
      </c>
      <c r="H968" s="8" t="s">
        <v>2700</v>
      </c>
      <c r="I968" s="7" t="s">
        <v>17</v>
      </c>
      <c r="J968" s="15">
        <v>15</v>
      </c>
    </row>
    <row r="969" spans="1:10" ht="65" x14ac:dyDescent="0.2">
      <c r="A969" s="8" t="s">
        <v>1260</v>
      </c>
      <c r="B969" s="8" t="s">
        <v>245</v>
      </c>
      <c r="C969" s="8" t="s">
        <v>2450</v>
      </c>
      <c r="D969" s="6" t="s">
        <v>2448</v>
      </c>
      <c r="E969" s="7" t="s">
        <v>2449</v>
      </c>
      <c r="F969" s="7" t="s">
        <v>925</v>
      </c>
      <c r="G969" s="8" t="s">
        <v>2451</v>
      </c>
      <c r="H969" s="8" t="s">
        <v>2452</v>
      </c>
      <c r="I969" s="7" t="s">
        <v>17</v>
      </c>
      <c r="J969" s="15">
        <v>15</v>
      </c>
    </row>
    <row r="970" spans="1:10" ht="104" x14ac:dyDescent="0.2">
      <c r="A970" s="8" t="s">
        <v>1260</v>
      </c>
      <c r="B970" s="8" t="s">
        <v>245</v>
      </c>
      <c r="C970" s="8" t="s">
        <v>2450</v>
      </c>
      <c r="D970" s="6" t="s">
        <v>2448</v>
      </c>
      <c r="E970" s="7" t="s">
        <v>2449</v>
      </c>
      <c r="F970" s="7" t="s">
        <v>925</v>
      </c>
      <c r="G970" s="8" t="s">
        <v>253</v>
      </c>
      <c r="H970" s="8" t="s">
        <v>2453</v>
      </c>
      <c r="I970" s="7" t="s">
        <v>25</v>
      </c>
      <c r="J970" s="15">
        <v>15</v>
      </c>
    </row>
    <row r="971" spans="1:10" ht="52" x14ac:dyDescent="0.2">
      <c r="A971" s="8" t="s">
        <v>1260</v>
      </c>
      <c r="B971" s="8" t="s">
        <v>245</v>
      </c>
      <c r="C971" s="8" t="s">
        <v>2450</v>
      </c>
      <c r="D971" s="6" t="s">
        <v>2448</v>
      </c>
      <c r="E971" s="7" t="s">
        <v>2449</v>
      </c>
      <c r="F971" s="7" t="s">
        <v>925</v>
      </c>
      <c r="G971" s="8" t="s">
        <v>2454</v>
      </c>
      <c r="H971" s="8" t="s">
        <v>2455</v>
      </c>
      <c r="I971" s="7" t="s">
        <v>17</v>
      </c>
      <c r="J971" s="15">
        <v>15</v>
      </c>
    </row>
    <row r="972" spans="1:10" ht="65" x14ac:dyDescent="0.2">
      <c r="A972" s="8" t="s">
        <v>1260</v>
      </c>
      <c r="B972" s="8" t="s">
        <v>245</v>
      </c>
      <c r="C972" s="8" t="s">
        <v>2450</v>
      </c>
      <c r="D972" s="6" t="s">
        <v>2448</v>
      </c>
      <c r="E972" s="7" t="s">
        <v>2449</v>
      </c>
      <c r="F972" s="7" t="s">
        <v>925</v>
      </c>
      <c r="G972" s="8" t="s">
        <v>2456</v>
      </c>
      <c r="H972" s="8" t="s">
        <v>2457</v>
      </c>
      <c r="I972" s="7" t="s">
        <v>17</v>
      </c>
      <c r="J972" s="15">
        <v>20</v>
      </c>
    </row>
    <row r="973" spans="1:10" ht="52" x14ac:dyDescent="0.2">
      <c r="A973" s="8" t="s">
        <v>1260</v>
      </c>
      <c r="B973" s="8" t="s">
        <v>245</v>
      </c>
      <c r="C973" s="8" t="s">
        <v>2450</v>
      </c>
      <c r="D973" s="6" t="s">
        <v>2448</v>
      </c>
      <c r="E973" s="7" t="s">
        <v>2449</v>
      </c>
      <c r="F973" s="7" t="s">
        <v>925</v>
      </c>
      <c r="G973" s="8" t="s">
        <v>930</v>
      </c>
      <c r="H973" s="8" t="s">
        <v>2458</v>
      </c>
      <c r="I973" s="7" t="s">
        <v>17</v>
      </c>
      <c r="J973" s="15">
        <v>20</v>
      </c>
    </row>
    <row r="974" spans="1:10" ht="78" x14ac:dyDescent="0.2">
      <c r="A974" s="8" t="s">
        <v>1260</v>
      </c>
      <c r="B974" s="8" t="s">
        <v>245</v>
      </c>
      <c r="C974" s="8" t="s">
        <v>2450</v>
      </c>
      <c r="D974" s="6" t="s">
        <v>2448</v>
      </c>
      <c r="E974" s="7" t="s">
        <v>2449</v>
      </c>
      <c r="F974" s="7" t="s">
        <v>925</v>
      </c>
      <c r="G974" s="8" t="s">
        <v>737</v>
      </c>
      <c r="H974" s="8" t="s">
        <v>2459</v>
      </c>
      <c r="I974" s="7" t="s">
        <v>25</v>
      </c>
      <c r="J974" s="15">
        <v>15</v>
      </c>
    </row>
    <row r="975" spans="1:10" ht="52" x14ac:dyDescent="0.2">
      <c r="A975" s="8" t="s">
        <v>1260</v>
      </c>
      <c r="B975" s="8" t="s">
        <v>245</v>
      </c>
      <c r="C975" s="8" t="s">
        <v>246</v>
      </c>
      <c r="D975" s="6" t="s">
        <v>243</v>
      </c>
      <c r="E975" s="7" t="s">
        <v>244</v>
      </c>
      <c r="F975" s="7" t="s">
        <v>248</v>
      </c>
      <c r="G975" s="8" t="s">
        <v>249</v>
      </c>
      <c r="H975" s="8" t="s">
        <v>250</v>
      </c>
      <c r="I975" s="7" t="s">
        <v>17</v>
      </c>
      <c r="J975" s="15">
        <v>20</v>
      </c>
    </row>
    <row r="976" spans="1:10" ht="39" x14ac:dyDescent="0.2">
      <c r="A976" s="8" t="s">
        <v>1260</v>
      </c>
      <c r="B976" s="8" t="s">
        <v>245</v>
      </c>
      <c r="C976" s="8" t="s">
        <v>246</v>
      </c>
      <c r="D976" s="6" t="s">
        <v>243</v>
      </c>
      <c r="E976" s="7" t="s">
        <v>244</v>
      </c>
      <c r="F976" s="7" t="s">
        <v>248</v>
      </c>
      <c r="G976" s="8" t="s">
        <v>251</v>
      </c>
      <c r="H976" s="8" t="s">
        <v>252</v>
      </c>
      <c r="I976" s="7" t="s">
        <v>17</v>
      </c>
      <c r="J976" s="15">
        <v>15</v>
      </c>
    </row>
    <row r="977" spans="1:10" ht="117" x14ac:dyDescent="0.2">
      <c r="A977" s="8" t="s">
        <v>1260</v>
      </c>
      <c r="B977" s="8" t="s">
        <v>245</v>
      </c>
      <c r="C977" s="8" t="s">
        <v>246</v>
      </c>
      <c r="D977" s="6" t="s">
        <v>243</v>
      </c>
      <c r="E977" s="7" t="s">
        <v>244</v>
      </c>
      <c r="F977" s="7" t="s">
        <v>248</v>
      </c>
      <c r="G977" s="8" t="s">
        <v>253</v>
      </c>
      <c r="H977" s="8" t="s">
        <v>254</v>
      </c>
      <c r="I977" s="7" t="s">
        <v>25</v>
      </c>
      <c r="J977" s="15">
        <v>15</v>
      </c>
    </row>
    <row r="978" spans="1:10" ht="52" x14ac:dyDescent="0.2">
      <c r="A978" s="8" t="s">
        <v>1260</v>
      </c>
      <c r="B978" s="8" t="s">
        <v>245</v>
      </c>
      <c r="C978" s="8" t="s">
        <v>246</v>
      </c>
      <c r="D978" s="6" t="s">
        <v>243</v>
      </c>
      <c r="E978" s="7" t="s">
        <v>244</v>
      </c>
      <c r="F978" s="7" t="s">
        <v>248</v>
      </c>
      <c r="G978" s="8" t="s">
        <v>255</v>
      </c>
      <c r="H978" s="8" t="s">
        <v>256</v>
      </c>
      <c r="I978" s="7" t="s">
        <v>17</v>
      </c>
      <c r="J978" s="15">
        <v>20</v>
      </c>
    </row>
    <row r="979" spans="1:10" ht="130" x14ac:dyDescent="0.2">
      <c r="A979" s="8" t="s">
        <v>1260</v>
      </c>
      <c r="B979" s="8" t="s">
        <v>245</v>
      </c>
      <c r="C979" s="8" t="s">
        <v>246</v>
      </c>
      <c r="D979" s="6" t="s">
        <v>243</v>
      </c>
      <c r="E979" s="7" t="s">
        <v>244</v>
      </c>
      <c r="F979" s="7" t="s">
        <v>248</v>
      </c>
      <c r="G979" s="8" t="s">
        <v>257</v>
      </c>
      <c r="H979" s="8" t="s">
        <v>258</v>
      </c>
      <c r="I979" s="7" t="s">
        <v>25</v>
      </c>
      <c r="J979" s="15">
        <v>15</v>
      </c>
    </row>
    <row r="980" spans="1:10" ht="52" x14ac:dyDescent="0.2">
      <c r="A980" s="8" t="s">
        <v>1260</v>
      </c>
      <c r="B980" s="8" t="s">
        <v>245</v>
      </c>
      <c r="C980" s="8" t="s">
        <v>246</v>
      </c>
      <c r="D980" s="6" t="s">
        <v>243</v>
      </c>
      <c r="E980" s="7" t="s">
        <v>244</v>
      </c>
      <c r="F980" s="7" t="s">
        <v>248</v>
      </c>
      <c r="G980" s="8" t="s">
        <v>259</v>
      </c>
      <c r="H980" s="8" t="s">
        <v>260</v>
      </c>
      <c r="I980" s="7" t="s">
        <v>17</v>
      </c>
      <c r="J980" s="15">
        <v>15</v>
      </c>
    </row>
    <row r="981" spans="1:10" ht="39" x14ac:dyDescent="0.2">
      <c r="A981" s="8" t="s">
        <v>1260</v>
      </c>
      <c r="B981" s="8" t="s">
        <v>245</v>
      </c>
      <c r="C981" s="8" t="s">
        <v>2578</v>
      </c>
      <c r="D981" s="6" t="s">
        <v>924</v>
      </c>
      <c r="E981" s="7" t="s">
        <v>925</v>
      </c>
      <c r="F981" s="7" t="s">
        <v>248</v>
      </c>
      <c r="G981" s="8" t="s">
        <v>2579</v>
      </c>
      <c r="H981" s="8" t="s">
        <v>2580</v>
      </c>
      <c r="I981" s="7" t="s">
        <v>17</v>
      </c>
      <c r="J981" s="15">
        <v>15</v>
      </c>
    </row>
    <row r="982" spans="1:10" ht="39" x14ac:dyDescent="0.2">
      <c r="A982" s="8" t="s">
        <v>1260</v>
      </c>
      <c r="B982" s="8" t="s">
        <v>245</v>
      </c>
      <c r="C982" s="8" t="s">
        <v>2578</v>
      </c>
      <c r="D982" s="6" t="s">
        <v>924</v>
      </c>
      <c r="E982" s="7" t="s">
        <v>925</v>
      </c>
      <c r="F982" s="7" t="s">
        <v>248</v>
      </c>
      <c r="G982" s="8" t="s">
        <v>2581</v>
      </c>
      <c r="H982" s="8" t="s">
        <v>2582</v>
      </c>
      <c r="I982" s="7" t="s">
        <v>17</v>
      </c>
      <c r="J982" s="15">
        <v>15</v>
      </c>
    </row>
    <row r="983" spans="1:10" ht="104" x14ac:dyDescent="0.2">
      <c r="A983" s="8" t="s">
        <v>1260</v>
      </c>
      <c r="B983" s="8" t="s">
        <v>245</v>
      </c>
      <c r="C983" s="8" t="s">
        <v>2578</v>
      </c>
      <c r="D983" s="6" t="s">
        <v>924</v>
      </c>
      <c r="E983" s="7" t="s">
        <v>925</v>
      </c>
      <c r="F983" s="7" t="s">
        <v>248</v>
      </c>
      <c r="G983" s="8" t="s">
        <v>737</v>
      </c>
      <c r="H983" s="8" t="s">
        <v>2583</v>
      </c>
      <c r="I983" s="7" t="s">
        <v>25</v>
      </c>
      <c r="J983" s="15">
        <v>15</v>
      </c>
    </row>
    <row r="984" spans="1:10" ht="52" x14ac:dyDescent="0.2">
      <c r="A984" s="8" t="s">
        <v>1260</v>
      </c>
      <c r="B984" s="8" t="s">
        <v>245</v>
      </c>
      <c r="C984" s="8" t="s">
        <v>2578</v>
      </c>
      <c r="D984" s="6" t="s">
        <v>924</v>
      </c>
      <c r="E984" s="7" t="s">
        <v>925</v>
      </c>
      <c r="F984" s="7" t="s">
        <v>248</v>
      </c>
      <c r="G984" s="8" t="s">
        <v>2584</v>
      </c>
      <c r="H984" s="8" t="s">
        <v>2585</v>
      </c>
      <c r="I984" s="7" t="s">
        <v>17</v>
      </c>
      <c r="J984" s="15">
        <v>20</v>
      </c>
    </row>
    <row r="985" spans="1:10" ht="52" x14ac:dyDescent="0.2">
      <c r="A985" s="8" t="s">
        <v>1260</v>
      </c>
      <c r="B985" s="8" t="s">
        <v>245</v>
      </c>
      <c r="C985" s="8" t="s">
        <v>2578</v>
      </c>
      <c r="D985" s="6" t="s">
        <v>924</v>
      </c>
      <c r="E985" s="7" t="s">
        <v>925</v>
      </c>
      <c r="F985" s="7" t="s">
        <v>248</v>
      </c>
      <c r="G985" s="8" t="s">
        <v>257</v>
      </c>
      <c r="H985" s="8" t="s">
        <v>2586</v>
      </c>
      <c r="I985" s="7" t="s">
        <v>17</v>
      </c>
      <c r="J985" s="15">
        <v>20</v>
      </c>
    </row>
    <row r="986" spans="1:10" ht="104" x14ac:dyDescent="0.2">
      <c r="A986" s="8" t="s">
        <v>1260</v>
      </c>
      <c r="B986" s="8" t="s">
        <v>245</v>
      </c>
      <c r="C986" s="8" t="s">
        <v>2578</v>
      </c>
      <c r="D986" s="6" t="s">
        <v>924</v>
      </c>
      <c r="E986" s="7" t="s">
        <v>925</v>
      </c>
      <c r="F986" s="7" t="s">
        <v>248</v>
      </c>
      <c r="G986" s="8" t="s">
        <v>253</v>
      </c>
      <c r="H986" s="8" t="s">
        <v>2587</v>
      </c>
      <c r="I986" s="7" t="s">
        <v>25</v>
      </c>
      <c r="J986" s="15">
        <v>15</v>
      </c>
    </row>
    <row r="987" spans="1:10" ht="104" x14ac:dyDescent="0.2">
      <c r="A987" s="8" t="s">
        <v>1260</v>
      </c>
      <c r="B987" s="8" t="s">
        <v>272</v>
      </c>
      <c r="C987" s="8" t="s">
        <v>2141</v>
      </c>
      <c r="D987" s="6" t="s">
        <v>274</v>
      </c>
      <c r="E987" s="7" t="s">
        <v>275</v>
      </c>
      <c r="F987" s="7" t="s">
        <v>733</v>
      </c>
      <c r="G987" s="8" t="s">
        <v>2142</v>
      </c>
      <c r="H987" s="8" t="s">
        <v>3435</v>
      </c>
      <c r="I987" s="7" t="s">
        <v>25</v>
      </c>
      <c r="J987" s="13">
        <v>25</v>
      </c>
    </row>
    <row r="988" spans="1:10" ht="65" x14ac:dyDescent="0.2">
      <c r="A988" s="8" t="s">
        <v>1260</v>
      </c>
      <c r="B988" s="8" t="s">
        <v>272</v>
      </c>
      <c r="C988" s="8" t="s">
        <v>2141</v>
      </c>
      <c r="D988" s="6" t="s">
        <v>274</v>
      </c>
      <c r="E988" s="7" t="s">
        <v>275</v>
      </c>
      <c r="F988" s="7" t="s">
        <v>733</v>
      </c>
      <c r="G988" s="8" t="s">
        <v>2143</v>
      </c>
      <c r="H988" s="8" t="s">
        <v>3436</v>
      </c>
      <c r="I988" s="7" t="s">
        <v>17</v>
      </c>
      <c r="J988" s="13">
        <v>25</v>
      </c>
    </row>
    <row r="989" spans="1:10" ht="52" x14ac:dyDescent="0.2">
      <c r="A989" s="8" t="s">
        <v>1260</v>
      </c>
      <c r="B989" s="8" t="s">
        <v>272</v>
      </c>
      <c r="C989" s="8" t="s">
        <v>2141</v>
      </c>
      <c r="D989" s="6" t="s">
        <v>274</v>
      </c>
      <c r="E989" s="7" t="s">
        <v>275</v>
      </c>
      <c r="F989" s="7" t="s">
        <v>733</v>
      </c>
      <c r="G989" s="8" t="s">
        <v>2144</v>
      </c>
      <c r="H989" s="8" t="s">
        <v>3437</v>
      </c>
      <c r="I989" s="7" t="s">
        <v>17</v>
      </c>
      <c r="J989" s="13">
        <v>5</v>
      </c>
    </row>
    <row r="990" spans="1:10" ht="52" x14ac:dyDescent="0.2">
      <c r="A990" s="8" t="s">
        <v>1260</v>
      </c>
      <c r="B990" s="8" t="s">
        <v>272</v>
      </c>
      <c r="C990" s="8" t="s">
        <v>2141</v>
      </c>
      <c r="D990" s="6" t="s">
        <v>274</v>
      </c>
      <c r="E990" s="7" t="s">
        <v>275</v>
      </c>
      <c r="F990" s="7" t="s">
        <v>733</v>
      </c>
      <c r="G990" s="8" t="s">
        <v>2145</v>
      </c>
      <c r="H990" s="8" t="s">
        <v>3438</v>
      </c>
      <c r="I990" s="7" t="s">
        <v>17</v>
      </c>
      <c r="J990" s="13">
        <v>20</v>
      </c>
    </row>
    <row r="991" spans="1:10" ht="65" x14ac:dyDescent="0.2">
      <c r="A991" s="8" t="s">
        <v>1260</v>
      </c>
      <c r="B991" s="8" t="s">
        <v>272</v>
      </c>
      <c r="C991" s="8" t="s">
        <v>2141</v>
      </c>
      <c r="D991" s="6" t="s">
        <v>274</v>
      </c>
      <c r="E991" s="7" t="s">
        <v>275</v>
      </c>
      <c r="F991" s="7" t="s">
        <v>733</v>
      </c>
      <c r="G991" s="8" t="s">
        <v>2146</v>
      </c>
      <c r="H991" s="8" t="s">
        <v>2983</v>
      </c>
      <c r="I991" s="7" t="s">
        <v>25</v>
      </c>
      <c r="J991" s="13">
        <v>25</v>
      </c>
    </row>
    <row r="992" spans="1:10" ht="78" x14ac:dyDescent="0.2">
      <c r="A992" s="8" t="s">
        <v>1260</v>
      </c>
      <c r="B992" s="8" t="s">
        <v>272</v>
      </c>
      <c r="C992" s="8" t="s">
        <v>2495</v>
      </c>
      <c r="D992" s="6" t="s">
        <v>2493</v>
      </c>
      <c r="E992" s="7" t="s">
        <v>2494</v>
      </c>
      <c r="F992" s="7" t="s">
        <v>275</v>
      </c>
      <c r="G992" s="8" t="s">
        <v>2496</v>
      </c>
      <c r="H992" s="8" t="s">
        <v>2497</v>
      </c>
      <c r="I992" s="7" t="s">
        <v>17</v>
      </c>
      <c r="J992" s="15">
        <v>10</v>
      </c>
    </row>
    <row r="993" spans="1:10" ht="65" x14ac:dyDescent="0.2">
      <c r="A993" s="8" t="s">
        <v>1260</v>
      </c>
      <c r="B993" s="8" t="s">
        <v>272</v>
      </c>
      <c r="C993" s="8" t="s">
        <v>2495</v>
      </c>
      <c r="D993" s="6" t="s">
        <v>2493</v>
      </c>
      <c r="E993" s="7" t="s">
        <v>2494</v>
      </c>
      <c r="F993" s="7" t="s">
        <v>275</v>
      </c>
      <c r="G993" s="8" t="s">
        <v>2498</v>
      </c>
      <c r="H993" s="8" t="s">
        <v>2499</v>
      </c>
      <c r="I993" s="7" t="s">
        <v>17</v>
      </c>
      <c r="J993" s="15">
        <v>10</v>
      </c>
    </row>
    <row r="994" spans="1:10" ht="65" x14ac:dyDescent="0.2">
      <c r="A994" s="8" t="s">
        <v>1260</v>
      </c>
      <c r="B994" s="8" t="s">
        <v>272</v>
      </c>
      <c r="C994" s="8" t="s">
        <v>2495</v>
      </c>
      <c r="D994" s="6" t="s">
        <v>2493</v>
      </c>
      <c r="E994" s="7" t="s">
        <v>2494</v>
      </c>
      <c r="F994" s="7" t="s">
        <v>275</v>
      </c>
      <c r="G994" s="8" t="s">
        <v>2500</v>
      </c>
      <c r="H994" s="8" t="s">
        <v>2501</v>
      </c>
      <c r="I994" s="7" t="s">
        <v>17</v>
      </c>
      <c r="J994" s="15">
        <v>10</v>
      </c>
    </row>
    <row r="995" spans="1:10" ht="78" x14ac:dyDescent="0.2">
      <c r="A995" s="8" t="s">
        <v>1260</v>
      </c>
      <c r="B995" s="8" t="s">
        <v>272</v>
      </c>
      <c r="C995" s="8" t="s">
        <v>2495</v>
      </c>
      <c r="D995" s="6" t="s">
        <v>2493</v>
      </c>
      <c r="E995" s="7" t="s">
        <v>2494</v>
      </c>
      <c r="F995" s="7" t="s">
        <v>275</v>
      </c>
      <c r="G995" s="8" t="s">
        <v>2502</v>
      </c>
      <c r="H995" s="8" t="s">
        <v>2503</v>
      </c>
      <c r="I995" s="7" t="s">
        <v>17</v>
      </c>
      <c r="J995" s="15">
        <v>5</v>
      </c>
    </row>
    <row r="996" spans="1:10" ht="78" x14ac:dyDescent="0.2">
      <c r="A996" s="8" t="s">
        <v>1260</v>
      </c>
      <c r="B996" s="8" t="s">
        <v>272</v>
      </c>
      <c r="C996" s="8" t="s">
        <v>2495</v>
      </c>
      <c r="D996" s="6" t="s">
        <v>2493</v>
      </c>
      <c r="E996" s="7" t="s">
        <v>2494</v>
      </c>
      <c r="F996" s="7" t="s">
        <v>275</v>
      </c>
      <c r="G996" s="8" t="s">
        <v>2504</v>
      </c>
      <c r="H996" s="8" t="s">
        <v>2505</v>
      </c>
      <c r="I996" s="7" t="s">
        <v>17</v>
      </c>
      <c r="J996" s="15">
        <v>10</v>
      </c>
    </row>
    <row r="997" spans="1:10" ht="39" x14ac:dyDescent="0.2">
      <c r="A997" s="8" t="s">
        <v>1260</v>
      </c>
      <c r="B997" s="8" t="s">
        <v>272</v>
      </c>
      <c r="C997" s="8" t="s">
        <v>2495</v>
      </c>
      <c r="D997" s="6" t="s">
        <v>2493</v>
      </c>
      <c r="E997" s="7" t="s">
        <v>2494</v>
      </c>
      <c r="F997" s="7" t="s">
        <v>275</v>
      </c>
      <c r="G997" s="8" t="s">
        <v>1552</v>
      </c>
      <c r="H997" s="8" t="s">
        <v>2506</v>
      </c>
      <c r="I997" s="7" t="s">
        <v>25</v>
      </c>
      <c r="J997" s="15">
        <v>30</v>
      </c>
    </row>
    <row r="998" spans="1:10" ht="65" x14ac:dyDescent="0.2">
      <c r="A998" s="8" t="s">
        <v>1260</v>
      </c>
      <c r="B998" s="8" t="s">
        <v>272</v>
      </c>
      <c r="C998" s="8" t="s">
        <v>2495</v>
      </c>
      <c r="D998" s="6" t="s">
        <v>2493</v>
      </c>
      <c r="E998" s="7" t="s">
        <v>2494</v>
      </c>
      <c r="F998" s="7" t="s">
        <v>275</v>
      </c>
      <c r="G998" s="8" t="s">
        <v>2507</v>
      </c>
      <c r="H998" s="8" t="s">
        <v>2508</v>
      </c>
      <c r="I998" s="7" t="s">
        <v>17</v>
      </c>
      <c r="J998" s="15">
        <v>5</v>
      </c>
    </row>
    <row r="999" spans="1:10" ht="39" x14ac:dyDescent="0.2">
      <c r="A999" s="8" t="s">
        <v>1260</v>
      </c>
      <c r="B999" s="8" t="s">
        <v>272</v>
      </c>
      <c r="C999" s="8" t="s">
        <v>2495</v>
      </c>
      <c r="D999" s="6" t="s">
        <v>2493</v>
      </c>
      <c r="E999" s="7" t="s">
        <v>2494</v>
      </c>
      <c r="F999" s="7" t="s">
        <v>275</v>
      </c>
      <c r="G999" s="8" t="s">
        <v>286</v>
      </c>
      <c r="H999" s="8" t="s">
        <v>2509</v>
      </c>
      <c r="I999" s="7" t="s">
        <v>25</v>
      </c>
      <c r="J999" s="15">
        <v>20</v>
      </c>
    </row>
    <row r="1000" spans="1:10" ht="52" x14ac:dyDescent="0.2">
      <c r="A1000" s="8" t="s">
        <v>1260</v>
      </c>
      <c r="B1000" s="8" t="s">
        <v>272</v>
      </c>
      <c r="C1000" s="8" t="s">
        <v>273</v>
      </c>
      <c r="D1000" s="6" t="s">
        <v>270</v>
      </c>
      <c r="E1000" s="7" t="s">
        <v>271</v>
      </c>
      <c r="F1000" s="7" t="s">
        <v>275</v>
      </c>
      <c r="G1000" s="8" t="s">
        <v>276</v>
      </c>
      <c r="H1000" s="8" t="s">
        <v>277</v>
      </c>
      <c r="I1000" s="7" t="s">
        <v>17</v>
      </c>
      <c r="J1000" s="15">
        <v>10</v>
      </c>
    </row>
    <row r="1001" spans="1:10" ht="65" x14ac:dyDescent="0.2">
      <c r="A1001" s="8" t="s">
        <v>1260</v>
      </c>
      <c r="B1001" s="8" t="s">
        <v>272</v>
      </c>
      <c r="C1001" s="8" t="s">
        <v>273</v>
      </c>
      <c r="D1001" s="6" t="s">
        <v>270</v>
      </c>
      <c r="E1001" s="7" t="s">
        <v>271</v>
      </c>
      <c r="F1001" s="7" t="s">
        <v>275</v>
      </c>
      <c r="G1001" s="8" t="s">
        <v>278</v>
      </c>
      <c r="H1001" s="8" t="s">
        <v>279</v>
      </c>
      <c r="I1001" s="7" t="s">
        <v>17</v>
      </c>
      <c r="J1001" s="15">
        <v>10</v>
      </c>
    </row>
    <row r="1002" spans="1:10" ht="65" x14ac:dyDescent="0.2">
      <c r="A1002" s="8" t="s">
        <v>1260</v>
      </c>
      <c r="B1002" s="8" t="s">
        <v>272</v>
      </c>
      <c r="C1002" s="8" t="s">
        <v>273</v>
      </c>
      <c r="D1002" s="6" t="s">
        <v>270</v>
      </c>
      <c r="E1002" s="7" t="s">
        <v>271</v>
      </c>
      <c r="F1002" s="7" t="s">
        <v>275</v>
      </c>
      <c r="G1002" s="8" t="s">
        <v>280</v>
      </c>
      <c r="H1002" s="8" t="s">
        <v>281</v>
      </c>
      <c r="I1002" s="7" t="s">
        <v>17</v>
      </c>
      <c r="J1002" s="15">
        <v>10</v>
      </c>
    </row>
    <row r="1003" spans="1:10" ht="52" x14ac:dyDescent="0.2">
      <c r="A1003" s="8" t="s">
        <v>1260</v>
      </c>
      <c r="B1003" s="8" t="s">
        <v>272</v>
      </c>
      <c r="C1003" s="8" t="s">
        <v>273</v>
      </c>
      <c r="D1003" s="6" t="s">
        <v>270</v>
      </c>
      <c r="E1003" s="7" t="s">
        <v>271</v>
      </c>
      <c r="F1003" s="7" t="s">
        <v>275</v>
      </c>
      <c r="G1003" s="8" t="s">
        <v>282</v>
      </c>
      <c r="H1003" s="8" t="s">
        <v>283</v>
      </c>
      <c r="I1003" s="7" t="s">
        <v>17</v>
      </c>
      <c r="J1003" s="15">
        <v>10</v>
      </c>
    </row>
    <row r="1004" spans="1:10" ht="39" x14ac:dyDescent="0.2">
      <c r="A1004" s="8" t="s">
        <v>1260</v>
      </c>
      <c r="B1004" s="8" t="s">
        <v>272</v>
      </c>
      <c r="C1004" s="8" t="s">
        <v>273</v>
      </c>
      <c r="D1004" s="6" t="s">
        <v>270</v>
      </c>
      <c r="E1004" s="7" t="s">
        <v>271</v>
      </c>
      <c r="F1004" s="7" t="s">
        <v>275</v>
      </c>
      <c r="G1004" s="8" t="s">
        <v>284</v>
      </c>
      <c r="H1004" s="8" t="s">
        <v>285</v>
      </c>
      <c r="I1004" s="7" t="s">
        <v>17</v>
      </c>
      <c r="J1004" s="15">
        <v>10</v>
      </c>
    </row>
    <row r="1005" spans="1:10" ht="39" x14ac:dyDescent="0.2">
      <c r="A1005" s="8" t="s">
        <v>1260</v>
      </c>
      <c r="B1005" s="8" t="s">
        <v>272</v>
      </c>
      <c r="C1005" s="8" t="s">
        <v>273</v>
      </c>
      <c r="D1005" s="6" t="s">
        <v>270</v>
      </c>
      <c r="E1005" s="7" t="s">
        <v>271</v>
      </c>
      <c r="F1005" s="7" t="s">
        <v>275</v>
      </c>
      <c r="G1005" s="8" t="s">
        <v>286</v>
      </c>
      <c r="H1005" s="8" t="s">
        <v>287</v>
      </c>
      <c r="I1005" s="7" t="s">
        <v>25</v>
      </c>
      <c r="J1005" s="15">
        <v>25</v>
      </c>
    </row>
    <row r="1006" spans="1:10" ht="39" x14ac:dyDescent="0.2">
      <c r="A1006" s="8" t="s">
        <v>1260</v>
      </c>
      <c r="B1006" s="8" t="s">
        <v>272</v>
      </c>
      <c r="C1006" s="8" t="s">
        <v>273</v>
      </c>
      <c r="D1006" s="6" t="s">
        <v>270</v>
      </c>
      <c r="E1006" s="7" t="s">
        <v>271</v>
      </c>
      <c r="F1006" s="7" t="s">
        <v>275</v>
      </c>
      <c r="G1006" s="8" t="s">
        <v>288</v>
      </c>
      <c r="H1006" s="8" t="s">
        <v>289</v>
      </c>
      <c r="I1006" s="7" t="s">
        <v>25</v>
      </c>
      <c r="J1006" s="15">
        <v>25</v>
      </c>
    </row>
    <row r="1007" spans="1:10" ht="39" x14ac:dyDescent="0.2">
      <c r="A1007" s="8" t="s">
        <v>1260</v>
      </c>
      <c r="B1007" s="8" t="s">
        <v>272</v>
      </c>
      <c r="C1007" s="8" t="s">
        <v>273</v>
      </c>
      <c r="D1007" s="6" t="s">
        <v>1546</v>
      </c>
      <c r="E1007" s="7" t="s">
        <v>1547</v>
      </c>
      <c r="F1007" s="7" t="s">
        <v>275</v>
      </c>
      <c r="G1007" s="8" t="s">
        <v>1548</v>
      </c>
      <c r="H1007" s="8" t="s">
        <v>1549</v>
      </c>
      <c r="I1007" s="7" t="s">
        <v>17</v>
      </c>
      <c r="J1007" s="15">
        <v>15</v>
      </c>
    </row>
    <row r="1008" spans="1:10" ht="39" x14ac:dyDescent="0.2">
      <c r="A1008" s="8" t="s">
        <v>1260</v>
      </c>
      <c r="B1008" s="8" t="s">
        <v>272</v>
      </c>
      <c r="C1008" s="8" t="s">
        <v>273</v>
      </c>
      <c r="D1008" s="6" t="s">
        <v>1546</v>
      </c>
      <c r="E1008" s="7" t="s">
        <v>1547</v>
      </c>
      <c r="F1008" s="7" t="s">
        <v>275</v>
      </c>
      <c r="G1008" s="8" t="s">
        <v>1550</v>
      </c>
      <c r="H1008" s="8" t="s">
        <v>1551</v>
      </c>
      <c r="I1008" s="7" t="s">
        <v>17</v>
      </c>
      <c r="J1008" s="15">
        <v>15</v>
      </c>
    </row>
    <row r="1009" spans="1:10" ht="39" x14ac:dyDescent="0.2">
      <c r="A1009" s="8" t="s">
        <v>1260</v>
      </c>
      <c r="B1009" s="8" t="s">
        <v>272</v>
      </c>
      <c r="C1009" s="8" t="s">
        <v>273</v>
      </c>
      <c r="D1009" s="6" t="s">
        <v>1546</v>
      </c>
      <c r="E1009" s="7" t="s">
        <v>1547</v>
      </c>
      <c r="F1009" s="7" t="s">
        <v>275</v>
      </c>
      <c r="G1009" s="8" t="s">
        <v>1552</v>
      </c>
      <c r="H1009" s="8" t="s">
        <v>1553</v>
      </c>
      <c r="I1009" s="7" t="s">
        <v>25</v>
      </c>
      <c r="J1009" s="15">
        <v>20</v>
      </c>
    </row>
    <row r="1010" spans="1:10" ht="39" x14ac:dyDescent="0.2">
      <c r="A1010" s="8" t="s">
        <v>1260</v>
      </c>
      <c r="B1010" s="8" t="s">
        <v>272</v>
      </c>
      <c r="C1010" s="8" t="s">
        <v>273</v>
      </c>
      <c r="D1010" s="6" t="s">
        <v>1546</v>
      </c>
      <c r="E1010" s="7" t="s">
        <v>1547</v>
      </c>
      <c r="F1010" s="7" t="s">
        <v>275</v>
      </c>
      <c r="G1010" s="8" t="s">
        <v>286</v>
      </c>
      <c r="H1010" s="8" t="s">
        <v>1554</v>
      </c>
      <c r="I1010" s="7" t="s">
        <v>25</v>
      </c>
      <c r="J1010" s="15">
        <v>30</v>
      </c>
    </row>
    <row r="1011" spans="1:10" ht="52" x14ac:dyDescent="0.2">
      <c r="A1011" s="8" t="s">
        <v>1260</v>
      </c>
      <c r="B1011" s="8" t="s">
        <v>272</v>
      </c>
      <c r="C1011" s="8" t="s">
        <v>273</v>
      </c>
      <c r="D1011" s="6" t="s">
        <v>1546</v>
      </c>
      <c r="E1011" s="7" t="s">
        <v>1547</v>
      </c>
      <c r="F1011" s="7" t="s">
        <v>275</v>
      </c>
      <c r="G1011" s="8" t="s">
        <v>1555</v>
      </c>
      <c r="H1011" s="8" t="s">
        <v>1556</v>
      </c>
      <c r="I1011" s="7" t="s">
        <v>17</v>
      </c>
      <c r="J1011" s="15">
        <v>5</v>
      </c>
    </row>
    <row r="1012" spans="1:10" ht="39" x14ac:dyDescent="0.2">
      <c r="A1012" s="8" t="s">
        <v>1260</v>
      </c>
      <c r="B1012" s="8" t="s">
        <v>272</v>
      </c>
      <c r="C1012" s="8" t="s">
        <v>273</v>
      </c>
      <c r="D1012" s="6" t="s">
        <v>1546</v>
      </c>
      <c r="E1012" s="7" t="s">
        <v>1547</v>
      </c>
      <c r="F1012" s="7" t="s">
        <v>275</v>
      </c>
      <c r="G1012" s="8" t="s">
        <v>1557</v>
      </c>
      <c r="H1012" s="8" t="s">
        <v>1558</v>
      </c>
      <c r="I1012" s="7" t="s">
        <v>17</v>
      </c>
      <c r="J1012" s="15">
        <v>15</v>
      </c>
    </row>
    <row r="1013" spans="1:10" ht="65" x14ac:dyDescent="0.2">
      <c r="A1013" s="8" t="s">
        <v>1260</v>
      </c>
      <c r="B1013" s="8" t="s">
        <v>1260</v>
      </c>
      <c r="C1013" s="8" t="s">
        <v>1261</v>
      </c>
      <c r="D1013" s="6" t="s">
        <v>1258</v>
      </c>
      <c r="E1013" s="7" t="s">
        <v>1259</v>
      </c>
      <c r="F1013" s="7" t="s">
        <v>733</v>
      </c>
      <c r="G1013" s="8" t="s">
        <v>1262</v>
      </c>
      <c r="H1013" s="8" t="s">
        <v>1263</v>
      </c>
      <c r="I1013" s="7" t="s">
        <v>17</v>
      </c>
      <c r="J1013" s="15">
        <v>20</v>
      </c>
    </row>
    <row r="1014" spans="1:10" ht="39" x14ac:dyDescent="0.2">
      <c r="A1014" s="8" t="s">
        <v>1260</v>
      </c>
      <c r="B1014" s="8" t="s">
        <v>1260</v>
      </c>
      <c r="C1014" s="8" t="s">
        <v>1261</v>
      </c>
      <c r="D1014" s="6" t="s">
        <v>1258</v>
      </c>
      <c r="E1014" s="7" t="s">
        <v>1259</v>
      </c>
      <c r="F1014" s="7" t="s">
        <v>733</v>
      </c>
      <c r="G1014" s="8" t="s">
        <v>1264</v>
      </c>
      <c r="H1014" s="8" t="s">
        <v>1265</v>
      </c>
      <c r="I1014" s="7" t="s">
        <v>17</v>
      </c>
      <c r="J1014" s="15">
        <v>20</v>
      </c>
    </row>
    <row r="1015" spans="1:10" ht="39" x14ac:dyDescent="0.2">
      <c r="A1015" s="8" t="s">
        <v>1260</v>
      </c>
      <c r="B1015" s="8" t="s">
        <v>1260</v>
      </c>
      <c r="C1015" s="8" t="s">
        <v>1261</v>
      </c>
      <c r="D1015" s="6" t="s">
        <v>1258</v>
      </c>
      <c r="E1015" s="7" t="s">
        <v>1259</v>
      </c>
      <c r="F1015" s="7" t="s">
        <v>733</v>
      </c>
      <c r="G1015" s="8" t="s">
        <v>1266</v>
      </c>
      <c r="H1015" s="8" t="s">
        <v>1267</v>
      </c>
      <c r="I1015" s="7" t="s">
        <v>17</v>
      </c>
      <c r="J1015" s="15">
        <v>10</v>
      </c>
    </row>
    <row r="1016" spans="1:10" ht="39" x14ac:dyDescent="0.2">
      <c r="A1016" s="8" t="s">
        <v>1260</v>
      </c>
      <c r="B1016" s="8" t="s">
        <v>1260</v>
      </c>
      <c r="C1016" s="8" t="s">
        <v>1261</v>
      </c>
      <c r="D1016" s="6" t="s">
        <v>1258</v>
      </c>
      <c r="E1016" s="7" t="s">
        <v>1259</v>
      </c>
      <c r="F1016" s="7" t="s">
        <v>733</v>
      </c>
      <c r="G1016" s="8" t="s">
        <v>1268</v>
      </c>
      <c r="H1016" s="8" t="s">
        <v>1269</v>
      </c>
      <c r="I1016" s="7" t="s">
        <v>17</v>
      </c>
      <c r="J1016" s="15">
        <v>30</v>
      </c>
    </row>
    <row r="1017" spans="1:10" ht="52" x14ac:dyDescent="0.2">
      <c r="A1017" s="8" t="s">
        <v>1260</v>
      </c>
      <c r="B1017" s="8" t="s">
        <v>1260</v>
      </c>
      <c r="C1017" s="8" t="s">
        <v>1261</v>
      </c>
      <c r="D1017" s="6" t="s">
        <v>1258</v>
      </c>
      <c r="E1017" s="7" t="s">
        <v>1259</v>
      </c>
      <c r="F1017" s="7" t="s">
        <v>733</v>
      </c>
      <c r="G1017" s="8" t="s">
        <v>1270</v>
      </c>
      <c r="H1017" s="8" t="s">
        <v>1271</v>
      </c>
      <c r="I1017" s="7" t="s">
        <v>17</v>
      </c>
      <c r="J1017" s="15">
        <v>20</v>
      </c>
    </row>
    <row r="1018" spans="1:10" ht="117" x14ac:dyDescent="0.2">
      <c r="A1018" s="7" t="s">
        <v>95</v>
      </c>
      <c r="B1018" s="8" t="s">
        <v>38</v>
      </c>
      <c r="C1018" s="8" t="s">
        <v>975</v>
      </c>
      <c r="D1018" s="6" t="s">
        <v>40</v>
      </c>
      <c r="E1018" s="7" t="s">
        <v>41</v>
      </c>
      <c r="F1018" s="7" t="s">
        <v>98</v>
      </c>
      <c r="G1018" s="8" t="s">
        <v>194</v>
      </c>
      <c r="H1018" s="8" t="s">
        <v>3334</v>
      </c>
      <c r="I1018" s="7" t="s">
        <v>25</v>
      </c>
      <c r="J1018" s="13">
        <v>18</v>
      </c>
    </row>
    <row r="1019" spans="1:10" ht="104" x14ac:dyDescent="0.2">
      <c r="A1019" s="7" t="s">
        <v>95</v>
      </c>
      <c r="B1019" s="8" t="s">
        <v>38</v>
      </c>
      <c r="C1019" s="8" t="s">
        <v>975</v>
      </c>
      <c r="D1019" s="6" t="s">
        <v>40</v>
      </c>
      <c r="E1019" s="7" t="s">
        <v>41</v>
      </c>
      <c r="F1019" s="7" t="s">
        <v>98</v>
      </c>
      <c r="G1019" s="8" t="s">
        <v>202</v>
      </c>
      <c r="H1019" s="8" t="s">
        <v>3335</v>
      </c>
      <c r="I1019" s="7" t="s">
        <v>25</v>
      </c>
      <c r="J1019" s="13">
        <v>15</v>
      </c>
    </row>
    <row r="1020" spans="1:10" ht="320" x14ac:dyDescent="0.2">
      <c r="A1020" s="7" t="s">
        <v>95</v>
      </c>
      <c r="B1020" s="8" t="s">
        <v>38</v>
      </c>
      <c r="C1020" s="8" t="s">
        <v>975</v>
      </c>
      <c r="D1020" s="6" t="s">
        <v>40</v>
      </c>
      <c r="E1020" s="7" t="s">
        <v>41</v>
      </c>
      <c r="F1020" s="7" t="s">
        <v>98</v>
      </c>
      <c r="G1020" s="8" t="s">
        <v>42</v>
      </c>
      <c r="H1020" s="8" t="s">
        <v>3336</v>
      </c>
      <c r="I1020" s="7" t="s">
        <v>25</v>
      </c>
      <c r="J1020" s="13">
        <v>17</v>
      </c>
    </row>
    <row r="1021" spans="1:10" ht="104" x14ac:dyDescent="0.2">
      <c r="A1021" s="7" t="s">
        <v>95</v>
      </c>
      <c r="B1021" s="8" t="s">
        <v>38</v>
      </c>
      <c r="C1021" s="8" t="s">
        <v>975</v>
      </c>
      <c r="D1021" s="6" t="s">
        <v>40</v>
      </c>
      <c r="E1021" s="7" t="s">
        <v>41</v>
      </c>
      <c r="F1021" s="7" t="s">
        <v>98</v>
      </c>
      <c r="G1021" s="8" t="s">
        <v>976</v>
      </c>
      <c r="H1021" s="8" t="s">
        <v>3337</v>
      </c>
      <c r="I1021" s="7" t="s">
        <v>25</v>
      </c>
      <c r="J1021" s="13">
        <v>15</v>
      </c>
    </row>
    <row r="1022" spans="1:10" ht="104" x14ac:dyDescent="0.2">
      <c r="A1022" s="7" t="s">
        <v>95</v>
      </c>
      <c r="B1022" s="8" t="s">
        <v>38</v>
      </c>
      <c r="C1022" s="8" t="s">
        <v>975</v>
      </c>
      <c r="D1022" s="6" t="s">
        <v>40</v>
      </c>
      <c r="E1022" s="7" t="s">
        <v>41</v>
      </c>
      <c r="F1022" s="7" t="s">
        <v>98</v>
      </c>
      <c r="G1022" s="8" t="s">
        <v>524</v>
      </c>
      <c r="H1022" s="8" t="s">
        <v>3338</v>
      </c>
      <c r="I1022" s="7" t="s">
        <v>25</v>
      </c>
      <c r="J1022" s="13">
        <v>15</v>
      </c>
    </row>
    <row r="1023" spans="1:10" ht="182" x14ac:dyDescent="0.2">
      <c r="A1023" s="7" t="s">
        <v>95</v>
      </c>
      <c r="B1023" s="8" t="s">
        <v>38</v>
      </c>
      <c r="C1023" s="8" t="s">
        <v>975</v>
      </c>
      <c r="D1023" s="6" t="s">
        <v>40</v>
      </c>
      <c r="E1023" s="7" t="s">
        <v>41</v>
      </c>
      <c r="F1023" s="7" t="s">
        <v>98</v>
      </c>
      <c r="G1023" s="8" t="s">
        <v>519</v>
      </c>
      <c r="H1023" s="8" t="s">
        <v>3339</v>
      </c>
      <c r="I1023" s="7" t="s">
        <v>25</v>
      </c>
      <c r="J1023" s="13">
        <v>20</v>
      </c>
    </row>
    <row r="1024" spans="1:10" ht="78" x14ac:dyDescent="0.2">
      <c r="A1024" s="7" t="s">
        <v>95</v>
      </c>
      <c r="B1024" s="8" t="s">
        <v>38</v>
      </c>
      <c r="C1024" s="8" t="s">
        <v>2071</v>
      </c>
      <c r="D1024" s="6" t="s">
        <v>2069</v>
      </c>
      <c r="E1024" s="7" t="s">
        <v>2070</v>
      </c>
      <c r="F1024" s="7" t="s">
        <v>37</v>
      </c>
      <c r="G1024" s="8" t="s">
        <v>2072</v>
      </c>
      <c r="H1024" s="8" t="s">
        <v>2073</v>
      </c>
      <c r="I1024" s="7" t="s">
        <v>17</v>
      </c>
      <c r="J1024" s="15">
        <v>10</v>
      </c>
    </row>
    <row r="1025" spans="1:10" ht="91" x14ac:dyDescent="0.2">
      <c r="A1025" s="7" t="s">
        <v>95</v>
      </c>
      <c r="B1025" s="8" t="s">
        <v>38</v>
      </c>
      <c r="C1025" s="8" t="s">
        <v>2071</v>
      </c>
      <c r="D1025" s="6" t="s">
        <v>2069</v>
      </c>
      <c r="E1025" s="7" t="s">
        <v>2070</v>
      </c>
      <c r="F1025" s="7" t="s">
        <v>37</v>
      </c>
      <c r="G1025" s="8" t="s">
        <v>48</v>
      </c>
      <c r="H1025" s="8" t="s">
        <v>2074</v>
      </c>
      <c r="I1025" s="7" t="s">
        <v>25</v>
      </c>
      <c r="J1025" s="15">
        <v>20</v>
      </c>
    </row>
    <row r="1026" spans="1:10" ht="104" x14ac:dyDescent="0.2">
      <c r="A1026" s="7" t="s">
        <v>95</v>
      </c>
      <c r="B1026" s="8" t="s">
        <v>38</v>
      </c>
      <c r="C1026" s="8" t="s">
        <v>2071</v>
      </c>
      <c r="D1026" s="6" t="s">
        <v>2069</v>
      </c>
      <c r="E1026" s="7" t="s">
        <v>2070</v>
      </c>
      <c r="F1026" s="7" t="s">
        <v>37</v>
      </c>
      <c r="G1026" s="8" t="s">
        <v>2075</v>
      </c>
      <c r="H1026" s="8" t="s">
        <v>2076</v>
      </c>
      <c r="I1026" s="7" t="s">
        <v>17</v>
      </c>
      <c r="J1026" s="15">
        <v>20</v>
      </c>
    </row>
    <row r="1027" spans="1:10" ht="91" x14ac:dyDescent="0.2">
      <c r="A1027" s="7" t="s">
        <v>95</v>
      </c>
      <c r="B1027" s="8" t="s">
        <v>38</v>
      </c>
      <c r="C1027" s="8" t="s">
        <v>2071</v>
      </c>
      <c r="D1027" s="6" t="s">
        <v>2069</v>
      </c>
      <c r="E1027" s="7" t="s">
        <v>2070</v>
      </c>
      <c r="F1027" s="7" t="s">
        <v>37</v>
      </c>
      <c r="G1027" s="8" t="s">
        <v>2077</v>
      </c>
      <c r="H1027" s="8" t="s">
        <v>2078</v>
      </c>
      <c r="I1027" s="7" t="s">
        <v>17</v>
      </c>
      <c r="J1027" s="15">
        <v>15</v>
      </c>
    </row>
    <row r="1028" spans="1:10" ht="272" x14ac:dyDescent="0.2">
      <c r="A1028" s="7" t="s">
        <v>95</v>
      </c>
      <c r="B1028" s="8" t="s">
        <v>38</v>
      </c>
      <c r="C1028" s="8" t="s">
        <v>2071</v>
      </c>
      <c r="D1028" s="6" t="s">
        <v>2069</v>
      </c>
      <c r="E1028" s="7" t="s">
        <v>2070</v>
      </c>
      <c r="F1028" s="7" t="s">
        <v>37</v>
      </c>
      <c r="G1028" s="8" t="s">
        <v>42</v>
      </c>
      <c r="H1028" s="8" t="s">
        <v>2079</v>
      </c>
      <c r="I1028" s="7" t="s">
        <v>25</v>
      </c>
      <c r="J1028" s="15">
        <v>35</v>
      </c>
    </row>
    <row r="1029" spans="1:10" ht="78" x14ac:dyDescent="0.2">
      <c r="A1029" s="7" t="s">
        <v>95</v>
      </c>
      <c r="B1029" s="8" t="s">
        <v>38</v>
      </c>
      <c r="C1029" s="8" t="s">
        <v>191</v>
      </c>
      <c r="D1029" s="6" t="s">
        <v>189</v>
      </c>
      <c r="E1029" s="7" t="s">
        <v>190</v>
      </c>
      <c r="F1029" s="7" t="s">
        <v>193</v>
      </c>
      <c r="G1029" s="8" t="s">
        <v>194</v>
      </c>
      <c r="H1029" s="8" t="s">
        <v>195</v>
      </c>
      <c r="I1029" s="7" t="s">
        <v>25</v>
      </c>
      <c r="J1029" s="15">
        <v>25</v>
      </c>
    </row>
    <row r="1030" spans="1:10" ht="221" x14ac:dyDescent="0.2">
      <c r="A1030" s="7" t="s">
        <v>95</v>
      </c>
      <c r="B1030" s="8" t="s">
        <v>38</v>
      </c>
      <c r="C1030" s="8" t="s">
        <v>191</v>
      </c>
      <c r="D1030" s="6" t="s">
        <v>189</v>
      </c>
      <c r="E1030" s="7" t="s">
        <v>190</v>
      </c>
      <c r="F1030" s="7" t="s">
        <v>193</v>
      </c>
      <c r="G1030" s="8" t="s">
        <v>196</v>
      </c>
      <c r="H1030" s="8" t="s">
        <v>197</v>
      </c>
      <c r="I1030" s="7" t="s">
        <v>17</v>
      </c>
      <c r="J1030" s="15">
        <v>25</v>
      </c>
    </row>
    <row r="1031" spans="1:10" ht="117" x14ac:dyDescent="0.2">
      <c r="A1031" s="7" t="s">
        <v>95</v>
      </c>
      <c r="B1031" s="8" t="s">
        <v>38</v>
      </c>
      <c r="C1031" s="8" t="s">
        <v>191</v>
      </c>
      <c r="D1031" s="6" t="s">
        <v>189</v>
      </c>
      <c r="E1031" s="7" t="s">
        <v>190</v>
      </c>
      <c r="F1031" s="7" t="s">
        <v>193</v>
      </c>
      <c r="G1031" s="8" t="s">
        <v>198</v>
      </c>
      <c r="H1031" s="8" t="s">
        <v>199</v>
      </c>
      <c r="I1031" s="7" t="s">
        <v>17</v>
      </c>
      <c r="J1031" s="15">
        <v>15</v>
      </c>
    </row>
    <row r="1032" spans="1:10" ht="143" x14ac:dyDescent="0.2">
      <c r="A1032" s="7" t="s">
        <v>95</v>
      </c>
      <c r="B1032" s="8" t="s">
        <v>38</v>
      </c>
      <c r="C1032" s="8" t="s">
        <v>191</v>
      </c>
      <c r="D1032" s="6" t="s">
        <v>189</v>
      </c>
      <c r="E1032" s="7" t="s">
        <v>190</v>
      </c>
      <c r="F1032" s="7" t="s">
        <v>193</v>
      </c>
      <c r="G1032" s="8" t="s">
        <v>200</v>
      </c>
      <c r="H1032" s="8" t="s">
        <v>201</v>
      </c>
      <c r="I1032" s="7" t="s">
        <v>17</v>
      </c>
      <c r="J1032" s="15">
        <v>15</v>
      </c>
    </row>
    <row r="1033" spans="1:10" ht="104" x14ac:dyDescent="0.2">
      <c r="A1033" s="7" t="s">
        <v>95</v>
      </c>
      <c r="B1033" s="8" t="s">
        <v>38</v>
      </c>
      <c r="C1033" s="8" t="s">
        <v>191</v>
      </c>
      <c r="D1033" s="6" t="s">
        <v>189</v>
      </c>
      <c r="E1033" s="7" t="s">
        <v>190</v>
      </c>
      <c r="F1033" s="7" t="s">
        <v>193</v>
      </c>
      <c r="G1033" s="8" t="s">
        <v>202</v>
      </c>
      <c r="H1033" s="8" t="s">
        <v>203</v>
      </c>
      <c r="I1033" s="7" t="s">
        <v>25</v>
      </c>
      <c r="J1033" s="15">
        <v>20</v>
      </c>
    </row>
    <row r="1034" spans="1:10" ht="130" x14ac:dyDescent="0.2">
      <c r="A1034" s="7" t="s">
        <v>95</v>
      </c>
      <c r="B1034" s="8" t="s">
        <v>38</v>
      </c>
      <c r="C1034" s="8" t="s">
        <v>516</v>
      </c>
      <c r="D1034" s="6" t="s">
        <v>514</v>
      </c>
      <c r="E1034" s="7" t="s">
        <v>515</v>
      </c>
      <c r="F1034" s="7" t="s">
        <v>41</v>
      </c>
      <c r="G1034" s="8" t="s">
        <v>517</v>
      </c>
      <c r="H1034" s="8" t="s">
        <v>518</v>
      </c>
      <c r="I1034" s="7" t="s">
        <v>17</v>
      </c>
      <c r="J1034" s="15">
        <v>15</v>
      </c>
    </row>
    <row r="1035" spans="1:10" ht="130" x14ac:dyDescent="0.2">
      <c r="A1035" s="7" t="s">
        <v>95</v>
      </c>
      <c r="B1035" s="8" t="s">
        <v>38</v>
      </c>
      <c r="C1035" s="8" t="s">
        <v>516</v>
      </c>
      <c r="D1035" s="6" t="s">
        <v>514</v>
      </c>
      <c r="E1035" s="7" t="s">
        <v>515</v>
      </c>
      <c r="F1035" s="7" t="s">
        <v>41</v>
      </c>
      <c r="G1035" s="8" t="s">
        <v>519</v>
      </c>
      <c r="H1035" s="8" t="s">
        <v>520</v>
      </c>
      <c r="I1035" s="7" t="s">
        <v>25</v>
      </c>
      <c r="J1035" s="15">
        <v>30</v>
      </c>
    </row>
    <row r="1036" spans="1:10" ht="78" x14ac:dyDescent="0.2">
      <c r="A1036" s="7" t="s">
        <v>95</v>
      </c>
      <c r="B1036" s="8" t="s">
        <v>38</v>
      </c>
      <c r="C1036" s="8" t="s">
        <v>516</v>
      </c>
      <c r="D1036" s="6" t="s">
        <v>514</v>
      </c>
      <c r="E1036" s="7" t="s">
        <v>515</v>
      </c>
      <c r="F1036" s="7" t="s">
        <v>41</v>
      </c>
      <c r="G1036" s="8" t="s">
        <v>521</v>
      </c>
      <c r="H1036" s="8" t="s">
        <v>522</v>
      </c>
      <c r="I1036" s="7" t="s">
        <v>17</v>
      </c>
      <c r="J1036" s="15">
        <v>10</v>
      </c>
    </row>
    <row r="1037" spans="1:10" ht="130" x14ac:dyDescent="0.2">
      <c r="A1037" s="7" t="s">
        <v>95</v>
      </c>
      <c r="B1037" s="8" t="s">
        <v>38</v>
      </c>
      <c r="C1037" s="8" t="s">
        <v>516</v>
      </c>
      <c r="D1037" s="6" t="s">
        <v>514</v>
      </c>
      <c r="E1037" s="7" t="s">
        <v>515</v>
      </c>
      <c r="F1037" s="7" t="s">
        <v>41</v>
      </c>
      <c r="G1037" s="8" t="s">
        <v>200</v>
      </c>
      <c r="H1037" s="8" t="s">
        <v>523</v>
      </c>
      <c r="I1037" s="7" t="s">
        <v>17</v>
      </c>
      <c r="J1037" s="15">
        <v>20</v>
      </c>
    </row>
    <row r="1038" spans="1:10" ht="65" x14ac:dyDescent="0.2">
      <c r="A1038" s="7" t="s">
        <v>95</v>
      </c>
      <c r="B1038" s="8" t="s">
        <v>38</v>
      </c>
      <c r="C1038" s="8" t="s">
        <v>516</v>
      </c>
      <c r="D1038" s="6" t="s">
        <v>514</v>
      </c>
      <c r="E1038" s="7" t="s">
        <v>515</v>
      </c>
      <c r="F1038" s="7" t="s">
        <v>41</v>
      </c>
      <c r="G1038" s="8" t="s">
        <v>524</v>
      </c>
      <c r="H1038" s="8" t="s">
        <v>525</v>
      </c>
      <c r="I1038" s="7" t="s">
        <v>25</v>
      </c>
      <c r="J1038" s="15">
        <v>15</v>
      </c>
    </row>
    <row r="1039" spans="1:10" ht="65" x14ac:dyDescent="0.2">
      <c r="A1039" s="7" t="s">
        <v>95</v>
      </c>
      <c r="B1039" s="8" t="s">
        <v>38</v>
      </c>
      <c r="C1039" s="8" t="s">
        <v>516</v>
      </c>
      <c r="D1039" s="6" t="s">
        <v>514</v>
      </c>
      <c r="E1039" s="7" t="s">
        <v>515</v>
      </c>
      <c r="F1039" s="7" t="s">
        <v>41</v>
      </c>
      <c r="G1039" s="8" t="s">
        <v>526</v>
      </c>
      <c r="H1039" s="8" t="s">
        <v>527</v>
      </c>
      <c r="I1039" s="7" t="s">
        <v>17</v>
      </c>
      <c r="J1039" s="15">
        <v>10</v>
      </c>
    </row>
    <row r="1040" spans="1:10" ht="117" x14ac:dyDescent="0.2">
      <c r="A1040" s="7" t="s">
        <v>95</v>
      </c>
      <c r="B1040" s="8" t="s">
        <v>38</v>
      </c>
      <c r="C1040" s="8" t="s">
        <v>1979</v>
      </c>
      <c r="D1040" s="6" t="s">
        <v>192</v>
      </c>
      <c r="E1040" s="7" t="s">
        <v>193</v>
      </c>
      <c r="F1040" s="7" t="s">
        <v>41</v>
      </c>
      <c r="G1040" s="8" t="s">
        <v>198</v>
      </c>
      <c r="H1040" s="8" t="s">
        <v>1980</v>
      </c>
      <c r="I1040" s="7" t="s">
        <v>17</v>
      </c>
      <c r="J1040" s="15">
        <v>25</v>
      </c>
    </row>
    <row r="1041" spans="1:10" ht="65" x14ac:dyDescent="0.2">
      <c r="A1041" s="7" t="s">
        <v>95</v>
      </c>
      <c r="B1041" s="8" t="s">
        <v>38</v>
      </c>
      <c r="C1041" s="8" t="s">
        <v>1979</v>
      </c>
      <c r="D1041" s="6" t="s">
        <v>192</v>
      </c>
      <c r="E1041" s="7" t="s">
        <v>193</v>
      </c>
      <c r="F1041" s="7" t="s">
        <v>41</v>
      </c>
      <c r="G1041" s="8" t="s">
        <v>1981</v>
      </c>
      <c r="H1041" s="8" t="s">
        <v>1982</v>
      </c>
      <c r="I1041" s="7" t="s">
        <v>17</v>
      </c>
      <c r="J1041" s="15">
        <v>10</v>
      </c>
    </row>
    <row r="1042" spans="1:10" ht="91" x14ac:dyDescent="0.2">
      <c r="A1042" s="7" t="s">
        <v>95</v>
      </c>
      <c r="B1042" s="8" t="s">
        <v>38</v>
      </c>
      <c r="C1042" s="8" t="s">
        <v>1979</v>
      </c>
      <c r="D1042" s="6" t="s">
        <v>192</v>
      </c>
      <c r="E1042" s="7" t="s">
        <v>193</v>
      </c>
      <c r="F1042" s="7" t="s">
        <v>41</v>
      </c>
      <c r="G1042" s="8" t="s">
        <v>1983</v>
      </c>
      <c r="H1042" s="8" t="s">
        <v>1984</v>
      </c>
      <c r="I1042" s="7" t="s">
        <v>17</v>
      </c>
      <c r="J1042" s="15">
        <v>20</v>
      </c>
    </row>
    <row r="1043" spans="1:10" ht="78" x14ac:dyDescent="0.2">
      <c r="A1043" s="7" t="s">
        <v>95</v>
      </c>
      <c r="B1043" s="8" t="s">
        <v>38</v>
      </c>
      <c r="C1043" s="8" t="s">
        <v>1979</v>
      </c>
      <c r="D1043" s="6" t="s">
        <v>192</v>
      </c>
      <c r="E1043" s="7" t="s">
        <v>193</v>
      </c>
      <c r="F1043" s="7" t="s">
        <v>41</v>
      </c>
      <c r="G1043" s="8" t="s">
        <v>976</v>
      </c>
      <c r="H1043" s="8" t="s">
        <v>1985</v>
      </c>
      <c r="I1043" s="7" t="s">
        <v>25</v>
      </c>
      <c r="J1043" s="15">
        <v>25</v>
      </c>
    </row>
    <row r="1044" spans="1:10" ht="104" x14ac:dyDescent="0.2">
      <c r="A1044" s="7" t="s">
        <v>95</v>
      </c>
      <c r="B1044" s="8" t="s">
        <v>38</v>
      </c>
      <c r="C1044" s="8" t="s">
        <v>1979</v>
      </c>
      <c r="D1044" s="6" t="s">
        <v>192</v>
      </c>
      <c r="E1044" s="7" t="s">
        <v>193</v>
      </c>
      <c r="F1044" s="7" t="s">
        <v>41</v>
      </c>
      <c r="G1044" s="8" t="s">
        <v>1986</v>
      </c>
      <c r="H1044" s="8" t="s">
        <v>1987</v>
      </c>
      <c r="I1044" s="7" t="s">
        <v>17</v>
      </c>
      <c r="J1044" s="15">
        <v>20</v>
      </c>
    </row>
    <row r="1045" spans="1:10" ht="65" x14ac:dyDescent="0.2">
      <c r="A1045" s="7" t="s">
        <v>95</v>
      </c>
      <c r="B1045" s="8" t="s">
        <v>38</v>
      </c>
      <c r="C1045" s="8" t="s">
        <v>1830</v>
      </c>
      <c r="D1045" s="6" t="s">
        <v>1828</v>
      </c>
      <c r="E1045" s="7" t="s">
        <v>1829</v>
      </c>
      <c r="F1045" s="7" t="s">
        <v>41</v>
      </c>
      <c r="G1045" s="8" t="s">
        <v>1831</v>
      </c>
      <c r="H1045" s="8" t="s">
        <v>1832</v>
      </c>
      <c r="I1045" s="7" t="s">
        <v>17</v>
      </c>
      <c r="J1045" s="15">
        <v>15</v>
      </c>
    </row>
    <row r="1046" spans="1:10" ht="78" x14ac:dyDescent="0.2">
      <c r="A1046" s="7" t="s">
        <v>95</v>
      </c>
      <c r="B1046" s="8" t="s">
        <v>38</v>
      </c>
      <c r="C1046" s="8" t="s">
        <v>1830</v>
      </c>
      <c r="D1046" s="6" t="s">
        <v>1828</v>
      </c>
      <c r="E1046" s="7" t="s">
        <v>1829</v>
      </c>
      <c r="F1046" s="7" t="s">
        <v>41</v>
      </c>
      <c r="G1046" s="8" t="s">
        <v>1833</v>
      </c>
      <c r="H1046" s="8" t="s">
        <v>1834</v>
      </c>
      <c r="I1046" s="7" t="s">
        <v>17</v>
      </c>
      <c r="J1046" s="15">
        <v>15</v>
      </c>
    </row>
    <row r="1047" spans="1:10" ht="78" x14ac:dyDescent="0.2">
      <c r="A1047" s="7" t="s">
        <v>95</v>
      </c>
      <c r="B1047" s="8" t="s">
        <v>38</v>
      </c>
      <c r="C1047" s="8" t="s">
        <v>1830</v>
      </c>
      <c r="D1047" s="6" t="s">
        <v>1828</v>
      </c>
      <c r="E1047" s="7" t="s">
        <v>1829</v>
      </c>
      <c r="F1047" s="7" t="s">
        <v>41</v>
      </c>
      <c r="G1047" s="8" t="s">
        <v>194</v>
      </c>
      <c r="H1047" s="8" t="s">
        <v>1835</v>
      </c>
      <c r="I1047" s="7" t="s">
        <v>25</v>
      </c>
      <c r="J1047" s="15">
        <v>35</v>
      </c>
    </row>
    <row r="1048" spans="1:10" ht="117" x14ac:dyDescent="0.2">
      <c r="A1048" s="7" t="s">
        <v>95</v>
      </c>
      <c r="B1048" s="8" t="s">
        <v>38</v>
      </c>
      <c r="C1048" s="8" t="s">
        <v>1830</v>
      </c>
      <c r="D1048" s="6" t="s">
        <v>1828</v>
      </c>
      <c r="E1048" s="7" t="s">
        <v>1829</v>
      </c>
      <c r="F1048" s="7" t="s">
        <v>41</v>
      </c>
      <c r="G1048" s="8" t="s">
        <v>1836</v>
      </c>
      <c r="H1048" s="8" t="s">
        <v>1837</v>
      </c>
      <c r="I1048" s="7" t="s">
        <v>17</v>
      </c>
      <c r="J1048" s="15">
        <v>20</v>
      </c>
    </row>
    <row r="1049" spans="1:10" ht="78" x14ac:dyDescent="0.2">
      <c r="A1049" s="7" t="s">
        <v>95</v>
      </c>
      <c r="B1049" s="8" t="s">
        <v>38</v>
      </c>
      <c r="C1049" s="8" t="s">
        <v>1830</v>
      </c>
      <c r="D1049" s="6" t="s">
        <v>1828</v>
      </c>
      <c r="E1049" s="7" t="s">
        <v>1829</v>
      </c>
      <c r="F1049" s="7" t="s">
        <v>41</v>
      </c>
      <c r="G1049" s="8" t="s">
        <v>1838</v>
      </c>
      <c r="H1049" s="8" t="s">
        <v>1839</v>
      </c>
      <c r="I1049" s="7" t="s">
        <v>17</v>
      </c>
      <c r="J1049" s="15">
        <v>15</v>
      </c>
    </row>
    <row r="1050" spans="1:10" ht="284" x14ac:dyDescent="0.2">
      <c r="A1050" s="7" t="s">
        <v>95</v>
      </c>
      <c r="B1050" s="8" t="s">
        <v>38</v>
      </c>
      <c r="C1050" s="8" t="s">
        <v>39</v>
      </c>
      <c r="D1050" s="6" t="s">
        <v>36</v>
      </c>
      <c r="E1050" s="7" t="s">
        <v>37</v>
      </c>
      <c r="F1050" s="7" t="s">
        <v>41</v>
      </c>
      <c r="G1050" s="8" t="s">
        <v>42</v>
      </c>
      <c r="H1050" s="8" t="s">
        <v>43</v>
      </c>
      <c r="I1050" s="7" t="s">
        <v>25</v>
      </c>
      <c r="J1050" s="15">
        <v>35</v>
      </c>
    </row>
    <row r="1051" spans="1:10" ht="78" x14ac:dyDescent="0.2">
      <c r="A1051" s="7" t="s">
        <v>95</v>
      </c>
      <c r="B1051" s="8" t="s">
        <v>38</v>
      </c>
      <c r="C1051" s="8" t="s">
        <v>39</v>
      </c>
      <c r="D1051" s="6" t="s">
        <v>36</v>
      </c>
      <c r="E1051" s="7" t="s">
        <v>37</v>
      </c>
      <c r="F1051" s="7" t="s">
        <v>41</v>
      </c>
      <c r="G1051" s="8" t="s">
        <v>44</v>
      </c>
      <c r="H1051" s="8" t="s">
        <v>45</v>
      </c>
      <c r="I1051" s="7" t="s">
        <v>17</v>
      </c>
      <c r="J1051" s="15">
        <v>15</v>
      </c>
    </row>
    <row r="1052" spans="1:10" ht="65" x14ac:dyDescent="0.2">
      <c r="A1052" s="7" t="s">
        <v>95</v>
      </c>
      <c r="B1052" s="8" t="s">
        <v>38</v>
      </c>
      <c r="C1052" s="8" t="s">
        <v>39</v>
      </c>
      <c r="D1052" s="6" t="s">
        <v>36</v>
      </c>
      <c r="E1052" s="7" t="s">
        <v>37</v>
      </c>
      <c r="F1052" s="7" t="s">
        <v>41</v>
      </c>
      <c r="G1052" s="8" t="s">
        <v>46</v>
      </c>
      <c r="H1052" s="8" t="s">
        <v>47</v>
      </c>
      <c r="I1052" s="7" t="s">
        <v>17</v>
      </c>
      <c r="J1052" s="15">
        <v>15</v>
      </c>
    </row>
    <row r="1053" spans="1:10" ht="78" x14ac:dyDescent="0.2">
      <c r="A1053" s="7" t="s">
        <v>95</v>
      </c>
      <c r="B1053" s="8" t="s">
        <v>38</v>
      </c>
      <c r="C1053" s="8" t="s">
        <v>39</v>
      </c>
      <c r="D1053" s="6" t="s">
        <v>36</v>
      </c>
      <c r="E1053" s="7" t="s">
        <v>37</v>
      </c>
      <c r="F1053" s="7" t="s">
        <v>41</v>
      </c>
      <c r="G1053" s="8" t="s">
        <v>48</v>
      </c>
      <c r="H1053" s="8" t="s">
        <v>49</v>
      </c>
      <c r="I1053" s="7" t="s">
        <v>25</v>
      </c>
      <c r="J1053" s="15">
        <v>20</v>
      </c>
    </row>
    <row r="1054" spans="1:10" ht="104" x14ac:dyDescent="0.2">
      <c r="A1054" s="7" t="s">
        <v>95</v>
      </c>
      <c r="B1054" s="8" t="s">
        <v>38</v>
      </c>
      <c r="C1054" s="8" t="s">
        <v>39</v>
      </c>
      <c r="D1054" s="6" t="s">
        <v>36</v>
      </c>
      <c r="E1054" s="7" t="s">
        <v>37</v>
      </c>
      <c r="F1054" s="7" t="s">
        <v>41</v>
      </c>
      <c r="G1054" s="8" t="s">
        <v>50</v>
      </c>
      <c r="H1054" s="8" t="s">
        <v>51</v>
      </c>
      <c r="I1054" s="7" t="s">
        <v>17</v>
      </c>
      <c r="J1054" s="15">
        <v>15</v>
      </c>
    </row>
    <row r="1055" spans="1:10" ht="234" x14ac:dyDescent="0.2">
      <c r="A1055" s="7" t="s">
        <v>95</v>
      </c>
      <c r="B1055" s="8" t="s">
        <v>1630</v>
      </c>
      <c r="C1055" s="8" t="s">
        <v>2892</v>
      </c>
      <c r="D1055" s="6" t="s">
        <v>1632</v>
      </c>
      <c r="E1055" s="7" t="s">
        <v>1633</v>
      </c>
      <c r="F1055" s="7" t="s">
        <v>98</v>
      </c>
      <c r="G1055" s="8" t="s">
        <v>1200</v>
      </c>
      <c r="H1055" s="8" t="s">
        <v>3354</v>
      </c>
      <c r="I1055" s="7" t="s">
        <v>25</v>
      </c>
      <c r="J1055" s="13">
        <v>25</v>
      </c>
    </row>
    <row r="1056" spans="1:10" ht="91" x14ac:dyDescent="0.2">
      <c r="A1056" s="7" t="s">
        <v>95</v>
      </c>
      <c r="B1056" s="8" t="s">
        <v>1630</v>
      </c>
      <c r="C1056" s="8" t="s">
        <v>2892</v>
      </c>
      <c r="D1056" s="6" t="s">
        <v>1632</v>
      </c>
      <c r="E1056" s="7" t="s">
        <v>1633</v>
      </c>
      <c r="F1056" s="7" t="s">
        <v>98</v>
      </c>
      <c r="G1056" s="8" t="s">
        <v>2637</v>
      </c>
      <c r="H1056" s="8" t="s">
        <v>3355</v>
      </c>
      <c r="I1056" s="7" t="s">
        <v>25</v>
      </c>
      <c r="J1056" s="13">
        <v>10</v>
      </c>
    </row>
    <row r="1057" spans="1:10" ht="91" x14ac:dyDescent="0.2">
      <c r="A1057" s="7" t="s">
        <v>95</v>
      </c>
      <c r="B1057" s="8" t="s">
        <v>1630</v>
      </c>
      <c r="C1057" s="8" t="s">
        <v>2892</v>
      </c>
      <c r="D1057" s="6" t="s">
        <v>1632</v>
      </c>
      <c r="E1057" s="7" t="s">
        <v>1633</v>
      </c>
      <c r="F1057" s="7" t="s">
        <v>98</v>
      </c>
      <c r="G1057" s="8" t="s">
        <v>1636</v>
      </c>
      <c r="H1057" s="8" t="s">
        <v>3356</v>
      </c>
      <c r="I1057" s="7" t="s">
        <v>25</v>
      </c>
      <c r="J1057" s="13">
        <v>10</v>
      </c>
    </row>
    <row r="1058" spans="1:10" ht="104" x14ac:dyDescent="0.2">
      <c r="A1058" s="7" t="s">
        <v>95</v>
      </c>
      <c r="B1058" s="8" t="s">
        <v>1630</v>
      </c>
      <c r="C1058" s="8" t="s">
        <v>2892</v>
      </c>
      <c r="D1058" s="6" t="s">
        <v>1632</v>
      </c>
      <c r="E1058" s="7" t="s">
        <v>1633</v>
      </c>
      <c r="F1058" s="7" t="s">
        <v>98</v>
      </c>
      <c r="G1058" s="8" t="s">
        <v>2893</v>
      </c>
      <c r="H1058" s="8" t="s">
        <v>3357</v>
      </c>
      <c r="I1058" s="7" t="s">
        <v>25</v>
      </c>
      <c r="J1058" s="13">
        <v>10</v>
      </c>
    </row>
    <row r="1059" spans="1:10" ht="143" x14ac:dyDescent="0.2">
      <c r="A1059" s="7" t="s">
        <v>95</v>
      </c>
      <c r="B1059" s="8" t="s">
        <v>1630</v>
      </c>
      <c r="C1059" s="8" t="s">
        <v>2892</v>
      </c>
      <c r="D1059" s="6" t="s">
        <v>1632</v>
      </c>
      <c r="E1059" s="7" t="s">
        <v>1633</v>
      </c>
      <c r="F1059" s="7" t="s">
        <v>98</v>
      </c>
      <c r="G1059" s="8" t="s">
        <v>2894</v>
      </c>
      <c r="H1059" s="8" t="s">
        <v>3358</v>
      </c>
      <c r="I1059" s="7" t="s">
        <v>25</v>
      </c>
      <c r="J1059" s="13">
        <v>25</v>
      </c>
    </row>
    <row r="1060" spans="1:10" ht="156" x14ac:dyDescent="0.2">
      <c r="A1060" s="7" t="s">
        <v>95</v>
      </c>
      <c r="B1060" s="8" t="s">
        <v>1630</v>
      </c>
      <c r="C1060" s="8" t="s">
        <v>2892</v>
      </c>
      <c r="D1060" s="6" t="s">
        <v>1632</v>
      </c>
      <c r="E1060" s="7" t="s">
        <v>1633</v>
      </c>
      <c r="F1060" s="7" t="s">
        <v>98</v>
      </c>
      <c r="G1060" s="8" t="s">
        <v>1638</v>
      </c>
      <c r="H1060" s="8" t="s">
        <v>3359</v>
      </c>
      <c r="I1060" s="7" t="s">
        <v>25</v>
      </c>
      <c r="J1060" s="13">
        <v>20</v>
      </c>
    </row>
    <row r="1061" spans="1:10" ht="91" x14ac:dyDescent="0.2">
      <c r="A1061" s="7" t="s">
        <v>95</v>
      </c>
      <c r="B1061" s="8" t="s">
        <v>1630</v>
      </c>
      <c r="C1061" s="8" t="s">
        <v>2636</v>
      </c>
      <c r="D1061" s="6" t="s">
        <v>2634</v>
      </c>
      <c r="E1061" s="7" t="s">
        <v>2635</v>
      </c>
      <c r="F1061" s="7" t="s">
        <v>1633</v>
      </c>
      <c r="G1061" s="8" t="s">
        <v>2637</v>
      </c>
      <c r="H1061" s="8" t="s">
        <v>2638</v>
      </c>
      <c r="I1061" s="7" t="s">
        <v>17</v>
      </c>
      <c r="J1061" s="15">
        <v>30</v>
      </c>
    </row>
    <row r="1062" spans="1:10" ht="169" x14ac:dyDescent="0.2">
      <c r="A1062" s="7" t="s">
        <v>95</v>
      </c>
      <c r="B1062" s="8" t="s">
        <v>1630</v>
      </c>
      <c r="C1062" s="8" t="s">
        <v>2636</v>
      </c>
      <c r="D1062" s="6" t="s">
        <v>2634</v>
      </c>
      <c r="E1062" s="7" t="s">
        <v>2635</v>
      </c>
      <c r="F1062" s="7" t="s">
        <v>1633</v>
      </c>
      <c r="G1062" s="8" t="s">
        <v>1200</v>
      </c>
      <c r="H1062" s="8" t="s">
        <v>2639</v>
      </c>
      <c r="I1062" s="7" t="s">
        <v>25</v>
      </c>
      <c r="J1062" s="15">
        <v>30</v>
      </c>
    </row>
    <row r="1063" spans="1:10" ht="91" x14ac:dyDescent="0.2">
      <c r="A1063" s="7" t="s">
        <v>95</v>
      </c>
      <c r="B1063" s="8" t="s">
        <v>1630</v>
      </c>
      <c r="C1063" s="8" t="s">
        <v>2636</v>
      </c>
      <c r="D1063" s="6" t="s">
        <v>2634</v>
      </c>
      <c r="E1063" s="7" t="s">
        <v>2635</v>
      </c>
      <c r="F1063" s="7" t="s">
        <v>1633</v>
      </c>
      <c r="G1063" s="8" t="s">
        <v>2640</v>
      </c>
      <c r="H1063" s="8" t="s">
        <v>2641</v>
      </c>
      <c r="I1063" s="7" t="s">
        <v>25</v>
      </c>
      <c r="J1063" s="15">
        <v>20</v>
      </c>
    </row>
    <row r="1064" spans="1:10" ht="130" x14ac:dyDescent="0.2">
      <c r="A1064" s="7" t="s">
        <v>95</v>
      </c>
      <c r="B1064" s="8" t="s">
        <v>1630</v>
      </c>
      <c r="C1064" s="8" t="s">
        <v>2636</v>
      </c>
      <c r="D1064" s="6" t="s">
        <v>2634</v>
      </c>
      <c r="E1064" s="7" t="s">
        <v>2635</v>
      </c>
      <c r="F1064" s="7" t="s">
        <v>1633</v>
      </c>
      <c r="G1064" s="8" t="s">
        <v>2642</v>
      </c>
      <c r="H1064" s="8" t="s">
        <v>2643</v>
      </c>
      <c r="I1064" s="7" t="s">
        <v>25</v>
      </c>
      <c r="J1064" s="15">
        <v>20</v>
      </c>
    </row>
    <row r="1065" spans="1:10" ht="104" x14ac:dyDescent="0.2">
      <c r="A1065" s="7" t="s">
        <v>95</v>
      </c>
      <c r="B1065" s="8" t="s">
        <v>1630</v>
      </c>
      <c r="C1065" s="8" t="s">
        <v>1631</v>
      </c>
      <c r="D1065" s="6" t="s">
        <v>1628</v>
      </c>
      <c r="E1065" s="7" t="s">
        <v>1629</v>
      </c>
      <c r="F1065" s="7" t="s">
        <v>1633</v>
      </c>
      <c r="G1065" s="8" t="s">
        <v>1634</v>
      </c>
      <c r="H1065" s="8" t="s">
        <v>1635</v>
      </c>
      <c r="I1065" s="7" t="s">
        <v>17</v>
      </c>
      <c r="J1065" s="15">
        <v>20</v>
      </c>
    </row>
    <row r="1066" spans="1:10" ht="117" x14ac:dyDescent="0.2">
      <c r="A1066" s="7" t="s">
        <v>95</v>
      </c>
      <c r="B1066" s="8" t="s">
        <v>1630</v>
      </c>
      <c r="C1066" s="8" t="s">
        <v>1631</v>
      </c>
      <c r="D1066" s="6" t="s">
        <v>1628</v>
      </c>
      <c r="E1066" s="7" t="s">
        <v>1629</v>
      </c>
      <c r="F1066" s="7" t="s">
        <v>1633</v>
      </c>
      <c r="G1066" s="8" t="s">
        <v>1636</v>
      </c>
      <c r="H1066" s="8" t="s">
        <v>1637</v>
      </c>
      <c r="I1066" s="7" t="s">
        <v>17</v>
      </c>
      <c r="J1066" s="15">
        <v>10</v>
      </c>
    </row>
    <row r="1067" spans="1:10" ht="130" x14ac:dyDescent="0.2">
      <c r="A1067" s="7" t="s">
        <v>95</v>
      </c>
      <c r="B1067" s="8" t="s">
        <v>1630</v>
      </c>
      <c r="C1067" s="8" t="s">
        <v>1631</v>
      </c>
      <c r="D1067" s="6" t="s">
        <v>1628</v>
      </c>
      <c r="E1067" s="7" t="s">
        <v>1629</v>
      </c>
      <c r="F1067" s="7" t="s">
        <v>1633</v>
      </c>
      <c r="G1067" s="8" t="s">
        <v>1638</v>
      </c>
      <c r="H1067" s="8" t="s">
        <v>1639</v>
      </c>
      <c r="I1067" s="7" t="s">
        <v>25</v>
      </c>
      <c r="J1067" s="15">
        <v>20</v>
      </c>
    </row>
    <row r="1068" spans="1:10" ht="182" x14ac:dyDescent="0.2">
      <c r="A1068" s="7" t="s">
        <v>95</v>
      </c>
      <c r="B1068" s="8" t="s">
        <v>1630</v>
      </c>
      <c r="C1068" s="8" t="s">
        <v>1631</v>
      </c>
      <c r="D1068" s="6" t="s">
        <v>1628</v>
      </c>
      <c r="E1068" s="7" t="s">
        <v>1629</v>
      </c>
      <c r="F1068" s="7" t="s">
        <v>1633</v>
      </c>
      <c r="G1068" s="8" t="s">
        <v>1200</v>
      </c>
      <c r="H1068" s="8" t="s">
        <v>1640</v>
      </c>
      <c r="I1068" s="7" t="s">
        <v>25</v>
      </c>
      <c r="J1068" s="15">
        <v>30</v>
      </c>
    </row>
    <row r="1069" spans="1:10" ht="143" x14ac:dyDescent="0.2">
      <c r="A1069" s="7" t="s">
        <v>95</v>
      </c>
      <c r="B1069" s="8" t="s">
        <v>1630</v>
      </c>
      <c r="C1069" s="8" t="s">
        <v>1631</v>
      </c>
      <c r="D1069" s="6" t="s">
        <v>1628</v>
      </c>
      <c r="E1069" s="7" t="s">
        <v>1629</v>
      </c>
      <c r="F1069" s="7" t="s">
        <v>1633</v>
      </c>
      <c r="G1069" s="8" t="s">
        <v>1641</v>
      </c>
      <c r="H1069" s="8" t="s">
        <v>1642</v>
      </c>
      <c r="I1069" s="7" t="s">
        <v>17</v>
      </c>
      <c r="J1069" s="15">
        <v>20</v>
      </c>
    </row>
    <row r="1070" spans="1:10" ht="78" x14ac:dyDescent="0.2">
      <c r="A1070" s="7" t="s">
        <v>95</v>
      </c>
      <c r="B1070" s="8" t="s">
        <v>357</v>
      </c>
      <c r="C1070" s="8" t="s">
        <v>778</v>
      </c>
      <c r="D1070" s="6" t="s">
        <v>776</v>
      </c>
      <c r="E1070" s="7" t="s">
        <v>777</v>
      </c>
      <c r="F1070" s="7" t="s">
        <v>360</v>
      </c>
      <c r="G1070" s="8" t="s">
        <v>431</v>
      </c>
      <c r="H1070" s="8" t="s">
        <v>779</v>
      </c>
      <c r="I1070" s="7" t="s">
        <v>25</v>
      </c>
      <c r="J1070" s="15">
        <v>10</v>
      </c>
    </row>
    <row r="1071" spans="1:10" ht="78" x14ac:dyDescent="0.2">
      <c r="A1071" s="7" t="s">
        <v>95</v>
      </c>
      <c r="B1071" s="8" t="s">
        <v>357</v>
      </c>
      <c r="C1071" s="8" t="s">
        <v>778</v>
      </c>
      <c r="D1071" s="6" t="s">
        <v>776</v>
      </c>
      <c r="E1071" s="7" t="s">
        <v>777</v>
      </c>
      <c r="F1071" s="7" t="s">
        <v>360</v>
      </c>
      <c r="G1071" s="8" t="s">
        <v>780</v>
      </c>
      <c r="H1071" s="8" t="s">
        <v>781</v>
      </c>
      <c r="I1071" s="7" t="s">
        <v>17</v>
      </c>
      <c r="J1071" s="15">
        <v>20</v>
      </c>
    </row>
    <row r="1072" spans="1:10" ht="78" x14ac:dyDescent="0.2">
      <c r="A1072" s="7" t="s">
        <v>95</v>
      </c>
      <c r="B1072" s="8" t="s">
        <v>357</v>
      </c>
      <c r="C1072" s="8" t="s">
        <v>778</v>
      </c>
      <c r="D1072" s="6" t="s">
        <v>776</v>
      </c>
      <c r="E1072" s="7" t="s">
        <v>777</v>
      </c>
      <c r="F1072" s="7" t="s">
        <v>360</v>
      </c>
      <c r="G1072" s="8" t="s">
        <v>782</v>
      </c>
      <c r="H1072" s="8" t="s">
        <v>783</v>
      </c>
      <c r="I1072" s="7" t="s">
        <v>17</v>
      </c>
      <c r="J1072" s="15">
        <v>5</v>
      </c>
    </row>
    <row r="1073" spans="1:10" ht="65" x14ac:dyDescent="0.2">
      <c r="A1073" s="7" t="s">
        <v>95</v>
      </c>
      <c r="B1073" s="8" t="s">
        <v>357</v>
      </c>
      <c r="C1073" s="8" t="s">
        <v>778</v>
      </c>
      <c r="D1073" s="6" t="s">
        <v>776</v>
      </c>
      <c r="E1073" s="7" t="s">
        <v>777</v>
      </c>
      <c r="F1073" s="7" t="s">
        <v>360</v>
      </c>
      <c r="G1073" s="8" t="s">
        <v>784</v>
      </c>
      <c r="H1073" s="8" t="s">
        <v>785</v>
      </c>
      <c r="I1073" s="7" t="s">
        <v>17</v>
      </c>
      <c r="J1073" s="15">
        <v>10</v>
      </c>
    </row>
    <row r="1074" spans="1:10" ht="39" x14ac:dyDescent="0.2">
      <c r="A1074" s="7" t="s">
        <v>95</v>
      </c>
      <c r="B1074" s="8" t="s">
        <v>357</v>
      </c>
      <c r="C1074" s="8" t="s">
        <v>778</v>
      </c>
      <c r="D1074" s="6" t="s">
        <v>776</v>
      </c>
      <c r="E1074" s="7" t="s">
        <v>777</v>
      </c>
      <c r="F1074" s="7" t="s">
        <v>360</v>
      </c>
      <c r="G1074" s="8" t="s">
        <v>786</v>
      </c>
      <c r="H1074" s="8" t="s">
        <v>787</v>
      </c>
      <c r="I1074" s="7" t="s">
        <v>17</v>
      </c>
      <c r="J1074" s="15">
        <v>5</v>
      </c>
    </row>
    <row r="1075" spans="1:10" ht="78" x14ac:dyDescent="0.2">
      <c r="A1075" s="7" t="s">
        <v>95</v>
      </c>
      <c r="B1075" s="8" t="s">
        <v>357</v>
      </c>
      <c r="C1075" s="8" t="s">
        <v>778</v>
      </c>
      <c r="D1075" s="6" t="s">
        <v>776</v>
      </c>
      <c r="E1075" s="7" t="s">
        <v>777</v>
      </c>
      <c r="F1075" s="7" t="s">
        <v>360</v>
      </c>
      <c r="G1075" s="8" t="s">
        <v>788</v>
      </c>
      <c r="H1075" s="8" t="s">
        <v>789</v>
      </c>
      <c r="I1075" s="7" t="s">
        <v>17</v>
      </c>
      <c r="J1075" s="15">
        <v>15</v>
      </c>
    </row>
    <row r="1076" spans="1:10" ht="117" x14ac:dyDescent="0.2">
      <c r="A1076" s="7" t="s">
        <v>95</v>
      </c>
      <c r="B1076" s="8" t="s">
        <v>357</v>
      </c>
      <c r="C1076" s="8" t="s">
        <v>778</v>
      </c>
      <c r="D1076" s="6" t="s">
        <v>776</v>
      </c>
      <c r="E1076" s="7" t="s">
        <v>777</v>
      </c>
      <c r="F1076" s="7" t="s">
        <v>360</v>
      </c>
      <c r="G1076" s="8" t="s">
        <v>790</v>
      </c>
      <c r="H1076" s="8" t="s">
        <v>791</v>
      </c>
      <c r="I1076" s="7" t="s">
        <v>25</v>
      </c>
      <c r="J1076" s="15">
        <v>20</v>
      </c>
    </row>
    <row r="1077" spans="1:10" ht="104" x14ac:dyDescent="0.2">
      <c r="A1077" s="7" t="s">
        <v>95</v>
      </c>
      <c r="B1077" s="8" t="s">
        <v>357</v>
      </c>
      <c r="C1077" s="8" t="s">
        <v>778</v>
      </c>
      <c r="D1077" s="6" t="s">
        <v>776</v>
      </c>
      <c r="E1077" s="7" t="s">
        <v>777</v>
      </c>
      <c r="F1077" s="7" t="s">
        <v>360</v>
      </c>
      <c r="G1077" s="8" t="s">
        <v>792</v>
      </c>
      <c r="H1077" s="8" t="s">
        <v>793</v>
      </c>
      <c r="I1077" s="7" t="s">
        <v>25</v>
      </c>
      <c r="J1077" s="15">
        <v>15</v>
      </c>
    </row>
    <row r="1078" spans="1:10" ht="52" x14ac:dyDescent="0.2">
      <c r="A1078" s="7" t="s">
        <v>95</v>
      </c>
      <c r="B1078" s="8" t="s">
        <v>357</v>
      </c>
      <c r="C1078" s="8" t="s">
        <v>2060</v>
      </c>
      <c r="D1078" s="6" t="s">
        <v>2058</v>
      </c>
      <c r="E1078" s="7" t="s">
        <v>2059</v>
      </c>
      <c r="F1078" s="7" t="s">
        <v>661</v>
      </c>
      <c r="G1078" s="8" t="s">
        <v>361</v>
      </c>
      <c r="H1078" s="8" t="s">
        <v>2061</v>
      </c>
      <c r="I1078" s="7" t="s">
        <v>25</v>
      </c>
      <c r="J1078" s="15">
        <v>20</v>
      </c>
    </row>
    <row r="1079" spans="1:10" ht="78" x14ac:dyDescent="0.2">
      <c r="A1079" s="7" t="s">
        <v>95</v>
      </c>
      <c r="B1079" s="8" t="s">
        <v>357</v>
      </c>
      <c r="C1079" s="8" t="s">
        <v>2060</v>
      </c>
      <c r="D1079" s="6" t="s">
        <v>2058</v>
      </c>
      <c r="E1079" s="7" t="s">
        <v>2059</v>
      </c>
      <c r="F1079" s="7" t="s">
        <v>661</v>
      </c>
      <c r="G1079" s="8" t="s">
        <v>2062</v>
      </c>
      <c r="H1079" s="8" t="s">
        <v>2063</v>
      </c>
      <c r="I1079" s="7" t="s">
        <v>17</v>
      </c>
      <c r="J1079" s="15">
        <v>25</v>
      </c>
    </row>
    <row r="1080" spans="1:10" ht="65" x14ac:dyDescent="0.2">
      <c r="A1080" s="7" t="s">
        <v>95</v>
      </c>
      <c r="B1080" s="8" t="s">
        <v>357</v>
      </c>
      <c r="C1080" s="8" t="s">
        <v>2060</v>
      </c>
      <c r="D1080" s="6" t="s">
        <v>2058</v>
      </c>
      <c r="E1080" s="7" t="s">
        <v>2059</v>
      </c>
      <c r="F1080" s="7" t="s">
        <v>661</v>
      </c>
      <c r="G1080" s="8" t="s">
        <v>431</v>
      </c>
      <c r="H1080" s="8" t="s">
        <v>2064</v>
      </c>
      <c r="I1080" s="7" t="s">
        <v>25</v>
      </c>
      <c r="J1080" s="15">
        <v>10</v>
      </c>
    </row>
    <row r="1081" spans="1:10" ht="65" x14ac:dyDescent="0.2">
      <c r="A1081" s="7" t="s">
        <v>95</v>
      </c>
      <c r="B1081" s="8" t="s">
        <v>357</v>
      </c>
      <c r="C1081" s="8" t="s">
        <v>2060</v>
      </c>
      <c r="D1081" s="6" t="s">
        <v>2058</v>
      </c>
      <c r="E1081" s="7" t="s">
        <v>2059</v>
      </c>
      <c r="F1081" s="7" t="s">
        <v>661</v>
      </c>
      <c r="G1081" s="8" t="s">
        <v>2065</v>
      </c>
      <c r="H1081" s="8" t="s">
        <v>2066</v>
      </c>
      <c r="I1081" s="7" t="s">
        <v>17</v>
      </c>
      <c r="J1081" s="15">
        <v>20</v>
      </c>
    </row>
    <row r="1082" spans="1:10" ht="130.25" customHeight="1" x14ac:dyDescent="0.2">
      <c r="A1082" s="7" t="s">
        <v>95</v>
      </c>
      <c r="B1082" s="8" t="s">
        <v>357</v>
      </c>
      <c r="C1082" s="8" t="s">
        <v>2060</v>
      </c>
      <c r="D1082" s="6" t="s">
        <v>2058</v>
      </c>
      <c r="E1082" s="7" t="s">
        <v>2059</v>
      </c>
      <c r="F1082" s="7" t="s">
        <v>661</v>
      </c>
      <c r="G1082" s="8" t="s">
        <v>2067</v>
      </c>
      <c r="H1082" s="8" t="s">
        <v>2068</v>
      </c>
      <c r="I1082" s="7" t="s">
        <v>17</v>
      </c>
      <c r="J1082" s="15">
        <v>25</v>
      </c>
    </row>
    <row r="1083" spans="1:10" ht="108" customHeight="1" x14ac:dyDescent="0.2">
      <c r="A1083" s="7" t="s">
        <v>95</v>
      </c>
      <c r="B1083" s="8" t="s">
        <v>357</v>
      </c>
      <c r="C1083" s="8" t="s">
        <v>1022</v>
      </c>
      <c r="D1083" s="6" t="s">
        <v>359</v>
      </c>
      <c r="E1083" s="7" t="s">
        <v>360</v>
      </c>
      <c r="F1083" s="7" t="s">
        <v>98</v>
      </c>
      <c r="G1083" s="8" t="s">
        <v>1023</v>
      </c>
      <c r="H1083" s="8" t="s">
        <v>3381</v>
      </c>
      <c r="I1083" s="7" t="s">
        <v>25</v>
      </c>
      <c r="J1083" s="13">
        <v>15</v>
      </c>
    </row>
    <row r="1084" spans="1:10" ht="83.5" customHeight="1" x14ac:dyDescent="0.2">
      <c r="A1084" s="7" t="s">
        <v>95</v>
      </c>
      <c r="B1084" s="8" t="s">
        <v>357</v>
      </c>
      <c r="C1084" s="8" t="s">
        <v>1022</v>
      </c>
      <c r="D1084" s="6" t="s">
        <v>359</v>
      </c>
      <c r="E1084" s="7" t="s">
        <v>360</v>
      </c>
      <c r="F1084" s="7" t="s">
        <v>98</v>
      </c>
      <c r="G1084" s="8" t="s">
        <v>668</v>
      </c>
      <c r="H1084" s="8" t="s">
        <v>3382</v>
      </c>
      <c r="I1084" s="7" t="s">
        <v>25</v>
      </c>
      <c r="J1084" s="13">
        <v>15</v>
      </c>
    </row>
    <row r="1085" spans="1:10" ht="98.5" customHeight="1" x14ac:dyDescent="0.2">
      <c r="A1085" s="7" t="s">
        <v>95</v>
      </c>
      <c r="B1085" s="8" t="s">
        <v>357</v>
      </c>
      <c r="C1085" s="8" t="s">
        <v>1022</v>
      </c>
      <c r="D1085" s="6" t="s">
        <v>359</v>
      </c>
      <c r="E1085" s="7" t="s">
        <v>360</v>
      </c>
      <c r="F1085" s="7" t="s">
        <v>98</v>
      </c>
      <c r="G1085" s="8" t="s">
        <v>1024</v>
      </c>
      <c r="H1085" s="8" t="s">
        <v>3383</v>
      </c>
      <c r="I1085" s="7" t="s">
        <v>25</v>
      </c>
      <c r="J1085" s="13">
        <v>20</v>
      </c>
    </row>
    <row r="1086" spans="1:10" ht="114.5" customHeight="1" x14ac:dyDescent="0.2">
      <c r="A1086" s="7" t="s">
        <v>95</v>
      </c>
      <c r="B1086" s="8" t="s">
        <v>357</v>
      </c>
      <c r="C1086" s="8" t="s">
        <v>1022</v>
      </c>
      <c r="D1086" s="6" t="s">
        <v>359</v>
      </c>
      <c r="E1086" s="7" t="s">
        <v>360</v>
      </c>
      <c r="F1086" s="7" t="s">
        <v>98</v>
      </c>
      <c r="G1086" s="8" t="s">
        <v>1025</v>
      </c>
      <c r="H1086" s="8" t="s">
        <v>3384</v>
      </c>
      <c r="I1086" s="7" t="s">
        <v>25</v>
      </c>
      <c r="J1086" s="13">
        <v>15</v>
      </c>
    </row>
    <row r="1087" spans="1:10" ht="96.5" customHeight="1" x14ac:dyDescent="0.2">
      <c r="A1087" s="7" t="s">
        <v>95</v>
      </c>
      <c r="B1087" s="8" t="s">
        <v>357</v>
      </c>
      <c r="C1087" s="8" t="s">
        <v>1022</v>
      </c>
      <c r="D1087" s="6" t="s">
        <v>359</v>
      </c>
      <c r="E1087" s="7" t="s">
        <v>360</v>
      </c>
      <c r="F1087" s="7" t="s">
        <v>98</v>
      </c>
      <c r="G1087" s="8" t="s">
        <v>1026</v>
      </c>
      <c r="H1087" s="8" t="s">
        <v>3385</v>
      </c>
      <c r="I1087" s="7" t="s">
        <v>25</v>
      </c>
      <c r="J1087" s="13">
        <v>10</v>
      </c>
    </row>
    <row r="1088" spans="1:10" ht="103.75" customHeight="1" x14ac:dyDescent="0.2">
      <c r="A1088" s="7" t="s">
        <v>95</v>
      </c>
      <c r="B1088" s="8" t="s">
        <v>357</v>
      </c>
      <c r="C1088" s="8" t="s">
        <v>1022</v>
      </c>
      <c r="D1088" s="6" t="s">
        <v>359</v>
      </c>
      <c r="E1088" s="7" t="s">
        <v>360</v>
      </c>
      <c r="F1088" s="7" t="s">
        <v>98</v>
      </c>
      <c r="G1088" s="8" t="s">
        <v>1027</v>
      </c>
      <c r="H1088" s="8" t="s">
        <v>3386</v>
      </c>
      <c r="I1088" s="7" t="s">
        <v>25</v>
      </c>
      <c r="J1088" s="13">
        <v>10</v>
      </c>
    </row>
    <row r="1089" spans="1:10" ht="78.5" customHeight="1" x14ac:dyDescent="0.2">
      <c r="A1089" s="7" t="s">
        <v>95</v>
      </c>
      <c r="B1089" s="8" t="s">
        <v>357</v>
      </c>
      <c r="C1089" s="8" t="s">
        <v>1022</v>
      </c>
      <c r="D1089" s="6" t="s">
        <v>359</v>
      </c>
      <c r="E1089" s="7" t="s">
        <v>360</v>
      </c>
      <c r="F1089" s="7" t="s">
        <v>98</v>
      </c>
      <c r="G1089" s="8" t="s">
        <v>431</v>
      </c>
      <c r="H1089" s="8" t="s">
        <v>3387</v>
      </c>
      <c r="I1089" s="7" t="s">
        <v>25</v>
      </c>
      <c r="J1089" s="13">
        <v>15</v>
      </c>
    </row>
    <row r="1090" spans="1:10" ht="78" x14ac:dyDescent="0.2">
      <c r="A1090" s="7" t="s">
        <v>95</v>
      </c>
      <c r="B1090" s="8" t="s">
        <v>357</v>
      </c>
      <c r="C1090" s="8" t="s">
        <v>1308</v>
      </c>
      <c r="D1090" s="6" t="s">
        <v>1306</v>
      </c>
      <c r="E1090" s="7" t="s">
        <v>1307</v>
      </c>
      <c r="F1090" s="7" t="s">
        <v>360</v>
      </c>
      <c r="G1090" s="8" t="s">
        <v>1309</v>
      </c>
      <c r="H1090" s="8" t="s">
        <v>1310</v>
      </c>
      <c r="I1090" s="7" t="s">
        <v>25</v>
      </c>
      <c r="J1090" s="15">
        <v>20</v>
      </c>
    </row>
    <row r="1091" spans="1:10" ht="78" x14ac:dyDescent="0.2">
      <c r="A1091" s="7" t="s">
        <v>95</v>
      </c>
      <c r="B1091" s="8" t="s">
        <v>357</v>
      </c>
      <c r="C1091" s="8" t="s">
        <v>1308</v>
      </c>
      <c r="D1091" s="6" t="s">
        <v>1306</v>
      </c>
      <c r="E1091" s="7" t="s">
        <v>1307</v>
      </c>
      <c r="F1091" s="7" t="s">
        <v>360</v>
      </c>
      <c r="G1091" s="8" t="s">
        <v>1311</v>
      </c>
      <c r="H1091" s="8" t="s">
        <v>1312</v>
      </c>
      <c r="I1091" s="7" t="s">
        <v>25</v>
      </c>
      <c r="J1091" s="15">
        <v>15</v>
      </c>
    </row>
    <row r="1092" spans="1:10" ht="65" x14ac:dyDescent="0.2">
      <c r="A1092" s="7" t="s">
        <v>95</v>
      </c>
      <c r="B1092" s="8" t="s">
        <v>357</v>
      </c>
      <c r="C1092" s="8" t="s">
        <v>1308</v>
      </c>
      <c r="D1092" s="6" t="s">
        <v>1306</v>
      </c>
      <c r="E1092" s="7" t="s">
        <v>1307</v>
      </c>
      <c r="F1092" s="7" t="s">
        <v>360</v>
      </c>
      <c r="G1092" s="8" t="s">
        <v>1313</v>
      </c>
      <c r="H1092" s="8" t="s">
        <v>1314</v>
      </c>
      <c r="I1092" s="7" t="s">
        <v>17</v>
      </c>
      <c r="J1092" s="15">
        <v>10</v>
      </c>
    </row>
    <row r="1093" spans="1:10" ht="78" x14ac:dyDescent="0.2">
      <c r="A1093" s="7" t="s">
        <v>95</v>
      </c>
      <c r="B1093" s="8" t="s">
        <v>357</v>
      </c>
      <c r="C1093" s="8" t="s">
        <v>1308</v>
      </c>
      <c r="D1093" s="6" t="s">
        <v>1306</v>
      </c>
      <c r="E1093" s="7" t="s">
        <v>1307</v>
      </c>
      <c r="F1093" s="7" t="s">
        <v>360</v>
      </c>
      <c r="G1093" s="8" t="s">
        <v>1315</v>
      </c>
      <c r="H1093" s="8" t="s">
        <v>1316</v>
      </c>
      <c r="I1093" s="7" t="s">
        <v>17</v>
      </c>
      <c r="J1093" s="15">
        <v>5</v>
      </c>
    </row>
    <row r="1094" spans="1:10" ht="65" x14ac:dyDescent="0.2">
      <c r="A1094" s="7" t="s">
        <v>95</v>
      </c>
      <c r="B1094" s="8" t="s">
        <v>357</v>
      </c>
      <c r="C1094" s="8" t="s">
        <v>1308</v>
      </c>
      <c r="D1094" s="6" t="s">
        <v>1306</v>
      </c>
      <c r="E1094" s="7" t="s">
        <v>1307</v>
      </c>
      <c r="F1094" s="7" t="s">
        <v>360</v>
      </c>
      <c r="G1094" s="8" t="s">
        <v>1317</v>
      </c>
      <c r="H1094" s="8" t="s">
        <v>1318</v>
      </c>
      <c r="I1094" s="7" t="s">
        <v>17</v>
      </c>
      <c r="J1094" s="15">
        <v>20</v>
      </c>
    </row>
    <row r="1095" spans="1:10" ht="78" x14ac:dyDescent="0.2">
      <c r="A1095" s="7" t="s">
        <v>95</v>
      </c>
      <c r="B1095" s="8" t="s">
        <v>357</v>
      </c>
      <c r="C1095" s="8" t="s">
        <v>1308</v>
      </c>
      <c r="D1095" s="6" t="s">
        <v>1306</v>
      </c>
      <c r="E1095" s="7" t="s">
        <v>1307</v>
      </c>
      <c r="F1095" s="7" t="s">
        <v>360</v>
      </c>
      <c r="G1095" s="8" t="s">
        <v>1319</v>
      </c>
      <c r="H1095" s="8" t="s">
        <v>1320</v>
      </c>
      <c r="I1095" s="7" t="s">
        <v>17</v>
      </c>
      <c r="J1095" s="15">
        <v>20</v>
      </c>
    </row>
    <row r="1096" spans="1:10" ht="65" x14ac:dyDescent="0.2">
      <c r="A1096" s="7" t="s">
        <v>95</v>
      </c>
      <c r="B1096" s="8" t="s">
        <v>357</v>
      </c>
      <c r="C1096" s="8" t="s">
        <v>1308</v>
      </c>
      <c r="D1096" s="6" t="s">
        <v>1306</v>
      </c>
      <c r="E1096" s="7" t="s">
        <v>1307</v>
      </c>
      <c r="F1096" s="7" t="s">
        <v>360</v>
      </c>
      <c r="G1096" s="8" t="s">
        <v>431</v>
      </c>
      <c r="H1096" s="8" t="s">
        <v>1321</v>
      </c>
      <c r="I1096" s="7" t="s">
        <v>25</v>
      </c>
      <c r="J1096" s="15">
        <v>10</v>
      </c>
    </row>
    <row r="1097" spans="1:10" ht="182" x14ac:dyDescent="0.2">
      <c r="A1097" s="7" t="s">
        <v>95</v>
      </c>
      <c r="B1097" s="8" t="s">
        <v>357</v>
      </c>
      <c r="C1097" s="8" t="s">
        <v>1478</v>
      </c>
      <c r="D1097" s="6" t="s">
        <v>1476</v>
      </c>
      <c r="E1097" s="7" t="s">
        <v>1477</v>
      </c>
      <c r="F1097" s="7" t="s">
        <v>360</v>
      </c>
      <c r="G1097" s="8" t="s">
        <v>1479</v>
      </c>
      <c r="H1097" s="8" t="s">
        <v>1480</v>
      </c>
      <c r="I1097" s="7" t="s">
        <v>17</v>
      </c>
      <c r="J1097" s="15">
        <v>10</v>
      </c>
    </row>
    <row r="1098" spans="1:10" ht="65" x14ac:dyDescent="0.2">
      <c r="A1098" s="7" t="s">
        <v>95</v>
      </c>
      <c r="B1098" s="8" t="s">
        <v>357</v>
      </c>
      <c r="C1098" s="8" t="s">
        <v>1478</v>
      </c>
      <c r="D1098" s="6" t="s">
        <v>1476</v>
      </c>
      <c r="E1098" s="7" t="s">
        <v>1477</v>
      </c>
      <c r="F1098" s="7" t="s">
        <v>360</v>
      </c>
      <c r="G1098" s="8" t="s">
        <v>1481</v>
      </c>
      <c r="H1098" s="8" t="s">
        <v>1482</v>
      </c>
      <c r="I1098" s="7" t="s">
        <v>25</v>
      </c>
      <c r="J1098" s="15">
        <v>30</v>
      </c>
    </row>
    <row r="1099" spans="1:10" ht="78" x14ac:dyDescent="0.2">
      <c r="A1099" s="7" t="s">
        <v>95</v>
      </c>
      <c r="B1099" s="8" t="s">
        <v>357</v>
      </c>
      <c r="C1099" s="8" t="s">
        <v>1478</v>
      </c>
      <c r="D1099" s="6" t="s">
        <v>1476</v>
      </c>
      <c r="E1099" s="7" t="s">
        <v>1477</v>
      </c>
      <c r="F1099" s="7" t="s">
        <v>360</v>
      </c>
      <c r="G1099" s="8" t="s">
        <v>431</v>
      </c>
      <c r="H1099" s="8" t="s">
        <v>1483</v>
      </c>
      <c r="I1099" s="7" t="s">
        <v>25</v>
      </c>
      <c r="J1099" s="15">
        <v>10</v>
      </c>
    </row>
    <row r="1100" spans="1:10" ht="104" x14ac:dyDescent="0.2">
      <c r="A1100" s="7" t="s">
        <v>95</v>
      </c>
      <c r="B1100" s="8" t="s">
        <v>357</v>
      </c>
      <c r="C1100" s="8" t="s">
        <v>1478</v>
      </c>
      <c r="D1100" s="6" t="s">
        <v>1476</v>
      </c>
      <c r="E1100" s="7" t="s">
        <v>1477</v>
      </c>
      <c r="F1100" s="7" t="s">
        <v>360</v>
      </c>
      <c r="G1100" s="8" t="s">
        <v>1484</v>
      </c>
      <c r="H1100" s="8" t="s">
        <v>1485</v>
      </c>
      <c r="I1100" s="7" t="s">
        <v>17</v>
      </c>
      <c r="J1100" s="15">
        <v>10</v>
      </c>
    </row>
    <row r="1101" spans="1:10" ht="91" x14ac:dyDescent="0.2">
      <c r="A1101" s="7" t="s">
        <v>95</v>
      </c>
      <c r="B1101" s="8" t="s">
        <v>357</v>
      </c>
      <c r="C1101" s="8" t="s">
        <v>1478</v>
      </c>
      <c r="D1101" s="6" t="s">
        <v>1476</v>
      </c>
      <c r="E1101" s="7" t="s">
        <v>1477</v>
      </c>
      <c r="F1101" s="7" t="s">
        <v>360</v>
      </c>
      <c r="G1101" s="8" t="s">
        <v>1486</v>
      </c>
      <c r="H1101" s="8" t="s">
        <v>1487</v>
      </c>
      <c r="I1101" s="7" t="s">
        <v>17</v>
      </c>
      <c r="J1101" s="15">
        <v>10</v>
      </c>
    </row>
    <row r="1102" spans="1:10" ht="143" x14ac:dyDescent="0.2">
      <c r="A1102" s="7" t="s">
        <v>95</v>
      </c>
      <c r="B1102" s="8" t="s">
        <v>357</v>
      </c>
      <c r="C1102" s="8" t="s">
        <v>1478</v>
      </c>
      <c r="D1102" s="6" t="s">
        <v>1476</v>
      </c>
      <c r="E1102" s="7" t="s">
        <v>1477</v>
      </c>
      <c r="F1102" s="7" t="s">
        <v>360</v>
      </c>
      <c r="G1102" s="8" t="s">
        <v>1488</v>
      </c>
      <c r="H1102" s="8" t="s">
        <v>1489</v>
      </c>
      <c r="I1102" s="7" t="s">
        <v>17</v>
      </c>
      <c r="J1102" s="15">
        <v>10</v>
      </c>
    </row>
    <row r="1103" spans="1:10" ht="91" x14ac:dyDescent="0.2">
      <c r="A1103" s="7" t="s">
        <v>95</v>
      </c>
      <c r="B1103" s="8" t="s">
        <v>357</v>
      </c>
      <c r="C1103" s="8" t="s">
        <v>1478</v>
      </c>
      <c r="D1103" s="6" t="s">
        <v>1476</v>
      </c>
      <c r="E1103" s="7" t="s">
        <v>1477</v>
      </c>
      <c r="F1103" s="7" t="s">
        <v>360</v>
      </c>
      <c r="G1103" s="8" t="s">
        <v>1490</v>
      </c>
      <c r="H1103" s="8" t="s">
        <v>1491</v>
      </c>
      <c r="I1103" s="7" t="s">
        <v>17</v>
      </c>
      <c r="J1103" s="15">
        <v>10</v>
      </c>
    </row>
    <row r="1104" spans="1:10" ht="156" x14ac:dyDescent="0.2">
      <c r="A1104" s="7" t="s">
        <v>95</v>
      </c>
      <c r="B1104" s="8" t="s">
        <v>357</v>
      </c>
      <c r="C1104" s="8" t="s">
        <v>1478</v>
      </c>
      <c r="D1104" s="6" t="s">
        <v>1476</v>
      </c>
      <c r="E1104" s="7" t="s">
        <v>1477</v>
      </c>
      <c r="F1104" s="7" t="s">
        <v>360</v>
      </c>
      <c r="G1104" s="8" t="s">
        <v>1025</v>
      </c>
      <c r="H1104" s="8" t="s">
        <v>1492</v>
      </c>
      <c r="I1104" s="7" t="s">
        <v>25</v>
      </c>
      <c r="J1104" s="15">
        <v>10</v>
      </c>
    </row>
    <row r="1105" spans="1:10" ht="156" x14ac:dyDescent="0.2">
      <c r="A1105" s="7" t="s">
        <v>95</v>
      </c>
      <c r="B1105" s="8" t="s">
        <v>357</v>
      </c>
      <c r="C1105" s="8" t="s">
        <v>1478</v>
      </c>
      <c r="D1105" s="6" t="s">
        <v>2223</v>
      </c>
      <c r="E1105" s="7" t="s">
        <v>2224</v>
      </c>
      <c r="F1105" s="7" t="s">
        <v>360</v>
      </c>
      <c r="G1105" s="8" t="s">
        <v>2225</v>
      </c>
      <c r="H1105" s="8" t="s">
        <v>2226</v>
      </c>
      <c r="I1105" s="7" t="s">
        <v>17</v>
      </c>
      <c r="J1105" s="15">
        <v>10</v>
      </c>
    </row>
    <row r="1106" spans="1:10" ht="65" x14ac:dyDescent="0.2">
      <c r="A1106" s="7" t="s">
        <v>95</v>
      </c>
      <c r="B1106" s="8" t="s">
        <v>357</v>
      </c>
      <c r="C1106" s="8" t="s">
        <v>1478</v>
      </c>
      <c r="D1106" s="6" t="s">
        <v>2223</v>
      </c>
      <c r="E1106" s="7" t="s">
        <v>2224</v>
      </c>
      <c r="F1106" s="7" t="s">
        <v>360</v>
      </c>
      <c r="G1106" s="8" t="s">
        <v>1481</v>
      </c>
      <c r="H1106" s="8" t="s">
        <v>2227</v>
      </c>
      <c r="I1106" s="7" t="s">
        <v>25</v>
      </c>
      <c r="J1106" s="15">
        <v>30</v>
      </c>
    </row>
    <row r="1107" spans="1:10" ht="208" x14ac:dyDescent="0.2">
      <c r="A1107" s="7" t="s">
        <v>95</v>
      </c>
      <c r="B1107" s="8" t="s">
        <v>357</v>
      </c>
      <c r="C1107" s="8" t="s">
        <v>1478</v>
      </c>
      <c r="D1107" s="6" t="s">
        <v>2223</v>
      </c>
      <c r="E1107" s="7" t="s">
        <v>2224</v>
      </c>
      <c r="F1107" s="7" t="s">
        <v>360</v>
      </c>
      <c r="G1107" s="8" t="s">
        <v>2228</v>
      </c>
      <c r="H1107" s="8" t="s">
        <v>2229</v>
      </c>
      <c r="I1107" s="7" t="s">
        <v>17</v>
      </c>
      <c r="J1107" s="15">
        <v>10</v>
      </c>
    </row>
    <row r="1108" spans="1:10" ht="104" x14ac:dyDescent="0.2">
      <c r="A1108" s="7" t="s">
        <v>95</v>
      </c>
      <c r="B1108" s="8" t="s">
        <v>357</v>
      </c>
      <c r="C1108" s="8" t="s">
        <v>1478</v>
      </c>
      <c r="D1108" s="6" t="s">
        <v>2223</v>
      </c>
      <c r="E1108" s="7" t="s">
        <v>2224</v>
      </c>
      <c r="F1108" s="7" t="s">
        <v>360</v>
      </c>
      <c r="G1108" s="8" t="s">
        <v>431</v>
      </c>
      <c r="H1108" s="8" t="s">
        <v>2230</v>
      </c>
      <c r="I1108" s="7" t="s">
        <v>25</v>
      </c>
      <c r="J1108" s="15">
        <v>10</v>
      </c>
    </row>
    <row r="1109" spans="1:10" ht="91" x14ac:dyDescent="0.2">
      <c r="A1109" s="7" t="s">
        <v>95</v>
      </c>
      <c r="B1109" s="8" t="s">
        <v>357</v>
      </c>
      <c r="C1109" s="8" t="s">
        <v>1478</v>
      </c>
      <c r="D1109" s="6" t="s">
        <v>2223</v>
      </c>
      <c r="E1109" s="7" t="s">
        <v>2224</v>
      </c>
      <c r="F1109" s="7" t="s">
        <v>360</v>
      </c>
      <c r="G1109" s="8" t="s">
        <v>1490</v>
      </c>
      <c r="H1109" s="8" t="s">
        <v>2231</v>
      </c>
      <c r="I1109" s="7" t="s">
        <v>17</v>
      </c>
      <c r="J1109" s="15">
        <v>5</v>
      </c>
    </row>
    <row r="1110" spans="1:10" ht="91" x14ac:dyDescent="0.2">
      <c r="A1110" s="7" t="s">
        <v>95</v>
      </c>
      <c r="B1110" s="8" t="s">
        <v>357</v>
      </c>
      <c r="C1110" s="8" t="s">
        <v>1478</v>
      </c>
      <c r="D1110" s="6" t="s">
        <v>2223</v>
      </c>
      <c r="E1110" s="7" t="s">
        <v>2224</v>
      </c>
      <c r="F1110" s="7" t="s">
        <v>360</v>
      </c>
      <c r="G1110" s="8" t="s">
        <v>1486</v>
      </c>
      <c r="H1110" s="8" t="s">
        <v>2232</v>
      </c>
      <c r="I1110" s="7" t="s">
        <v>17</v>
      </c>
      <c r="J1110" s="15">
        <v>10</v>
      </c>
    </row>
    <row r="1111" spans="1:10" ht="117" x14ac:dyDescent="0.2">
      <c r="A1111" s="7" t="s">
        <v>95</v>
      </c>
      <c r="B1111" s="8" t="s">
        <v>357</v>
      </c>
      <c r="C1111" s="8" t="s">
        <v>1478</v>
      </c>
      <c r="D1111" s="6" t="s">
        <v>2223</v>
      </c>
      <c r="E1111" s="7" t="s">
        <v>2224</v>
      </c>
      <c r="F1111" s="7" t="s">
        <v>360</v>
      </c>
      <c r="G1111" s="8" t="s">
        <v>2233</v>
      </c>
      <c r="H1111" s="8" t="s">
        <v>2234</v>
      </c>
      <c r="I1111" s="7" t="s">
        <v>17</v>
      </c>
      <c r="J1111" s="15">
        <v>15</v>
      </c>
    </row>
    <row r="1112" spans="1:10" ht="143" x14ac:dyDescent="0.2">
      <c r="A1112" s="7" t="s">
        <v>95</v>
      </c>
      <c r="B1112" s="8" t="s">
        <v>357</v>
      </c>
      <c r="C1112" s="8" t="s">
        <v>1478</v>
      </c>
      <c r="D1112" s="6" t="s">
        <v>2223</v>
      </c>
      <c r="E1112" s="7" t="s">
        <v>2224</v>
      </c>
      <c r="F1112" s="7" t="s">
        <v>360</v>
      </c>
      <c r="G1112" s="8" t="s">
        <v>1484</v>
      </c>
      <c r="H1112" s="8" t="s">
        <v>2235</v>
      </c>
      <c r="I1112" s="7" t="s">
        <v>17</v>
      </c>
      <c r="J1112" s="15">
        <v>10</v>
      </c>
    </row>
    <row r="1113" spans="1:10" ht="78" x14ac:dyDescent="0.2">
      <c r="A1113" s="7" t="s">
        <v>95</v>
      </c>
      <c r="B1113" s="8" t="s">
        <v>357</v>
      </c>
      <c r="C1113" s="8" t="s">
        <v>2646</v>
      </c>
      <c r="D1113" s="6" t="s">
        <v>2644</v>
      </c>
      <c r="E1113" s="7" t="s">
        <v>2645</v>
      </c>
      <c r="F1113" s="7" t="s">
        <v>360</v>
      </c>
      <c r="G1113" s="8" t="s">
        <v>2647</v>
      </c>
      <c r="H1113" s="8" t="s">
        <v>2648</v>
      </c>
      <c r="I1113" s="7" t="s">
        <v>25</v>
      </c>
      <c r="J1113" s="15">
        <v>10</v>
      </c>
    </row>
    <row r="1114" spans="1:10" ht="169" x14ac:dyDescent="0.2">
      <c r="A1114" s="7" t="s">
        <v>95</v>
      </c>
      <c r="B1114" s="8" t="s">
        <v>357</v>
      </c>
      <c r="C1114" s="8" t="s">
        <v>2646</v>
      </c>
      <c r="D1114" s="6" t="s">
        <v>2644</v>
      </c>
      <c r="E1114" s="7" t="s">
        <v>2645</v>
      </c>
      <c r="F1114" s="7" t="s">
        <v>360</v>
      </c>
      <c r="G1114" s="8" t="s">
        <v>2649</v>
      </c>
      <c r="H1114" s="8" t="s">
        <v>2650</v>
      </c>
      <c r="I1114" s="7" t="s">
        <v>17</v>
      </c>
      <c r="J1114" s="15">
        <v>50</v>
      </c>
    </row>
    <row r="1115" spans="1:10" ht="39" x14ac:dyDescent="0.2">
      <c r="A1115" s="7" t="s">
        <v>95</v>
      </c>
      <c r="B1115" s="8" t="s">
        <v>357</v>
      </c>
      <c r="C1115" s="8" t="s">
        <v>2646</v>
      </c>
      <c r="D1115" s="6" t="s">
        <v>2644</v>
      </c>
      <c r="E1115" s="7" t="s">
        <v>2645</v>
      </c>
      <c r="F1115" s="7" t="s">
        <v>360</v>
      </c>
      <c r="G1115" s="8" t="s">
        <v>2651</v>
      </c>
      <c r="H1115" s="8" t="s">
        <v>2652</v>
      </c>
      <c r="I1115" s="7" t="s">
        <v>25</v>
      </c>
      <c r="J1115" s="15">
        <v>10</v>
      </c>
    </row>
    <row r="1116" spans="1:10" ht="65" x14ac:dyDescent="0.2">
      <c r="A1116" s="7" t="s">
        <v>95</v>
      </c>
      <c r="B1116" s="8" t="s">
        <v>357</v>
      </c>
      <c r="C1116" s="8" t="s">
        <v>2646</v>
      </c>
      <c r="D1116" s="6" t="s">
        <v>2644</v>
      </c>
      <c r="E1116" s="7" t="s">
        <v>2645</v>
      </c>
      <c r="F1116" s="7" t="s">
        <v>360</v>
      </c>
      <c r="G1116" s="8" t="s">
        <v>431</v>
      </c>
      <c r="H1116" s="8" t="s">
        <v>1321</v>
      </c>
      <c r="I1116" s="7" t="s">
        <v>25</v>
      </c>
      <c r="J1116" s="15">
        <v>10</v>
      </c>
    </row>
    <row r="1117" spans="1:10" ht="65" x14ac:dyDescent="0.2">
      <c r="A1117" s="7" t="s">
        <v>95</v>
      </c>
      <c r="B1117" s="8" t="s">
        <v>357</v>
      </c>
      <c r="C1117" s="8" t="s">
        <v>2646</v>
      </c>
      <c r="D1117" s="6" t="s">
        <v>2644</v>
      </c>
      <c r="E1117" s="7" t="s">
        <v>2645</v>
      </c>
      <c r="F1117" s="7" t="s">
        <v>360</v>
      </c>
      <c r="G1117" s="8" t="s">
        <v>2653</v>
      </c>
      <c r="H1117" s="8" t="s">
        <v>2654</v>
      </c>
      <c r="I1117" s="7" t="s">
        <v>25</v>
      </c>
      <c r="J1117" s="15">
        <v>20</v>
      </c>
    </row>
    <row r="1118" spans="1:10" ht="39" x14ac:dyDescent="0.2">
      <c r="A1118" s="7" t="s">
        <v>95</v>
      </c>
      <c r="B1118" s="8" t="s">
        <v>357</v>
      </c>
      <c r="C1118" s="8" t="s">
        <v>1876</v>
      </c>
      <c r="D1118" s="6" t="s">
        <v>1874</v>
      </c>
      <c r="E1118" s="7" t="s">
        <v>1875</v>
      </c>
      <c r="F1118" s="7" t="s">
        <v>356</v>
      </c>
      <c r="G1118" s="8" t="s">
        <v>1877</v>
      </c>
      <c r="H1118" s="8" t="s">
        <v>1878</v>
      </c>
      <c r="I1118" s="7" t="s">
        <v>17</v>
      </c>
      <c r="J1118" s="15">
        <v>20</v>
      </c>
    </row>
    <row r="1119" spans="1:10" ht="156" x14ac:dyDescent="0.2">
      <c r="A1119" s="7" t="s">
        <v>95</v>
      </c>
      <c r="B1119" s="8" t="s">
        <v>357</v>
      </c>
      <c r="C1119" s="8" t="s">
        <v>1876</v>
      </c>
      <c r="D1119" s="6" t="s">
        <v>1874</v>
      </c>
      <c r="E1119" s="7" t="s">
        <v>1875</v>
      </c>
      <c r="F1119" s="7" t="s">
        <v>356</v>
      </c>
      <c r="G1119" s="8" t="s">
        <v>363</v>
      </c>
      <c r="H1119" s="8" t="s">
        <v>1879</v>
      </c>
      <c r="I1119" s="7" t="s">
        <v>25</v>
      </c>
      <c r="J1119" s="15">
        <v>25</v>
      </c>
    </row>
    <row r="1120" spans="1:10" ht="91" x14ac:dyDescent="0.2">
      <c r="A1120" s="7" t="s">
        <v>95</v>
      </c>
      <c r="B1120" s="8" t="s">
        <v>357</v>
      </c>
      <c r="C1120" s="8" t="s">
        <v>1876</v>
      </c>
      <c r="D1120" s="6" t="s">
        <v>1874</v>
      </c>
      <c r="E1120" s="7" t="s">
        <v>1875</v>
      </c>
      <c r="F1120" s="7" t="s">
        <v>356</v>
      </c>
      <c r="G1120" s="8" t="s">
        <v>1880</v>
      </c>
      <c r="H1120" s="8" t="s">
        <v>1881</v>
      </c>
      <c r="I1120" s="7" t="s">
        <v>17</v>
      </c>
      <c r="J1120" s="15">
        <v>25</v>
      </c>
    </row>
    <row r="1121" spans="1:10" ht="221" x14ac:dyDescent="0.2">
      <c r="A1121" s="7" t="s">
        <v>95</v>
      </c>
      <c r="B1121" s="8" t="s">
        <v>357</v>
      </c>
      <c r="C1121" s="8" t="s">
        <v>1876</v>
      </c>
      <c r="D1121" s="6" t="s">
        <v>1874</v>
      </c>
      <c r="E1121" s="7" t="s">
        <v>1875</v>
      </c>
      <c r="F1121" s="7" t="s">
        <v>356</v>
      </c>
      <c r="G1121" s="8" t="s">
        <v>1025</v>
      </c>
      <c r="H1121" s="8" t="s">
        <v>1882</v>
      </c>
      <c r="I1121" s="7" t="s">
        <v>17</v>
      </c>
      <c r="J1121" s="15">
        <v>20</v>
      </c>
    </row>
    <row r="1122" spans="1:10" ht="78" x14ac:dyDescent="0.2">
      <c r="A1122" s="7" t="s">
        <v>95</v>
      </c>
      <c r="B1122" s="8" t="s">
        <v>357</v>
      </c>
      <c r="C1122" s="8" t="s">
        <v>1876</v>
      </c>
      <c r="D1122" s="6" t="s">
        <v>1874</v>
      </c>
      <c r="E1122" s="7" t="s">
        <v>1875</v>
      </c>
      <c r="F1122" s="7" t="s">
        <v>356</v>
      </c>
      <c r="G1122" s="8" t="s">
        <v>431</v>
      </c>
      <c r="H1122" s="8" t="s">
        <v>1883</v>
      </c>
      <c r="I1122" s="7" t="s">
        <v>25</v>
      </c>
      <c r="J1122" s="15">
        <v>10</v>
      </c>
    </row>
    <row r="1123" spans="1:10" ht="78" x14ac:dyDescent="0.2">
      <c r="A1123" s="7" t="s">
        <v>95</v>
      </c>
      <c r="B1123" s="8" t="s">
        <v>357</v>
      </c>
      <c r="C1123" s="8" t="s">
        <v>2089</v>
      </c>
      <c r="D1123" s="6" t="s">
        <v>2087</v>
      </c>
      <c r="E1123" s="7" t="s">
        <v>2088</v>
      </c>
      <c r="F1123" s="7" t="s">
        <v>360</v>
      </c>
      <c r="G1123" s="8" t="s">
        <v>1023</v>
      </c>
      <c r="H1123" s="8" t="s">
        <v>2090</v>
      </c>
      <c r="I1123" s="7" t="s">
        <v>25</v>
      </c>
      <c r="J1123" s="15">
        <v>10</v>
      </c>
    </row>
    <row r="1124" spans="1:10" ht="26" x14ac:dyDescent="0.2">
      <c r="A1124" s="7" t="s">
        <v>95</v>
      </c>
      <c r="B1124" s="8" t="s">
        <v>357</v>
      </c>
      <c r="C1124" s="8" t="s">
        <v>2089</v>
      </c>
      <c r="D1124" s="6" t="s">
        <v>2087</v>
      </c>
      <c r="E1124" s="7" t="s">
        <v>2088</v>
      </c>
      <c r="F1124" s="7" t="s">
        <v>360</v>
      </c>
      <c r="G1124" s="8" t="s">
        <v>2091</v>
      </c>
      <c r="H1124" s="8" t="s">
        <v>2092</v>
      </c>
      <c r="I1124" s="7" t="s">
        <v>25</v>
      </c>
      <c r="J1124" s="15">
        <v>10</v>
      </c>
    </row>
    <row r="1125" spans="1:10" ht="65" x14ac:dyDescent="0.2">
      <c r="A1125" s="7" t="s">
        <v>95</v>
      </c>
      <c r="B1125" s="8" t="s">
        <v>357</v>
      </c>
      <c r="C1125" s="8" t="s">
        <v>2089</v>
      </c>
      <c r="D1125" s="6" t="s">
        <v>2087</v>
      </c>
      <c r="E1125" s="7" t="s">
        <v>2088</v>
      </c>
      <c r="F1125" s="7" t="s">
        <v>360</v>
      </c>
      <c r="G1125" s="8" t="s">
        <v>431</v>
      </c>
      <c r="H1125" s="8" t="s">
        <v>2093</v>
      </c>
      <c r="I1125" s="7" t="s">
        <v>25</v>
      </c>
      <c r="J1125" s="15">
        <v>10</v>
      </c>
    </row>
    <row r="1126" spans="1:10" ht="260" x14ac:dyDescent="0.2">
      <c r="A1126" s="7" t="s">
        <v>95</v>
      </c>
      <c r="B1126" s="8" t="s">
        <v>357</v>
      </c>
      <c r="C1126" s="8" t="s">
        <v>2089</v>
      </c>
      <c r="D1126" s="6" t="s">
        <v>2087</v>
      </c>
      <c r="E1126" s="7" t="s">
        <v>2088</v>
      </c>
      <c r="F1126" s="7" t="s">
        <v>360</v>
      </c>
      <c r="G1126" s="8" t="s">
        <v>1027</v>
      </c>
      <c r="H1126" s="8" t="s">
        <v>2094</v>
      </c>
      <c r="I1126" s="7" t="s">
        <v>25</v>
      </c>
      <c r="J1126" s="15">
        <v>10</v>
      </c>
    </row>
    <row r="1127" spans="1:10" ht="52" x14ac:dyDescent="0.2">
      <c r="A1127" s="7" t="s">
        <v>95</v>
      </c>
      <c r="B1127" s="8" t="s">
        <v>357</v>
      </c>
      <c r="C1127" s="8" t="s">
        <v>2089</v>
      </c>
      <c r="D1127" s="6" t="s">
        <v>2087</v>
      </c>
      <c r="E1127" s="7" t="s">
        <v>2088</v>
      </c>
      <c r="F1127" s="7" t="s">
        <v>360</v>
      </c>
      <c r="G1127" s="8" t="s">
        <v>2095</v>
      </c>
      <c r="H1127" s="8" t="s">
        <v>2096</v>
      </c>
      <c r="I1127" s="7" t="s">
        <v>17</v>
      </c>
      <c r="J1127" s="15">
        <v>10</v>
      </c>
    </row>
    <row r="1128" spans="1:10" ht="65" x14ac:dyDescent="0.2">
      <c r="A1128" s="7" t="s">
        <v>95</v>
      </c>
      <c r="B1128" s="8" t="s">
        <v>357</v>
      </c>
      <c r="C1128" s="8" t="s">
        <v>2089</v>
      </c>
      <c r="D1128" s="6" t="s">
        <v>2087</v>
      </c>
      <c r="E1128" s="7" t="s">
        <v>2088</v>
      </c>
      <c r="F1128" s="7" t="s">
        <v>360</v>
      </c>
      <c r="G1128" s="8" t="s">
        <v>2097</v>
      </c>
      <c r="H1128" s="8" t="s">
        <v>2098</v>
      </c>
      <c r="I1128" s="7" t="s">
        <v>17</v>
      </c>
      <c r="J1128" s="15">
        <v>20</v>
      </c>
    </row>
    <row r="1129" spans="1:10" ht="91" x14ac:dyDescent="0.2">
      <c r="A1129" s="7" t="s">
        <v>95</v>
      </c>
      <c r="B1129" s="8" t="s">
        <v>357</v>
      </c>
      <c r="C1129" s="8" t="s">
        <v>2089</v>
      </c>
      <c r="D1129" s="6" t="s">
        <v>2087</v>
      </c>
      <c r="E1129" s="7" t="s">
        <v>2088</v>
      </c>
      <c r="F1129" s="7" t="s">
        <v>360</v>
      </c>
      <c r="G1129" s="8" t="s">
        <v>2099</v>
      </c>
      <c r="H1129" s="8" t="s">
        <v>2100</v>
      </c>
      <c r="I1129" s="7" t="s">
        <v>17</v>
      </c>
      <c r="J1129" s="15">
        <v>30</v>
      </c>
    </row>
    <row r="1130" spans="1:10" ht="52" x14ac:dyDescent="0.2">
      <c r="A1130" s="7" t="s">
        <v>95</v>
      </c>
      <c r="B1130" s="8" t="s">
        <v>357</v>
      </c>
      <c r="C1130" s="8" t="s">
        <v>659</v>
      </c>
      <c r="D1130" s="6" t="s">
        <v>657</v>
      </c>
      <c r="E1130" s="7" t="s">
        <v>658</v>
      </c>
      <c r="F1130" s="7" t="s">
        <v>661</v>
      </c>
      <c r="G1130" s="8" t="s">
        <v>662</v>
      </c>
      <c r="H1130" s="8" t="s">
        <v>663</v>
      </c>
      <c r="I1130" s="7" t="s">
        <v>17</v>
      </c>
      <c r="J1130" s="15">
        <v>20</v>
      </c>
    </row>
    <row r="1131" spans="1:10" ht="104" x14ac:dyDescent="0.2">
      <c r="A1131" s="7" t="s">
        <v>95</v>
      </c>
      <c r="B1131" s="8" t="s">
        <v>357</v>
      </c>
      <c r="C1131" s="8" t="s">
        <v>659</v>
      </c>
      <c r="D1131" s="6" t="s">
        <v>657</v>
      </c>
      <c r="E1131" s="7" t="s">
        <v>658</v>
      </c>
      <c r="F1131" s="7" t="s">
        <v>661</v>
      </c>
      <c r="G1131" s="8" t="s">
        <v>664</v>
      </c>
      <c r="H1131" s="8" t="s">
        <v>665</v>
      </c>
      <c r="I1131" s="7" t="s">
        <v>17</v>
      </c>
      <c r="J1131" s="15">
        <v>20</v>
      </c>
    </row>
    <row r="1132" spans="1:10" ht="65" x14ac:dyDescent="0.2">
      <c r="A1132" s="7" t="s">
        <v>95</v>
      </c>
      <c r="B1132" s="8" t="s">
        <v>357</v>
      </c>
      <c r="C1132" s="8" t="s">
        <v>659</v>
      </c>
      <c r="D1132" s="6" t="s">
        <v>657</v>
      </c>
      <c r="E1132" s="7" t="s">
        <v>658</v>
      </c>
      <c r="F1132" s="7" t="s">
        <v>661</v>
      </c>
      <c r="G1132" s="8" t="s">
        <v>666</v>
      </c>
      <c r="H1132" s="8" t="s">
        <v>667</v>
      </c>
      <c r="I1132" s="7" t="s">
        <v>17</v>
      </c>
      <c r="J1132" s="15">
        <v>20</v>
      </c>
    </row>
    <row r="1133" spans="1:10" ht="39" x14ac:dyDescent="0.2">
      <c r="A1133" s="7" t="s">
        <v>95</v>
      </c>
      <c r="B1133" s="8" t="s">
        <v>357</v>
      </c>
      <c r="C1133" s="8" t="s">
        <v>659</v>
      </c>
      <c r="D1133" s="6" t="s">
        <v>657</v>
      </c>
      <c r="E1133" s="7" t="s">
        <v>658</v>
      </c>
      <c r="F1133" s="7" t="s">
        <v>661</v>
      </c>
      <c r="G1133" s="8" t="s">
        <v>668</v>
      </c>
      <c r="H1133" s="8" t="s">
        <v>669</v>
      </c>
      <c r="I1133" s="7" t="s">
        <v>25</v>
      </c>
      <c r="J1133" s="15">
        <v>20</v>
      </c>
    </row>
    <row r="1134" spans="1:10" ht="39" x14ac:dyDescent="0.2">
      <c r="A1134" s="7" t="s">
        <v>95</v>
      </c>
      <c r="B1134" s="8" t="s">
        <v>357</v>
      </c>
      <c r="C1134" s="8" t="s">
        <v>659</v>
      </c>
      <c r="D1134" s="6" t="s">
        <v>657</v>
      </c>
      <c r="E1134" s="7" t="s">
        <v>658</v>
      </c>
      <c r="F1134" s="7" t="s">
        <v>661</v>
      </c>
      <c r="G1134" s="8" t="s">
        <v>431</v>
      </c>
      <c r="H1134" s="8" t="s">
        <v>670</v>
      </c>
      <c r="I1134" s="7" t="s">
        <v>25</v>
      </c>
      <c r="J1134" s="15">
        <v>10</v>
      </c>
    </row>
    <row r="1135" spans="1:10" ht="65" x14ac:dyDescent="0.2">
      <c r="A1135" s="7" t="s">
        <v>95</v>
      </c>
      <c r="B1135" s="8" t="s">
        <v>357</v>
      </c>
      <c r="C1135" s="8" t="s">
        <v>659</v>
      </c>
      <c r="D1135" s="6" t="s">
        <v>657</v>
      </c>
      <c r="E1135" s="7" t="s">
        <v>658</v>
      </c>
      <c r="F1135" s="7" t="s">
        <v>661</v>
      </c>
      <c r="G1135" s="8" t="s">
        <v>671</v>
      </c>
      <c r="H1135" s="8" t="s">
        <v>672</v>
      </c>
      <c r="I1135" s="7" t="s">
        <v>17</v>
      </c>
      <c r="J1135" s="15">
        <v>10</v>
      </c>
    </row>
    <row r="1136" spans="1:10" ht="78" x14ac:dyDescent="0.2">
      <c r="A1136" s="7" t="s">
        <v>95</v>
      </c>
      <c r="B1136" s="8" t="s">
        <v>357</v>
      </c>
      <c r="C1136" s="8" t="s">
        <v>2369</v>
      </c>
      <c r="D1136" s="6" t="s">
        <v>2367</v>
      </c>
      <c r="E1136" s="7" t="s">
        <v>2368</v>
      </c>
      <c r="F1136" s="7" t="s">
        <v>360</v>
      </c>
      <c r="G1136" s="8" t="s">
        <v>431</v>
      </c>
      <c r="H1136" s="8" t="s">
        <v>2370</v>
      </c>
      <c r="I1136" s="7" t="s">
        <v>25</v>
      </c>
      <c r="J1136" s="15">
        <v>10</v>
      </c>
    </row>
    <row r="1137" spans="1:10" ht="78" x14ac:dyDescent="0.2">
      <c r="A1137" s="7" t="s">
        <v>95</v>
      </c>
      <c r="B1137" s="8" t="s">
        <v>357</v>
      </c>
      <c r="C1137" s="8" t="s">
        <v>2369</v>
      </c>
      <c r="D1137" s="6" t="s">
        <v>2367</v>
      </c>
      <c r="E1137" s="7" t="s">
        <v>2368</v>
      </c>
      <c r="F1137" s="7" t="s">
        <v>360</v>
      </c>
      <c r="G1137" s="8" t="s">
        <v>1023</v>
      </c>
      <c r="H1137" s="8" t="s">
        <v>2371</v>
      </c>
      <c r="I1137" s="7" t="s">
        <v>25</v>
      </c>
      <c r="J1137" s="15">
        <v>5</v>
      </c>
    </row>
    <row r="1138" spans="1:10" ht="104" x14ac:dyDescent="0.2">
      <c r="A1138" s="7" t="s">
        <v>95</v>
      </c>
      <c r="B1138" s="8" t="s">
        <v>357</v>
      </c>
      <c r="C1138" s="8" t="s">
        <v>2369</v>
      </c>
      <c r="D1138" s="6" t="s">
        <v>2367</v>
      </c>
      <c r="E1138" s="7" t="s">
        <v>2368</v>
      </c>
      <c r="F1138" s="7" t="s">
        <v>360</v>
      </c>
      <c r="G1138" s="8" t="s">
        <v>1024</v>
      </c>
      <c r="H1138" s="8" t="s">
        <v>2372</v>
      </c>
      <c r="I1138" s="7" t="s">
        <v>25</v>
      </c>
      <c r="J1138" s="15">
        <v>20</v>
      </c>
    </row>
    <row r="1139" spans="1:10" ht="182" x14ac:dyDescent="0.2">
      <c r="A1139" s="7" t="s">
        <v>95</v>
      </c>
      <c r="B1139" s="8" t="s">
        <v>357</v>
      </c>
      <c r="C1139" s="8" t="s">
        <v>2369</v>
      </c>
      <c r="D1139" s="6" t="s">
        <v>2367</v>
      </c>
      <c r="E1139" s="7" t="s">
        <v>2368</v>
      </c>
      <c r="F1139" s="7" t="s">
        <v>360</v>
      </c>
      <c r="G1139" s="8" t="s">
        <v>2373</v>
      </c>
      <c r="H1139" s="8" t="s">
        <v>2374</v>
      </c>
      <c r="I1139" s="7" t="s">
        <v>17</v>
      </c>
      <c r="J1139" s="15">
        <v>10</v>
      </c>
    </row>
    <row r="1140" spans="1:10" ht="260" x14ac:dyDescent="0.2">
      <c r="A1140" s="7" t="s">
        <v>95</v>
      </c>
      <c r="B1140" s="8" t="s">
        <v>357</v>
      </c>
      <c r="C1140" s="8" t="s">
        <v>2369</v>
      </c>
      <c r="D1140" s="6" t="s">
        <v>2367</v>
      </c>
      <c r="E1140" s="7" t="s">
        <v>2368</v>
      </c>
      <c r="F1140" s="7" t="s">
        <v>360</v>
      </c>
      <c r="G1140" s="8" t="s">
        <v>1201</v>
      </c>
      <c r="H1140" s="8" t="s">
        <v>2375</v>
      </c>
      <c r="I1140" s="7" t="s">
        <v>25</v>
      </c>
      <c r="J1140" s="15">
        <v>20</v>
      </c>
    </row>
    <row r="1141" spans="1:10" ht="143" x14ac:dyDescent="0.2">
      <c r="A1141" s="7" t="s">
        <v>95</v>
      </c>
      <c r="B1141" s="8" t="s">
        <v>357</v>
      </c>
      <c r="C1141" s="8" t="s">
        <v>2369</v>
      </c>
      <c r="D1141" s="6" t="s">
        <v>2367</v>
      </c>
      <c r="E1141" s="7" t="s">
        <v>2368</v>
      </c>
      <c r="F1141" s="7" t="s">
        <v>360</v>
      </c>
      <c r="G1141" s="8" t="s">
        <v>2376</v>
      </c>
      <c r="H1141" s="8" t="s">
        <v>2377</v>
      </c>
      <c r="I1141" s="7" t="s">
        <v>17</v>
      </c>
      <c r="J1141" s="15">
        <v>15</v>
      </c>
    </row>
    <row r="1142" spans="1:10" ht="104" x14ac:dyDescent="0.2">
      <c r="A1142" s="7" t="s">
        <v>95</v>
      </c>
      <c r="B1142" s="8" t="s">
        <v>357</v>
      </c>
      <c r="C1142" s="8" t="s">
        <v>2369</v>
      </c>
      <c r="D1142" s="6" t="s">
        <v>2367</v>
      </c>
      <c r="E1142" s="7" t="s">
        <v>2368</v>
      </c>
      <c r="F1142" s="7" t="s">
        <v>360</v>
      </c>
      <c r="G1142" s="8" t="s">
        <v>2378</v>
      </c>
      <c r="H1142" s="8" t="s">
        <v>2379</v>
      </c>
      <c r="I1142" s="7" t="s">
        <v>17</v>
      </c>
      <c r="J1142" s="15">
        <v>20</v>
      </c>
    </row>
    <row r="1143" spans="1:10" ht="52" x14ac:dyDescent="0.2">
      <c r="A1143" s="7" t="s">
        <v>95</v>
      </c>
      <c r="B1143" s="8" t="s">
        <v>357</v>
      </c>
      <c r="C1143" s="8" t="s">
        <v>416</v>
      </c>
      <c r="D1143" s="6" t="s">
        <v>414</v>
      </c>
      <c r="E1143" s="7" t="s">
        <v>415</v>
      </c>
      <c r="F1143" s="7" t="s">
        <v>360</v>
      </c>
      <c r="G1143" s="8" t="s">
        <v>417</v>
      </c>
      <c r="H1143" s="8" t="s">
        <v>418</v>
      </c>
      <c r="I1143" s="7" t="s">
        <v>17</v>
      </c>
      <c r="J1143" s="15">
        <v>5</v>
      </c>
    </row>
    <row r="1144" spans="1:10" ht="91" x14ac:dyDescent="0.2">
      <c r="A1144" s="7" t="s">
        <v>95</v>
      </c>
      <c r="B1144" s="8" t="s">
        <v>357</v>
      </c>
      <c r="C1144" s="8" t="s">
        <v>416</v>
      </c>
      <c r="D1144" s="6" t="s">
        <v>414</v>
      </c>
      <c r="E1144" s="7" t="s">
        <v>415</v>
      </c>
      <c r="F1144" s="7" t="s">
        <v>360</v>
      </c>
      <c r="G1144" s="8" t="s">
        <v>419</v>
      </c>
      <c r="H1144" s="8" t="s">
        <v>420</v>
      </c>
      <c r="I1144" s="7" t="s">
        <v>25</v>
      </c>
      <c r="J1144" s="15">
        <v>20</v>
      </c>
    </row>
    <row r="1145" spans="1:10" ht="91" x14ac:dyDescent="0.2">
      <c r="A1145" s="7" t="s">
        <v>95</v>
      </c>
      <c r="B1145" s="8" t="s">
        <v>357</v>
      </c>
      <c r="C1145" s="8" t="s">
        <v>416</v>
      </c>
      <c r="D1145" s="6" t="s">
        <v>414</v>
      </c>
      <c r="E1145" s="7" t="s">
        <v>415</v>
      </c>
      <c r="F1145" s="7" t="s">
        <v>360</v>
      </c>
      <c r="G1145" s="8" t="s">
        <v>421</v>
      </c>
      <c r="H1145" s="8" t="s">
        <v>422</v>
      </c>
      <c r="I1145" s="7" t="s">
        <v>17</v>
      </c>
      <c r="J1145" s="15">
        <v>10</v>
      </c>
    </row>
    <row r="1146" spans="1:10" ht="117" x14ac:dyDescent="0.2">
      <c r="A1146" s="7" t="s">
        <v>95</v>
      </c>
      <c r="B1146" s="8" t="s">
        <v>357</v>
      </c>
      <c r="C1146" s="8" t="s">
        <v>416</v>
      </c>
      <c r="D1146" s="6" t="s">
        <v>414</v>
      </c>
      <c r="E1146" s="7" t="s">
        <v>415</v>
      </c>
      <c r="F1146" s="7" t="s">
        <v>360</v>
      </c>
      <c r="G1146" s="8" t="s">
        <v>423</v>
      </c>
      <c r="H1146" s="8" t="s">
        <v>424</v>
      </c>
      <c r="I1146" s="7" t="s">
        <v>17</v>
      </c>
      <c r="J1146" s="15">
        <v>10</v>
      </c>
    </row>
    <row r="1147" spans="1:10" ht="117" x14ac:dyDescent="0.2">
      <c r="A1147" s="7" t="s">
        <v>95</v>
      </c>
      <c r="B1147" s="8" t="s">
        <v>357</v>
      </c>
      <c r="C1147" s="8" t="s">
        <v>416</v>
      </c>
      <c r="D1147" s="6" t="s">
        <v>414</v>
      </c>
      <c r="E1147" s="7" t="s">
        <v>415</v>
      </c>
      <c r="F1147" s="7" t="s">
        <v>360</v>
      </c>
      <c r="G1147" s="8" t="s">
        <v>425</v>
      </c>
      <c r="H1147" s="8" t="s">
        <v>426</v>
      </c>
      <c r="I1147" s="7" t="s">
        <v>17</v>
      </c>
      <c r="J1147" s="15">
        <v>15</v>
      </c>
    </row>
    <row r="1148" spans="1:10" ht="104" x14ac:dyDescent="0.2">
      <c r="A1148" s="7" t="s">
        <v>95</v>
      </c>
      <c r="B1148" s="8" t="s">
        <v>357</v>
      </c>
      <c r="C1148" s="8" t="s">
        <v>416</v>
      </c>
      <c r="D1148" s="6" t="s">
        <v>414</v>
      </c>
      <c r="E1148" s="7" t="s">
        <v>415</v>
      </c>
      <c r="F1148" s="7" t="s">
        <v>360</v>
      </c>
      <c r="G1148" s="8" t="s">
        <v>427</v>
      </c>
      <c r="H1148" s="8" t="s">
        <v>428</v>
      </c>
      <c r="I1148" s="7" t="s">
        <v>17</v>
      </c>
      <c r="J1148" s="15">
        <v>10</v>
      </c>
    </row>
    <row r="1149" spans="1:10" ht="117" x14ac:dyDescent="0.2">
      <c r="A1149" s="7" t="s">
        <v>95</v>
      </c>
      <c r="B1149" s="8" t="s">
        <v>357</v>
      </c>
      <c r="C1149" s="8" t="s">
        <v>416</v>
      </c>
      <c r="D1149" s="6" t="s">
        <v>414</v>
      </c>
      <c r="E1149" s="7" t="s">
        <v>415</v>
      </c>
      <c r="F1149" s="7" t="s">
        <v>360</v>
      </c>
      <c r="G1149" s="8" t="s">
        <v>429</v>
      </c>
      <c r="H1149" s="8" t="s">
        <v>430</v>
      </c>
      <c r="I1149" s="7" t="s">
        <v>17</v>
      </c>
      <c r="J1149" s="15">
        <v>10</v>
      </c>
    </row>
    <row r="1150" spans="1:10" ht="78" x14ac:dyDescent="0.2">
      <c r="A1150" s="7" t="s">
        <v>95</v>
      </c>
      <c r="B1150" s="8" t="s">
        <v>357</v>
      </c>
      <c r="C1150" s="8" t="s">
        <v>416</v>
      </c>
      <c r="D1150" s="6" t="s">
        <v>414</v>
      </c>
      <c r="E1150" s="7" t="s">
        <v>415</v>
      </c>
      <c r="F1150" s="7" t="s">
        <v>360</v>
      </c>
      <c r="G1150" s="8" t="s">
        <v>431</v>
      </c>
      <c r="H1150" s="8" t="s">
        <v>432</v>
      </c>
      <c r="I1150" s="7" t="s">
        <v>25</v>
      </c>
      <c r="J1150" s="15">
        <v>10</v>
      </c>
    </row>
    <row r="1151" spans="1:10" ht="104" x14ac:dyDescent="0.2">
      <c r="A1151" s="7" t="s">
        <v>95</v>
      </c>
      <c r="B1151" s="8" t="s">
        <v>357</v>
      </c>
      <c r="C1151" s="8" t="s">
        <v>416</v>
      </c>
      <c r="D1151" s="6" t="s">
        <v>414</v>
      </c>
      <c r="E1151" s="7" t="s">
        <v>415</v>
      </c>
      <c r="F1151" s="7" t="s">
        <v>360</v>
      </c>
      <c r="G1151" s="8" t="s">
        <v>433</v>
      </c>
      <c r="H1151" s="8" t="s">
        <v>434</v>
      </c>
      <c r="I1151" s="7" t="s">
        <v>17</v>
      </c>
      <c r="J1151" s="15">
        <v>10</v>
      </c>
    </row>
    <row r="1152" spans="1:10" ht="39" x14ac:dyDescent="0.2">
      <c r="A1152" s="7" t="s">
        <v>95</v>
      </c>
      <c r="B1152" s="8" t="s">
        <v>357</v>
      </c>
      <c r="C1152" s="8" t="s">
        <v>1528</v>
      </c>
      <c r="D1152" s="6" t="s">
        <v>1526</v>
      </c>
      <c r="E1152" s="7" t="s">
        <v>1527</v>
      </c>
      <c r="F1152" s="7" t="s">
        <v>661</v>
      </c>
      <c r="G1152" s="8" t="s">
        <v>1529</v>
      </c>
      <c r="H1152" s="8" t="s">
        <v>1530</v>
      </c>
      <c r="I1152" s="7" t="s">
        <v>17</v>
      </c>
      <c r="J1152" s="15">
        <v>30</v>
      </c>
    </row>
    <row r="1153" spans="1:10" ht="39" x14ac:dyDescent="0.2">
      <c r="A1153" s="7" t="s">
        <v>95</v>
      </c>
      <c r="B1153" s="8" t="s">
        <v>357</v>
      </c>
      <c r="C1153" s="8" t="s">
        <v>1528</v>
      </c>
      <c r="D1153" s="6" t="s">
        <v>1526</v>
      </c>
      <c r="E1153" s="7" t="s">
        <v>1527</v>
      </c>
      <c r="F1153" s="7" t="s">
        <v>661</v>
      </c>
      <c r="G1153" s="8" t="s">
        <v>1531</v>
      </c>
      <c r="H1153" s="8" t="s">
        <v>1532</v>
      </c>
      <c r="I1153" s="7" t="s">
        <v>17</v>
      </c>
      <c r="J1153" s="15">
        <v>15</v>
      </c>
    </row>
    <row r="1154" spans="1:10" ht="52" x14ac:dyDescent="0.2">
      <c r="A1154" s="7" t="s">
        <v>95</v>
      </c>
      <c r="B1154" s="8" t="s">
        <v>357</v>
      </c>
      <c r="C1154" s="8" t="s">
        <v>1528</v>
      </c>
      <c r="D1154" s="6" t="s">
        <v>1526</v>
      </c>
      <c r="E1154" s="7" t="s">
        <v>1527</v>
      </c>
      <c r="F1154" s="7" t="s">
        <v>661</v>
      </c>
      <c r="G1154" s="8" t="s">
        <v>1533</v>
      </c>
      <c r="H1154" s="8" t="s">
        <v>1534</v>
      </c>
      <c r="I1154" s="7" t="s">
        <v>17</v>
      </c>
      <c r="J1154" s="15">
        <v>15</v>
      </c>
    </row>
    <row r="1155" spans="1:10" ht="39" x14ac:dyDescent="0.2">
      <c r="A1155" s="7" t="s">
        <v>95</v>
      </c>
      <c r="B1155" s="8" t="s">
        <v>357</v>
      </c>
      <c r="C1155" s="8" t="s">
        <v>1528</v>
      </c>
      <c r="D1155" s="6" t="s">
        <v>1526</v>
      </c>
      <c r="E1155" s="7" t="s">
        <v>1527</v>
      </c>
      <c r="F1155" s="7" t="s">
        <v>661</v>
      </c>
      <c r="G1155" s="8" t="s">
        <v>1535</v>
      </c>
      <c r="H1155" s="8" t="s">
        <v>1536</v>
      </c>
      <c r="I1155" s="7" t="s">
        <v>17</v>
      </c>
      <c r="J1155" s="15">
        <v>10</v>
      </c>
    </row>
    <row r="1156" spans="1:10" ht="39" x14ac:dyDescent="0.2">
      <c r="A1156" s="7" t="s">
        <v>95</v>
      </c>
      <c r="B1156" s="8" t="s">
        <v>357</v>
      </c>
      <c r="C1156" s="8" t="s">
        <v>1528</v>
      </c>
      <c r="D1156" s="6" t="s">
        <v>1526</v>
      </c>
      <c r="E1156" s="7" t="s">
        <v>1527</v>
      </c>
      <c r="F1156" s="7" t="s">
        <v>661</v>
      </c>
      <c r="G1156" s="8" t="s">
        <v>668</v>
      </c>
      <c r="H1156" s="8" t="s">
        <v>1537</v>
      </c>
      <c r="I1156" s="7" t="s">
        <v>25</v>
      </c>
      <c r="J1156" s="15">
        <v>20</v>
      </c>
    </row>
    <row r="1157" spans="1:10" ht="39" x14ac:dyDescent="0.2">
      <c r="A1157" s="7" t="s">
        <v>95</v>
      </c>
      <c r="B1157" s="8" t="s">
        <v>357</v>
      </c>
      <c r="C1157" s="8" t="s">
        <v>1528</v>
      </c>
      <c r="D1157" s="6" t="s">
        <v>1526</v>
      </c>
      <c r="E1157" s="7" t="s">
        <v>1527</v>
      </c>
      <c r="F1157" s="7" t="s">
        <v>661</v>
      </c>
      <c r="G1157" s="8" t="s">
        <v>431</v>
      </c>
      <c r="H1157" s="8" t="s">
        <v>1538</v>
      </c>
      <c r="I1157" s="7" t="s">
        <v>25</v>
      </c>
      <c r="J1157" s="15">
        <v>10</v>
      </c>
    </row>
    <row r="1158" spans="1:10" ht="117" x14ac:dyDescent="0.2">
      <c r="A1158" s="7" t="s">
        <v>95</v>
      </c>
      <c r="B1158" s="8" t="s">
        <v>357</v>
      </c>
      <c r="C1158" s="8" t="s">
        <v>1915</v>
      </c>
      <c r="D1158" s="6" t="s">
        <v>1913</v>
      </c>
      <c r="E1158" s="7" t="s">
        <v>1914</v>
      </c>
      <c r="F1158" s="7" t="s">
        <v>360</v>
      </c>
      <c r="G1158" s="8" t="s">
        <v>1916</v>
      </c>
      <c r="H1158" s="8" t="s">
        <v>1917</v>
      </c>
      <c r="I1158" s="7" t="s">
        <v>25</v>
      </c>
      <c r="J1158" s="15">
        <v>10</v>
      </c>
    </row>
    <row r="1159" spans="1:10" ht="78" x14ac:dyDescent="0.2">
      <c r="A1159" s="7" t="s">
        <v>95</v>
      </c>
      <c r="B1159" s="8" t="s">
        <v>357</v>
      </c>
      <c r="C1159" s="8" t="s">
        <v>1915</v>
      </c>
      <c r="D1159" s="6" t="s">
        <v>1913</v>
      </c>
      <c r="E1159" s="7" t="s">
        <v>1914</v>
      </c>
      <c r="F1159" s="7" t="s">
        <v>360</v>
      </c>
      <c r="G1159" s="8" t="s">
        <v>431</v>
      </c>
      <c r="H1159" s="8" t="s">
        <v>1918</v>
      </c>
      <c r="I1159" s="7" t="s">
        <v>25</v>
      </c>
      <c r="J1159" s="15">
        <v>10</v>
      </c>
    </row>
    <row r="1160" spans="1:10" ht="104" x14ac:dyDescent="0.2">
      <c r="A1160" s="7" t="s">
        <v>95</v>
      </c>
      <c r="B1160" s="8" t="s">
        <v>357</v>
      </c>
      <c r="C1160" s="8" t="s">
        <v>1915</v>
      </c>
      <c r="D1160" s="6" t="s">
        <v>1913</v>
      </c>
      <c r="E1160" s="7" t="s">
        <v>1914</v>
      </c>
      <c r="F1160" s="7" t="s">
        <v>360</v>
      </c>
      <c r="G1160" s="8" t="s">
        <v>1919</v>
      </c>
      <c r="H1160" s="8" t="s">
        <v>1920</v>
      </c>
      <c r="I1160" s="7" t="s">
        <v>17</v>
      </c>
      <c r="J1160" s="15">
        <v>20</v>
      </c>
    </row>
    <row r="1161" spans="1:10" ht="117" x14ac:dyDescent="0.2">
      <c r="A1161" s="7" t="s">
        <v>95</v>
      </c>
      <c r="B1161" s="8" t="s">
        <v>357</v>
      </c>
      <c r="C1161" s="8" t="s">
        <v>1915</v>
      </c>
      <c r="D1161" s="6" t="s">
        <v>1913</v>
      </c>
      <c r="E1161" s="7" t="s">
        <v>1914</v>
      </c>
      <c r="F1161" s="7" t="s">
        <v>360</v>
      </c>
      <c r="G1161" s="8" t="s">
        <v>1921</v>
      </c>
      <c r="H1161" s="8" t="s">
        <v>1922</v>
      </c>
      <c r="I1161" s="7" t="s">
        <v>17</v>
      </c>
      <c r="J1161" s="15">
        <v>30</v>
      </c>
    </row>
    <row r="1162" spans="1:10" ht="65" x14ac:dyDescent="0.2">
      <c r="A1162" s="7" t="s">
        <v>95</v>
      </c>
      <c r="B1162" s="8" t="s">
        <v>357</v>
      </c>
      <c r="C1162" s="8" t="s">
        <v>1915</v>
      </c>
      <c r="D1162" s="6" t="s">
        <v>1913</v>
      </c>
      <c r="E1162" s="7" t="s">
        <v>1914</v>
      </c>
      <c r="F1162" s="7" t="s">
        <v>360</v>
      </c>
      <c r="G1162" s="8" t="s">
        <v>1923</v>
      </c>
      <c r="H1162" s="8" t="s">
        <v>1924</v>
      </c>
      <c r="I1162" s="7" t="s">
        <v>17</v>
      </c>
      <c r="J1162" s="15">
        <v>30</v>
      </c>
    </row>
    <row r="1163" spans="1:10" ht="91" x14ac:dyDescent="0.2">
      <c r="A1163" s="7" t="s">
        <v>95</v>
      </c>
      <c r="B1163" s="8" t="s">
        <v>357</v>
      </c>
      <c r="C1163" s="8" t="s">
        <v>2667</v>
      </c>
      <c r="D1163" s="6" t="s">
        <v>2665</v>
      </c>
      <c r="E1163" s="7" t="s">
        <v>2666</v>
      </c>
      <c r="F1163" s="7" t="s">
        <v>360</v>
      </c>
      <c r="G1163" s="8" t="s">
        <v>1024</v>
      </c>
      <c r="H1163" s="8" t="s">
        <v>2668</v>
      </c>
      <c r="I1163" s="7" t="s">
        <v>17</v>
      </c>
      <c r="J1163" s="15">
        <v>30</v>
      </c>
    </row>
    <row r="1164" spans="1:10" ht="65" x14ac:dyDescent="0.2">
      <c r="A1164" s="7" t="s">
        <v>95</v>
      </c>
      <c r="B1164" s="8" t="s">
        <v>357</v>
      </c>
      <c r="C1164" s="8" t="s">
        <v>2667</v>
      </c>
      <c r="D1164" s="6" t="s">
        <v>2665</v>
      </c>
      <c r="E1164" s="7" t="s">
        <v>2666</v>
      </c>
      <c r="F1164" s="7" t="s">
        <v>360</v>
      </c>
      <c r="G1164" s="8" t="s">
        <v>431</v>
      </c>
      <c r="H1164" s="8" t="s">
        <v>2669</v>
      </c>
      <c r="I1164" s="7" t="s">
        <v>25</v>
      </c>
      <c r="J1164" s="15">
        <v>15</v>
      </c>
    </row>
    <row r="1165" spans="1:10" ht="65" x14ac:dyDescent="0.2">
      <c r="A1165" s="7" t="s">
        <v>95</v>
      </c>
      <c r="B1165" s="8" t="s">
        <v>357</v>
      </c>
      <c r="C1165" s="8" t="s">
        <v>2667</v>
      </c>
      <c r="D1165" s="6" t="s">
        <v>2665</v>
      </c>
      <c r="E1165" s="7" t="s">
        <v>2666</v>
      </c>
      <c r="F1165" s="7" t="s">
        <v>360</v>
      </c>
      <c r="G1165" s="8" t="s">
        <v>668</v>
      </c>
      <c r="H1165" s="8" t="s">
        <v>2670</v>
      </c>
      <c r="I1165" s="7" t="s">
        <v>17</v>
      </c>
      <c r="J1165" s="15">
        <v>10</v>
      </c>
    </row>
    <row r="1166" spans="1:10" ht="78" x14ac:dyDescent="0.2">
      <c r="A1166" s="7" t="s">
        <v>95</v>
      </c>
      <c r="B1166" s="8" t="s">
        <v>357</v>
      </c>
      <c r="C1166" s="8" t="s">
        <v>2667</v>
      </c>
      <c r="D1166" s="6" t="s">
        <v>2665</v>
      </c>
      <c r="E1166" s="7" t="s">
        <v>2666</v>
      </c>
      <c r="F1166" s="7" t="s">
        <v>360</v>
      </c>
      <c r="G1166" s="8" t="s">
        <v>1023</v>
      </c>
      <c r="H1166" s="8" t="s">
        <v>2671</v>
      </c>
      <c r="I1166" s="7" t="s">
        <v>25</v>
      </c>
      <c r="J1166" s="15">
        <v>5</v>
      </c>
    </row>
    <row r="1167" spans="1:10" ht="52" x14ac:dyDescent="0.2">
      <c r="A1167" s="7" t="s">
        <v>95</v>
      </c>
      <c r="B1167" s="8" t="s">
        <v>357</v>
      </c>
      <c r="C1167" s="8" t="s">
        <v>2667</v>
      </c>
      <c r="D1167" s="6" t="s">
        <v>2665</v>
      </c>
      <c r="E1167" s="7" t="s">
        <v>2666</v>
      </c>
      <c r="F1167" s="7" t="s">
        <v>360</v>
      </c>
      <c r="G1167" s="8" t="s">
        <v>2672</v>
      </c>
      <c r="H1167" s="8" t="s">
        <v>2673</v>
      </c>
      <c r="I1167" s="7" t="s">
        <v>17</v>
      </c>
      <c r="J1167" s="15">
        <v>10</v>
      </c>
    </row>
    <row r="1168" spans="1:10" ht="104" x14ac:dyDescent="0.2">
      <c r="A1168" s="7" t="s">
        <v>95</v>
      </c>
      <c r="B1168" s="8" t="s">
        <v>357</v>
      </c>
      <c r="C1168" s="8" t="s">
        <v>2667</v>
      </c>
      <c r="D1168" s="6" t="s">
        <v>2665</v>
      </c>
      <c r="E1168" s="7" t="s">
        <v>2666</v>
      </c>
      <c r="F1168" s="7" t="s">
        <v>360</v>
      </c>
      <c r="G1168" s="8" t="s">
        <v>2674</v>
      </c>
      <c r="H1168" s="8" t="s">
        <v>2675</v>
      </c>
      <c r="I1168" s="7" t="s">
        <v>17</v>
      </c>
      <c r="J1168" s="15">
        <v>15</v>
      </c>
    </row>
    <row r="1169" spans="1:10" ht="165" customHeight="1" x14ac:dyDescent="0.2">
      <c r="A1169" s="7" t="s">
        <v>95</v>
      </c>
      <c r="B1169" s="8" t="s">
        <v>357</v>
      </c>
      <c r="C1169" s="8" t="s">
        <v>2667</v>
      </c>
      <c r="D1169" s="6" t="s">
        <v>2665</v>
      </c>
      <c r="E1169" s="7" t="s">
        <v>2666</v>
      </c>
      <c r="F1169" s="7" t="s">
        <v>360</v>
      </c>
      <c r="G1169" s="8" t="s">
        <v>1027</v>
      </c>
      <c r="H1169" s="8" t="s">
        <v>2676</v>
      </c>
      <c r="I1169" s="7" t="s">
        <v>25</v>
      </c>
      <c r="J1169" s="15">
        <v>15</v>
      </c>
    </row>
    <row r="1170" spans="1:10" ht="148.25" customHeight="1" x14ac:dyDescent="0.2">
      <c r="A1170" s="7" t="s">
        <v>95</v>
      </c>
      <c r="B1170" s="8" t="s">
        <v>357</v>
      </c>
      <c r="C1170" s="8" t="s">
        <v>2567</v>
      </c>
      <c r="D1170" s="6" t="s">
        <v>660</v>
      </c>
      <c r="E1170" s="7" t="s">
        <v>661</v>
      </c>
      <c r="F1170" s="7" t="s">
        <v>360</v>
      </c>
      <c r="G1170" s="8" t="s">
        <v>361</v>
      </c>
      <c r="H1170" s="8" t="s">
        <v>2568</v>
      </c>
      <c r="I1170" s="7" t="s">
        <v>25</v>
      </c>
      <c r="J1170" s="15">
        <v>20</v>
      </c>
    </row>
    <row r="1171" spans="1:10" ht="148.25" customHeight="1" x14ac:dyDescent="0.2">
      <c r="A1171" s="7" t="s">
        <v>95</v>
      </c>
      <c r="B1171" s="8" t="s">
        <v>357</v>
      </c>
      <c r="C1171" s="8" t="s">
        <v>2567</v>
      </c>
      <c r="D1171" s="6" t="s">
        <v>660</v>
      </c>
      <c r="E1171" s="7" t="s">
        <v>661</v>
      </c>
      <c r="F1171" s="7" t="s">
        <v>360</v>
      </c>
      <c r="G1171" s="8" t="s">
        <v>2569</v>
      </c>
      <c r="H1171" s="8" t="s">
        <v>2570</v>
      </c>
      <c r="I1171" s="7" t="s">
        <v>17</v>
      </c>
      <c r="J1171" s="15">
        <v>20</v>
      </c>
    </row>
    <row r="1172" spans="1:10" ht="174" customHeight="1" x14ac:dyDescent="0.2">
      <c r="A1172" s="7" t="s">
        <v>95</v>
      </c>
      <c r="B1172" s="8" t="s">
        <v>357</v>
      </c>
      <c r="C1172" s="8" t="s">
        <v>2567</v>
      </c>
      <c r="D1172" s="6" t="s">
        <v>660</v>
      </c>
      <c r="E1172" s="7" t="s">
        <v>661</v>
      </c>
      <c r="F1172" s="7" t="s">
        <v>360</v>
      </c>
      <c r="G1172" s="8" t="s">
        <v>2571</v>
      </c>
      <c r="H1172" s="8" t="s">
        <v>2572</v>
      </c>
      <c r="I1172" s="7" t="s">
        <v>17</v>
      </c>
      <c r="J1172" s="15">
        <v>10</v>
      </c>
    </row>
    <row r="1173" spans="1:10" ht="174" customHeight="1" x14ac:dyDescent="0.2">
      <c r="A1173" s="7" t="s">
        <v>95</v>
      </c>
      <c r="B1173" s="8" t="s">
        <v>357</v>
      </c>
      <c r="C1173" s="8" t="s">
        <v>2567</v>
      </c>
      <c r="D1173" s="6" t="s">
        <v>660</v>
      </c>
      <c r="E1173" s="7" t="s">
        <v>661</v>
      </c>
      <c r="F1173" s="7" t="s">
        <v>360</v>
      </c>
      <c r="G1173" s="8" t="s">
        <v>2573</v>
      </c>
      <c r="H1173" s="8" t="s">
        <v>2574</v>
      </c>
      <c r="I1173" s="7" t="s">
        <v>25</v>
      </c>
      <c r="J1173" s="15">
        <v>20</v>
      </c>
    </row>
    <row r="1174" spans="1:10" ht="176.5" customHeight="1" x14ac:dyDescent="0.2">
      <c r="A1174" s="7" t="s">
        <v>95</v>
      </c>
      <c r="B1174" s="8" t="s">
        <v>357</v>
      </c>
      <c r="C1174" s="8" t="s">
        <v>2567</v>
      </c>
      <c r="D1174" s="6" t="s">
        <v>660</v>
      </c>
      <c r="E1174" s="7" t="s">
        <v>661</v>
      </c>
      <c r="F1174" s="7" t="s">
        <v>360</v>
      </c>
      <c r="G1174" s="8" t="s">
        <v>431</v>
      </c>
      <c r="H1174" s="8" t="s">
        <v>2575</v>
      </c>
      <c r="I1174" s="7" t="s">
        <v>25</v>
      </c>
      <c r="J1174" s="15">
        <v>10</v>
      </c>
    </row>
    <row r="1175" spans="1:10" ht="78" x14ac:dyDescent="0.2">
      <c r="A1175" s="7" t="s">
        <v>95</v>
      </c>
      <c r="B1175" s="8" t="s">
        <v>357</v>
      </c>
      <c r="C1175" s="8" t="s">
        <v>2567</v>
      </c>
      <c r="D1175" s="6" t="s">
        <v>660</v>
      </c>
      <c r="E1175" s="7" t="s">
        <v>661</v>
      </c>
      <c r="F1175" s="7" t="s">
        <v>360</v>
      </c>
      <c r="G1175" s="8" t="s">
        <v>2576</v>
      </c>
      <c r="H1175" s="8" t="s">
        <v>2577</v>
      </c>
      <c r="I1175" s="7" t="s">
        <v>17</v>
      </c>
      <c r="J1175" s="15">
        <v>20</v>
      </c>
    </row>
    <row r="1176" spans="1:10" ht="52" x14ac:dyDescent="0.2">
      <c r="A1176" s="7" t="s">
        <v>95</v>
      </c>
      <c r="B1176" s="8" t="s">
        <v>357</v>
      </c>
      <c r="C1176" s="8" t="s">
        <v>358</v>
      </c>
      <c r="D1176" s="6" t="s">
        <v>355</v>
      </c>
      <c r="E1176" s="7" t="s">
        <v>356</v>
      </c>
      <c r="F1176" s="7" t="s">
        <v>360</v>
      </c>
      <c r="G1176" s="8" t="s">
        <v>361</v>
      </c>
      <c r="H1176" s="8" t="s">
        <v>362</v>
      </c>
      <c r="I1176" s="19" t="s">
        <v>25</v>
      </c>
      <c r="J1176" s="21">
        <v>10</v>
      </c>
    </row>
    <row r="1177" spans="1:10" ht="117" x14ac:dyDescent="0.2">
      <c r="A1177" s="7" t="s">
        <v>95</v>
      </c>
      <c r="B1177" s="8" t="s">
        <v>357</v>
      </c>
      <c r="C1177" s="8" t="s">
        <v>358</v>
      </c>
      <c r="D1177" s="6" t="s">
        <v>355</v>
      </c>
      <c r="E1177" s="7" t="s">
        <v>356</v>
      </c>
      <c r="F1177" s="7" t="s">
        <v>360</v>
      </c>
      <c r="G1177" s="8" t="s">
        <v>363</v>
      </c>
      <c r="H1177" s="8" t="s">
        <v>364</v>
      </c>
      <c r="I1177" s="19" t="s">
        <v>25</v>
      </c>
      <c r="J1177" s="21">
        <v>20</v>
      </c>
    </row>
    <row r="1178" spans="1:10" ht="39" x14ac:dyDescent="0.2">
      <c r="A1178" s="7" t="s">
        <v>95</v>
      </c>
      <c r="B1178" s="8" t="s">
        <v>357</v>
      </c>
      <c r="C1178" s="8" t="s">
        <v>358</v>
      </c>
      <c r="D1178" s="6" t="s">
        <v>355</v>
      </c>
      <c r="E1178" s="7" t="s">
        <v>356</v>
      </c>
      <c r="F1178" s="7" t="s">
        <v>360</v>
      </c>
      <c r="G1178" s="8" t="s">
        <v>365</v>
      </c>
      <c r="H1178" s="8" t="s">
        <v>366</v>
      </c>
      <c r="I1178" s="7" t="s">
        <v>17</v>
      </c>
      <c r="J1178" s="15">
        <v>10</v>
      </c>
    </row>
    <row r="1179" spans="1:10" ht="156" x14ac:dyDescent="0.2">
      <c r="A1179" s="7" t="s">
        <v>95</v>
      </c>
      <c r="B1179" s="8" t="s">
        <v>357</v>
      </c>
      <c r="C1179" s="8" t="s">
        <v>358</v>
      </c>
      <c r="D1179" s="6" t="s">
        <v>355</v>
      </c>
      <c r="E1179" s="7" t="s">
        <v>356</v>
      </c>
      <c r="F1179" s="7" t="s">
        <v>360</v>
      </c>
      <c r="G1179" s="8" t="s">
        <v>367</v>
      </c>
      <c r="H1179" s="8" t="s">
        <v>368</v>
      </c>
      <c r="I1179" s="7" t="s">
        <v>17</v>
      </c>
      <c r="J1179" s="15">
        <v>30</v>
      </c>
    </row>
    <row r="1180" spans="1:10" ht="78" x14ac:dyDescent="0.2">
      <c r="A1180" s="7" t="s">
        <v>95</v>
      </c>
      <c r="B1180" s="8" t="s">
        <v>357</v>
      </c>
      <c r="C1180" s="8" t="s">
        <v>358</v>
      </c>
      <c r="D1180" s="6" t="s">
        <v>355</v>
      </c>
      <c r="E1180" s="7" t="s">
        <v>356</v>
      </c>
      <c r="F1180" s="7" t="s">
        <v>360</v>
      </c>
      <c r="G1180" s="8" t="s">
        <v>369</v>
      </c>
      <c r="H1180" s="8" t="s">
        <v>370</v>
      </c>
      <c r="I1180" s="19" t="s">
        <v>25</v>
      </c>
      <c r="J1180" s="15">
        <v>10</v>
      </c>
    </row>
    <row r="1181" spans="1:10" ht="52" x14ac:dyDescent="0.2">
      <c r="A1181" s="7" t="s">
        <v>95</v>
      </c>
      <c r="B1181" s="8" t="s">
        <v>357</v>
      </c>
      <c r="C1181" s="8" t="s">
        <v>358</v>
      </c>
      <c r="D1181" s="6" t="s">
        <v>355</v>
      </c>
      <c r="E1181" s="7" t="s">
        <v>356</v>
      </c>
      <c r="F1181" s="7" t="s">
        <v>360</v>
      </c>
      <c r="G1181" s="8" t="s">
        <v>371</v>
      </c>
      <c r="H1181" s="8" t="s">
        <v>372</v>
      </c>
      <c r="I1181" s="7" t="s">
        <v>17</v>
      </c>
      <c r="J1181" s="15">
        <v>20</v>
      </c>
    </row>
    <row r="1182" spans="1:10" ht="52" x14ac:dyDescent="0.2">
      <c r="A1182" s="7" t="s">
        <v>95</v>
      </c>
      <c r="B1182" s="8" t="s">
        <v>530</v>
      </c>
      <c r="C1182" s="8" t="s">
        <v>796</v>
      </c>
      <c r="D1182" s="6" t="s">
        <v>794</v>
      </c>
      <c r="E1182" s="7" t="s">
        <v>795</v>
      </c>
      <c r="F1182" s="7" t="s">
        <v>533</v>
      </c>
      <c r="G1182" s="8" t="s">
        <v>797</v>
      </c>
      <c r="H1182" s="8" t="s">
        <v>798</v>
      </c>
      <c r="I1182" s="7" t="s">
        <v>17</v>
      </c>
      <c r="J1182" s="15">
        <v>5</v>
      </c>
    </row>
    <row r="1183" spans="1:10" ht="39" x14ac:dyDescent="0.2">
      <c r="A1183" s="7" t="s">
        <v>95</v>
      </c>
      <c r="B1183" s="8" t="s">
        <v>530</v>
      </c>
      <c r="C1183" s="8" t="s">
        <v>796</v>
      </c>
      <c r="D1183" s="6" t="s">
        <v>794</v>
      </c>
      <c r="E1183" s="7" t="s">
        <v>795</v>
      </c>
      <c r="F1183" s="7" t="s">
        <v>533</v>
      </c>
      <c r="G1183" s="8" t="s">
        <v>799</v>
      </c>
      <c r="H1183" s="8" t="s">
        <v>800</v>
      </c>
      <c r="I1183" s="7" t="s">
        <v>17</v>
      </c>
      <c r="J1183" s="15">
        <v>20</v>
      </c>
    </row>
    <row r="1184" spans="1:10" ht="39" x14ac:dyDescent="0.2">
      <c r="A1184" s="7" t="s">
        <v>95</v>
      </c>
      <c r="B1184" s="8" t="s">
        <v>530</v>
      </c>
      <c r="C1184" s="8" t="s">
        <v>796</v>
      </c>
      <c r="D1184" s="6" t="s">
        <v>794</v>
      </c>
      <c r="E1184" s="7" t="s">
        <v>795</v>
      </c>
      <c r="F1184" s="7" t="s">
        <v>533</v>
      </c>
      <c r="G1184" s="8" t="s">
        <v>536</v>
      </c>
      <c r="H1184" s="8" t="s">
        <v>801</v>
      </c>
      <c r="I1184" s="7" t="s">
        <v>25</v>
      </c>
      <c r="J1184" s="15">
        <v>5</v>
      </c>
    </row>
    <row r="1185" spans="1:10" ht="52" x14ac:dyDescent="0.2">
      <c r="A1185" s="7" t="s">
        <v>95</v>
      </c>
      <c r="B1185" s="8" t="s">
        <v>530</v>
      </c>
      <c r="C1185" s="8" t="s">
        <v>796</v>
      </c>
      <c r="D1185" s="6" t="s">
        <v>794</v>
      </c>
      <c r="E1185" s="7" t="s">
        <v>795</v>
      </c>
      <c r="F1185" s="7" t="s">
        <v>533</v>
      </c>
      <c r="G1185" s="8" t="s">
        <v>802</v>
      </c>
      <c r="H1185" s="8" t="s">
        <v>803</v>
      </c>
      <c r="I1185" s="7" t="s">
        <v>25</v>
      </c>
      <c r="J1185" s="15">
        <v>10</v>
      </c>
    </row>
    <row r="1186" spans="1:10" ht="104" x14ac:dyDescent="0.2">
      <c r="A1186" s="7" t="s">
        <v>95</v>
      </c>
      <c r="B1186" s="8" t="s">
        <v>530</v>
      </c>
      <c r="C1186" s="8" t="s">
        <v>796</v>
      </c>
      <c r="D1186" s="6" t="s">
        <v>794</v>
      </c>
      <c r="E1186" s="7" t="s">
        <v>795</v>
      </c>
      <c r="F1186" s="7" t="s">
        <v>533</v>
      </c>
      <c r="G1186" s="8" t="s">
        <v>804</v>
      </c>
      <c r="H1186" s="8" t="s">
        <v>805</v>
      </c>
      <c r="I1186" s="7" t="s">
        <v>25</v>
      </c>
      <c r="J1186" s="15">
        <v>10</v>
      </c>
    </row>
    <row r="1187" spans="1:10" ht="78" x14ac:dyDescent="0.2">
      <c r="A1187" s="7" t="s">
        <v>95</v>
      </c>
      <c r="B1187" s="8" t="s">
        <v>530</v>
      </c>
      <c r="C1187" s="8" t="s">
        <v>796</v>
      </c>
      <c r="D1187" s="6" t="s">
        <v>794</v>
      </c>
      <c r="E1187" s="7" t="s">
        <v>795</v>
      </c>
      <c r="F1187" s="7" t="s">
        <v>533</v>
      </c>
      <c r="G1187" s="8" t="s">
        <v>806</v>
      </c>
      <c r="H1187" s="8" t="s">
        <v>807</v>
      </c>
      <c r="I1187" s="7" t="s">
        <v>25</v>
      </c>
      <c r="J1187" s="15">
        <v>25</v>
      </c>
    </row>
    <row r="1188" spans="1:10" ht="52" x14ac:dyDescent="0.2">
      <c r="A1188" s="7" t="s">
        <v>95</v>
      </c>
      <c r="B1188" s="8" t="s">
        <v>530</v>
      </c>
      <c r="C1188" s="8" t="s">
        <v>796</v>
      </c>
      <c r="D1188" s="6" t="s">
        <v>794</v>
      </c>
      <c r="E1188" s="7" t="s">
        <v>795</v>
      </c>
      <c r="F1188" s="7" t="s">
        <v>533</v>
      </c>
      <c r="G1188" s="8" t="s">
        <v>808</v>
      </c>
      <c r="H1188" s="8" t="s">
        <v>809</v>
      </c>
      <c r="I1188" s="7" t="s">
        <v>17</v>
      </c>
      <c r="J1188" s="15">
        <v>10</v>
      </c>
    </row>
    <row r="1189" spans="1:10" ht="39" x14ac:dyDescent="0.2">
      <c r="A1189" s="7" t="s">
        <v>95</v>
      </c>
      <c r="B1189" s="8" t="s">
        <v>530</v>
      </c>
      <c r="C1189" s="8" t="s">
        <v>796</v>
      </c>
      <c r="D1189" s="6" t="s">
        <v>794</v>
      </c>
      <c r="E1189" s="7" t="s">
        <v>795</v>
      </c>
      <c r="F1189" s="7" t="s">
        <v>533</v>
      </c>
      <c r="G1189" s="8" t="s">
        <v>810</v>
      </c>
      <c r="H1189" s="8" t="s">
        <v>811</v>
      </c>
      <c r="I1189" s="7" t="s">
        <v>17</v>
      </c>
      <c r="J1189" s="15">
        <v>15</v>
      </c>
    </row>
    <row r="1190" spans="1:10" ht="52" x14ac:dyDescent="0.2">
      <c r="A1190" s="7" t="s">
        <v>95</v>
      </c>
      <c r="B1190" s="8" t="s">
        <v>530</v>
      </c>
      <c r="C1190" s="8" t="s">
        <v>1464</v>
      </c>
      <c r="D1190" s="6" t="s">
        <v>1462</v>
      </c>
      <c r="E1190" s="7" t="s">
        <v>1463</v>
      </c>
      <c r="F1190" s="7" t="s">
        <v>533</v>
      </c>
      <c r="G1190" s="8" t="s">
        <v>534</v>
      </c>
      <c r="H1190" s="8" t="s">
        <v>1465</v>
      </c>
      <c r="I1190" s="7" t="s">
        <v>25</v>
      </c>
      <c r="J1190" s="15">
        <v>20</v>
      </c>
    </row>
    <row r="1191" spans="1:10" ht="52" x14ac:dyDescent="0.2">
      <c r="A1191" s="7" t="s">
        <v>95</v>
      </c>
      <c r="B1191" s="8" t="s">
        <v>530</v>
      </c>
      <c r="C1191" s="8" t="s">
        <v>1464</v>
      </c>
      <c r="D1191" s="6" t="s">
        <v>1462</v>
      </c>
      <c r="E1191" s="7" t="s">
        <v>1463</v>
      </c>
      <c r="F1191" s="7" t="s">
        <v>533</v>
      </c>
      <c r="G1191" s="8" t="s">
        <v>540</v>
      </c>
      <c r="H1191" s="8" t="s">
        <v>1466</v>
      </c>
      <c r="I1191" s="7" t="s">
        <v>25</v>
      </c>
      <c r="J1191" s="15">
        <v>20</v>
      </c>
    </row>
    <row r="1192" spans="1:10" ht="39" x14ac:dyDescent="0.2">
      <c r="A1192" s="7" t="s">
        <v>95</v>
      </c>
      <c r="B1192" s="8" t="s">
        <v>530</v>
      </c>
      <c r="C1192" s="8" t="s">
        <v>1464</v>
      </c>
      <c r="D1192" s="6" t="s">
        <v>1462</v>
      </c>
      <c r="E1192" s="7" t="s">
        <v>1463</v>
      </c>
      <c r="F1192" s="7" t="s">
        <v>533</v>
      </c>
      <c r="G1192" s="8" t="s">
        <v>1467</v>
      </c>
      <c r="H1192" s="8" t="s">
        <v>1468</v>
      </c>
      <c r="I1192" s="7" t="s">
        <v>17</v>
      </c>
      <c r="J1192" s="15">
        <v>10</v>
      </c>
    </row>
    <row r="1193" spans="1:10" ht="39" x14ac:dyDescent="0.2">
      <c r="A1193" s="7" t="s">
        <v>95</v>
      </c>
      <c r="B1193" s="8" t="s">
        <v>530</v>
      </c>
      <c r="C1193" s="8" t="s">
        <v>1464</v>
      </c>
      <c r="D1193" s="6" t="s">
        <v>1462</v>
      </c>
      <c r="E1193" s="7" t="s">
        <v>1463</v>
      </c>
      <c r="F1193" s="7" t="s">
        <v>533</v>
      </c>
      <c r="G1193" s="8" t="s">
        <v>1469</v>
      </c>
      <c r="H1193" s="8" t="s">
        <v>1470</v>
      </c>
      <c r="I1193" s="7" t="s">
        <v>17</v>
      </c>
      <c r="J1193" s="15">
        <v>15</v>
      </c>
    </row>
    <row r="1194" spans="1:10" ht="39" x14ac:dyDescent="0.2">
      <c r="A1194" s="7" t="s">
        <v>95</v>
      </c>
      <c r="B1194" s="8" t="s">
        <v>530</v>
      </c>
      <c r="C1194" s="8" t="s">
        <v>1464</v>
      </c>
      <c r="D1194" s="6" t="s">
        <v>1462</v>
      </c>
      <c r="E1194" s="7" t="s">
        <v>1463</v>
      </c>
      <c r="F1194" s="7" t="s">
        <v>533</v>
      </c>
      <c r="G1194" s="8" t="s">
        <v>1471</v>
      </c>
      <c r="H1194" s="8" t="s">
        <v>1472</v>
      </c>
      <c r="I1194" s="7" t="s">
        <v>17</v>
      </c>
      <c r="J1194" s="15">
        <v>15</v>
      </c>
    </row>
    <row r="1195" spans="1:10" ht="39" x14ac:dyDescent="0.2">
      <c r="A1195" s="7" t="s">
        <v>95</v>
      </c>
      <c r="B1195" s="8" t="s">
        <v>530</v>
      </c>
      <c r="C1195" s="8" t="s">
        <v>1464</v>
      </c>
      <c r="D1195" s="6" t="s">
        <v>1462</v>
      </c>
      <c r="E1195" s="7" t="s">
        <v>1463</v>
      </c>
      <c r="F1195" s="7" t="s">
        <v>533</v>
      </c>
      <c r="G1195" s="8" t="s">
        <v>536</v>
      </c>
      <c r="H1195" s="8" t="s">
        <v>1473</v>
      </c>
      <c r="I1195" s="7" t="s">
        <v>25</v>
      </c>
      <c r="J1195" s="15">
        <v>10</v>
      </c>
    </row>
    <row r="1196" spans="1:10" ht="122.5" customHeight="1" x14ac:dyDescent="0.2">
      <c r="A1196" s="7" t="s">
        <v>95</v>
      </c>
      <c r="B1196" s="8" t="s">
        <v>530</v>
      </c>
      <c r="C1196" s="8" t="s">
        <v>1464</v>
      </c>
      <c r="D1196" s="6" t="s">
        <v>1462</v>
      </c>
      <c r="E1196" s="7" t="s">
        <v>1463</v>
      </c>
      <c r="F1196" s="7" t="s">
        <v>533</v>
      </c>
      <c r="G1196" s="8" t="s">
        <v>1474</v>
      </c>
      <c r="H1196" s="8" t="s">
        <v>1475</v>
      </c>
      <c r="I1196" s="7" t="s">
        <v>17</v>
      </c>
      <c r="J1196" s="15">
        <v>10</v>
      </c>
    </row>
    <row r="1197" spans="1:10" ht="63" customHeight="1" x14ac:dyDescent="0.2">
      <c r="A1197" s="7" t="s">
        <v>95</v>
      </c>
      <c r="B1197" s="8" t="s">
        <v>530</v>
      </c>
      <c r="C1197" s="8" t="s">
        <v>2402</v>
      </c>
      <c r="D1197" s="6" t="s">
        <v>2400</v>
      </c>
      <c r="E1197" s="7" t="s">
        <v>2401</v>
      </c>
      <c r="F1197" s="7" t="s">
        <v>98</v>
      </c>
      <c r="G1197" s="8" t="s">
        <v>2403</v>
      </c>
      <c r="H1197" s="8" t="s">
        <v>3407</v>
      </c>
      <c r="I1197" s="7" t="s">
        <v>25</v>
      </c>
      <c r="J1197" s="13">
        <v>35</v>
      </c>
    </row>
    <row r="1198" spans="1:10" ht="52.75" customHeight="1" x14ac:dyDescent="0.2">
      <c r="A1198" s="7" t="s">
        <v>95</v>
      </c>
      <c r="B1198" s="8" t="s">
        <v>530</v>
      </c>
      <c r="C1198" s="8" t="s">
        <v>2402</v>
      </c>
      <c r="D1198" s="6" t="s">
        <v>2400</v>
      </c>
      <c r="E1198" s="7" t="s">
        <v>2401</v>
      </c>
      <c r="F1198" s="7" t="s">
        <v>98</v>
      </c>
      <c r="G1198" s="8" t="s">
        <v>806</v>
      </c>
      <c r="H1198" s="8" t="s">
        <v>3408</v>
      </c>
      <c r="I1198" s="7" t="s">
        <v>25</v>
      </c>
      <c r="J1198" s="13">
        <v>25</v>
      </c>
    </row>
    <row r="1199" spans="1:10" ht="72.5" customHeight="1" x14ac:dyDescent="0.2">
      <c r="A1199" s="7" t="s">
        <v>95</v>
      </c>
      <c r="B1199" s="8" t="s">
        <v>530</v>
      </c>
      <c r="C1199" s="8" t="s">
        <v>2402</v>
      </c>
      <c r="D1199" s="6" t="s">
        <v>2400</v>
      </c>
      <c r="E1199" s="7" t="s">
        <v>2401</v>
      </c>
      <c r="F1199" s="7" t="s">
        <v>98</v>
      </c>
      <c r="G1199" s="8" t="s">
        <v>1612</v>
      </c>
      <c r="H1199" s="8" t="s">
        <v>3409</v>
      </c>
      <c r="I1199" s="7" t="s">
        <v>25</v>
      </c>
      <c r="J1199" s="13">
        <v>10</v>
      </c>
    </row>
    <row r="1200" spans="1:10" ht="100.75" customHeight="1" x14ac:dyDescent="0.2">
      <c r="A1200" s="7" t="s">
        <v>95</v>
      </c>
      <c r="B1200" s="8" t="s">
        <v>530</v>
      </c>
      <c r="C1200" s="8" t="s">
        <v>2402</v>
      </c>
      <c r="D1200" s="6" t="s">
        <v>2400</v>
      </c>
      <c r="E1200" s="7" t="s">
        <v>2401</v>
      </c>
      <c r="F1200" s="7" t="s">
        <v>98</v>
      </c>
      <c r="G1200" s="8" t="s">
        <v>802</v>
      </c>
      <c r="H1200" s="8" t="s">
        <v>3410</v>
      </c>
      <c r="I1200" s="7" t="s">
        <v>25</v>
      </c>
      <c r="J1200" s="13">
        <v>15</v>
      </c>
    </row>
    <row r="1201" spans="1:10" ht="156" x14ac:dyDescent="0.2">
      <c r="A1201" s="7" t="s">
        <v>95</v>
      </c>
      <c r="B1201" s="8" t="s">
        <v>530</v>
      </c>
      <c r="C1201" s="8" t="s">
        <v>2402</v>
      </c>
      <c r="D1201" s="6" t="s">
        <v>2400</v>
      </c>
      <c r="E1201" s="7" t="s">
        <v>2401</v>
      </c>
      <c r="F1201" s="7" t="s">
        <v>98</v>
      </c>
      <c r="G1201" s="8" t="s">
        <v>804</v>
      </c>
      <c r="H1201" s="8" t="s">
        <v>3411</v>
      </c>
      <c r="I1201" s="7" t="s">
        <v>25</v>
      </c>
      <c r="J1201" s="13">
        <v>15</v>
      </c>
    </row>
    <row r="1202" spans="1:10" ht="104" x14ac:dyDescent="0.2">
      <c r="A1202" s="7" t="s">
        <v>95</v>
      </c>
      <c r="B1202" s="8" t="s">
        <v>530</v>
      </c>
      <c r="C1202" s="8" t="s">
        <v>1733</v>
      </c>
      <c r="D1202" s="6" t="s">
        <v>1731</v>
      </c>
      <c r="E1202" s="7" t="s">
        <v>1732</v>
      </c>
      <c r="F1202" s="7" t="s">
        <v>533</v>
      </c>
      <c r="G1202" s="8" t="s">
        <v>534</v>
      </c>
      <c r="H1202" s="8" t="s">
        <v>3405</v>
      </c>
      <c r="I1202" s="7" t="s">
        <v>25</v>
      </c>
      <c r="J1202" s="15">
        <v>20</v>
      </c>
    </row>
    <row r="1203" spans="1:10" ht="91" x14ac:dyDescent="0.2">
      <c r="A1203" s="7" t="s">
        <v>95</v>
      </c>
      <c r="B1203" s="8" t="s">
        <v>530</v>
      </c>
      <c r="C1203" s="8" t="s">
        <v>1733</v>
      </c>
      <c r="D1203" s="6" t="s">
        <v>1731</v>
      </c>
      <c r="E1203" s="7" t="s">
        <v>1732</v>
      </c>
      <c r="F1203" s="7" t="s">
        <v>533</v>
      </c>
      <c r="G1203" s="8" t="s">
        <v>1734</v>
      </c>
      <c r="H1203" s="8" t="s">
        <v>3406</v>
      </c>
      <c r="I1203" s="7" t="s">
        <v>17</v>
      </c>
      <c r="J1203" s="15">
        <v>10</v>
      </c>
    </row>
    <row r="1204" spans="1:10" ht="91" x14ac:dyDescent="0.2">
      <c r="A1204" s="7" t="s">
        <v>95</v>
      </c>
      <c r="B1204" s="8" t="s">
        <v>530</v>
      </c>
      <c r="C1204" s="8" t="s">
        <v>1733</v>
      </c>
      <c r="D1204" s="6" t="s">
        <v>1731</v>
      </c>
      <c r="E1204" s="7" t="s">
        <v>1732</v>
      </c>
      <c r="F1204" s="7" t="s">
        <v>533</v>
      </c>
      <c r="G1204" s="8" t="s">
        <v>1735</v>
      </c>
      <c r="H1204" s="8" t="s">
        <v>1736</v>
      </c>
      <c r="I1204" s="7" t="s">
        <v>17</v>
      </c>
      <c r="J1204" s="15">
        <v>10</v>
      </c>
    </row>
    <row r="1205" spans="1:10" ht="78" x14ac:dyDescent="0.2">
      <c r="A1205" s="7" t="s">
        <v>95</v>
      </c>
      <c r="B1205" s="8" t="s">
        <v>530</v>
      </c>
      <c r="C1205" s="8" t="s">
        <v>1733</v>
      </c>
      <c r="D1205" s="6" t="s">
        <v>1731</v>
      </c>
      <c r="E1205" s="7" t="s">
        <v>1732</v>
      </c>
      <c r="F1205" s="7" t="s">
        <v>533</v>
      </c>
      <c r="G1205" s="8" t="s">
        <v>1737</v>
      </c>
      <c r="H1205" s="8" t="s">
        <v>1738</v>
      </c>
      <c r="I1205" s="7" t="s">
        <v>17</v>
      </c>
      <c r="J1205" s="15">
        <v>10</v>
      </c>
    </row>
    <row r="1206" spans="1:10" ht="52" x14ac:dyDescent="0.2">
      <c r="A1206" s="7" t="s">
        <v>95</v>
      </c>
      <c r="B1206" s="8" t="s">
        <v>530</v>
      </c>
      <c r="C1206" s="8" t="s">
        <v>1733</v>
      </c>
      <c r="D1206" s="6" t="s">
        <v>1731</v>
      </c>
      <c r="E1206" s="7" t="s">
        <v>1732</v>
      </c>
      <c r="F1206" s="7" t="s">
        <v>533</v>
      </c>
      <c r="G1206" s="8" t="s">
        <v>540</v>
      </c>
      <c r="H1206" s="8" t="s">
        <v>1739</v>
      </c>
      <c r="I1206" s="7" t="s">
        <v>25</v>
      </c>
      <c r="J1206" s="15">
        <v>20</v>
      </c>
    </row>
    <row r="1207" spans="1:10" ht="39" x14ac:dyDescent="0.2">
      <c r="A1207" s="7" t="s">
        <v>95</v>
      </c>
      <c r="B1207" s="8" t="s">
        <v>530</v>
      </c>
      <c r="C1207" s="8" t="s">
        <v>1733</v>
      </c>
      <c r="D1207" s="6" t="s">
        <v>1731</v>
      </c>
      <c r="E1207" s="7" t="s">
        <v>1732</v>
      </c>
      <c r="F1207" s="7" t="s">
        <v>533</v>
      </c>
      <c r="G1207" s="8" t="s">
        <v>536</v>
      </c>
      <c r="H1207" s="8" t="s">
        <v>1740</v>
      </c>
      <c r="I1207" s="7" t="s">
        <v>25</v>
      </c>
      <c r="J1207" s="15">
        <v>10</v>
      </c>
    </row>
    <row r="1208" spans="1:10" ht="65" x14ac:dyDescent="0.2">
      <c r="A1208" s="7" t="s">
        <v>95</v>
      </c>
      <c r="B1208" s="8" t="s">
        <v>530</v>
      </c>
      <c r="C1208" s="8" t="s">
        <v>1733</v>
      </c>
      <c r="D1208" s="6" t="s">
        <v>1731</v>
      </c>
      <c r="E1208" s="7" t="s">
        <v>1732</v>
      </c>
      <c r="F1208" s="7" t="s">
        <v>533</v>
      </c>
      <c r="G1208" s="8" t="s">
        <v>1741</v>
      </c>
      <c r="H1208" s="8" t="s">
        <v>1742</v>
      </c>
      <c r="I1208" s="7" t="s">
        <v>17</v>
      </c>
      <c r="J1208" s="15">
        <v>20</v>
      </c>
    </row>
    <row r="1209" spans="1:10" ht="144.5" customHeight="1" x14ac:dyDescent="0.2">
      <c r="A1209" s="7" t="s">
        <v>95</v>
      </c>
      <c r="B1209" s="8" t="s">
        <v>530</v>
      </c>
      <c r="C1209" s="8" t="s">
        <v>531</v>
      </c>
      <c r="D1209" s="6" t="s">
        <v>528</v>
      </c>
      <c r="E1209" s="7" t="s">
        <v>529</v>
      </c>
      <c r="F1209" s="7" t="s">
        <v>533</v>
      </c>
      <c r="G1209" s="8" t="s">
        <v>534</v>
      </c>
      <c r="H1209" s="8" t="s">
        <v>535</v>
      </c>
      <c r="I1209" s="7" t="s">
        <v>25</v>
      </c>
      <c r="J1209" s="15">
        <v>20</v>
      </c>
    </row>
    <row r="1210" spans="1:10" ht="166.75" customHeight="1" x14ac:dyDescent="0.2">
      <c r="A1210" s="7" t="s">
        <v>95</v>
      </c>
      <c r="B1210" s="8" t="s">
        <v>530</v>
      </c>
      <c r="C1210" s="8" t="s">
        <v>531</v>
      </c>
      <c r="D1210" s="6" t="s">
        <v>528</v>
      </c>
      <c r="E1210" s="7" t="s">
        <v>529</v>
      </c>
      <c r="F1210" s="7" t="s">
        <v>533</v>
      </c>
      <c r="G1210" s="8" t="s">
        <v>536</v>
      </c>
      <c r="H1210" s="8" t="s">
        <v>537</v>
      </c>
      <c r="I1210" s="7" t="s">
        <v>25</v>
      </c>
      <c r="J1210" s="15">
        <v>10</v>
      </c>
    </row>
    <row r="1211" spans="1:10" ht="180" customHeight="1" x14ac:dyDescent="0.2">
      <c r="A1211" s="7" t="s">
        <v>95</v>
      </c>
      <c r="B1211" s="8" t="s">
        <v>530</v>
      </c>
      <c r="C1211" s="8" t="s">
        <v>531</v>
      </c>
      <c r="D1211" s="6" t="s">
        <v>528</v>
      </c>
      <c r="E1211" s="7" t="s">
        <v>529</v>
      </c>
      <c r="F1211" s="7" t="s">
        <v>533</v>
      </c>
      <c r="G1211" s="8" t="s">
        <v>538</v>
      </c>
      <c r="H1211" s="8" t="s">
        <v>539</v>
      </c>
      <c r="I1211" s="7" t="s">
        <v>17</v>
      </c>
      <c r="J1211" s="15">
        <v>5</v>
      </c>
    </row>
    <row r="1212" spans="1:10" ht="204" customHeight="1" x14ac:dyDescent="0.2">
      <c r="A1212" s="7" t="s">
        <v>95</v>
      </c>
      <c r="B1212" s="8" t="s">
        <v>530</v>
      </c>
      <c r="C1212" s="8" t="s">
        <v>531</v>
      </c>
      <c r="D1212" s="6" t="s">
        <v>528</v>
      </c>
      <c r="E1212" s="7" t="s">
        <v>529</v>
      </c>
      <c r="F1212" s="7" t="s">
        <v>533</v>
      </c>
      <c r="G1212" s="8" t="s">
        <v>540</v>
      </c>
      <c r="H1212" s="8" t="s">
        <v>541</v>
      </c>
      <c r="I1212" s="7" t="s">
        <v>25</v>
      </c>
      <c r="J1212" s="15">
        <v>20</v>
      </c>
    </row>
    <row r="1213" spans="1:10" ht="189.5" customHeight="1" x14ac:dyDescent="0.2">
      <c r="A1213" s="7" t="s">
        <v>95</v>
      </c>
      <c r="B1213" s="8" t="s">
        <v>530</v>
      </c>
      <c r="C1213" s="8" t="s">
        <v>531</v>
      </c>
      <c r="D1213" s="6" t="s">
        <v>528</v>
      </c>
      <c r="E1213" s="7" t="s">
        <v>529</v>
      </c>
      <c r="F1213" s="7" t="s">
        <v>533</v>
      </c>
      <c r="G1213" s="8" t="s">
        <v>542</v>
      </c>
      <c r="H1213" s="8" t="s">
        <v>543</v>
      </c>
      <c r="I1213" s="7" t="s">
        <v>17</v>
      </c>
      <c r="J1213" s="15">
        <v>15</v>
      </c>
    </row>
    <row r="1214" spans="1:10" ht="174" customHeight="1" x14ac:dyDescent="0.2">
      <c r="A1214" s="7" t="s">
        <v>95</v>
      </c>
      <c r="B1214" s="8" t="s">
        <v>530</v>
      </c>
      <c r="C1214" s="8" t="s">
        <v>531</v>
      </c>
      <c r="D1214" s="6" t="s">
        <v>528</v>
      </c>
      <c r="E1214" s="7" t="s">
        <v>529</v>
      </c>
      <c r="F1214" s="7" t="s">
        <v>533</v>
      </c>
      <c r="G1214" s="8" t="s">
        <v>544</v>
      </c>
      <c r="H1214" s="8" t="s">
        <v>545</v>
      </c>
      <c r="I1214" s="7" t="s">
        <v>17</v>
      </c>
      <c r="J1214" s="15">
        <v>20</v>
      </c>
    </row>
    <row r="1215" spans="1:10" ht="170.5" customHeight="1" x14ac:dyDescent="0.2">
      <c r="A1215" s="7" t="s">
        <v>95</v>
      </c>
      <c r="B1215" s="8" t="s">
        <v>530</v>
      </c>
      <c r="C1215" s="8" t="s">
        <v>531</v>
      </c>
      <c r="D1215" s="6" t="s">
        <v>528</v>
      </c>
      <c r="E1215" s="7" t="s">
        <v>529</v>
      </c>
      <c r="F1215" s="7" t="s">
        <v>533</v>
      </c>
      <c r="G1215" s="8" t="s">
        <v>546</v>
      </c>
      <c r="H1215" s="8" t="s">
        <v>547</v>
      </c>
      <c r="I1215" s="7" t="s">
        <v>17</v>
      </c>
      <c r="J1215" s="15">
        <v>10</v>
      </c>
    </row>
    <row r="1216" spans="1:10" ht="149.5" customHeight="1" x14ac:dyDescent="0.2">
      <c r="A1216" s="7" t="s">
        <v>95</v>
      </c>
      <c r="B1216" s="8" t="s">
        <v>530</v>
      </c>
      <c r="C1216" s="8" t="s">
        <v>2158</v>
      </c>
      <c r="D1216" s="6" t="s">
        <v>2156</v>
      </c>
      <c r="E1216" s="7" t="s">
        <v>2157</v>
      </c>
      <c r="F1216" s="7" t="s">
        <v>533</v>
      </c>
      <c r="G1216" s="8" t="s">
        <v>1617</v>
      </c>
      <c r="H1216" s="8" t="s">
        <v>2159</v>
      </c>
      <c r="I1216" s="7" t="s">
        <v>17</v>
      </c>
      <c r="J1216" s="15">
        <v>15</v>
      </c>
    </row>
    <row r="1217" spans="1:10" ht="150" customHeight="1" x14ac:dyDescent="0.2">
      <c r="A1217" s="7" t="s">
        <v>95</v>
      </c>
      <c r="B1217" s="8" t="s">
        <v>530</v>
      </c>
      <c r="C1217" s="8" t="s">
        <v>2158</v>
      </c>
      <c r="D1217" s="6" t="s">
        <v>2156</v>
      </c>
      <c r="E1217" s="7" t="s">
        <v>2157</v>
      </c>
      <c r="F1217" s="7" t="s">
        <v>533</v>
      </c>
      <c r="G1217" s="8" t="s">
        <v>534</v>
      </c>
      <c r="H1217" s="8" t="s">
        <v>2160</v>
      </c>
      <c r="I1217" s="7" t="s">
        <v>25</v>
      </c>
      <c r="J1217" s="15">
        <v>20</v>
      </c>
    </row>
    <row r="1218" spans="1:10" ht="52" x14ac:dyDescent="0.2">
      <c r="A1218" s="7" t="s">
        <v>95</v>
      </c>
      <c r="B1218" s="8" t="s">
        <v>530</v>
      </c>
      <c r="C1218" s="8" t="s">
        <v>2158</v>
      </c>
      <c r="D1218" s="6" t="s">
        <v>2156</v>
      </c>
      <c r="E1218" s="7" t="s">
        <v>2157</v>
      </c>
      <c r="F1218" s="7" t="s">
        <v>533</v>
      </c>
      <c r="G1218" s="8" t="s">
        <v>540</v>
      </c>
      <c r="H1218" s="8" t="s">
        <v>2161</v>
      </c>
      <c r="I1218" s="7" t="s">
        <v>25</v>
      </c>
      <c r="J1218" s="15">
        <v>20</v>
      </c>
    </row>
    <row r="1219" spans="1:10" ht="52" x14ac:dyDescent="0.2">
      <c r="A1219" s="7" t="s">
        <v>95</v>
      </c>
      <c r="B1219" s="8" t="s">
        <v>530</v>
      </c>
      <c r="C1219" s="8" t="s">
        <v>2158</v>
      </c>
      <c r="D1219" s="6" t="s">
        <v>2156</v>
      </c>
      <c r="E1219" s="7" t="s">
        <v>2157</v>
      </c>
      <c r="F1219" s="7" t="s">
        <v>533</v>
      </c>
      <c r="G1219" s="8" t="s">
        <v>2162</v>
      </c>
      <c r="H1219" s="8" t="s">
        <v>2163</v>
      </c>
      <c r="I1219" s="7" t="s">
        <v>17</v>
      </c>
      <c r="J1219" s="15">
        <v>10</v>
      </c>
    </row>
    <row r="1220" spans="1:10" ht="39" x14ac:dyDescent="0.2">
      <c r="A1220" s="7" t="s">
        <v>95</v>
      </c>
      <c r="B1220" s="8" t="s">
        <v>530</v>
      </c>
      <c r="C1220" s="8" t="s">
        <v>2158</v>
      </c>
      <c r="D1220" s="6" t="s">
        <v>2156</v>
      </c>
      <c r="E1220" s="7" t="s">
        <v>2157</v>
      </c>
      <c r="F1220" s="7" t="s">
        <v>533</v>
      </c>
      <c r="G1220" s="8" t="s">
        <v>536</v>
      </c>
      <c r="H1220" s="8" t="s">
        <v>2164</v>
      </c>
      <c r="I1220" s="7" t="s">
        <v>25</v>
      </c>
      <c r="J1220" s="15">
        <v>10</v>
      </c>
    </row>
    <row r="1221" spans="1:10" ht="78" x14ac:dyDescent="0.2">
      <c r="A1221" s="7" t="s">
        <v>95</v>
      </c>
      <c r="B1221" s="8" t="s">
        <v>530</v>
      </c>
      <c r="C1221" s="8" t="s">
        <v>2158</v>
      </c>
      <c r="D1221" s="6" t="s">
        <v>2156</v>
      </c>
      <c r="E1221" s="7" t="s">
        <v>2157</v>
      </c>
      <c r="F1221" s="7" t="s">
        <v>533</v>
      </c>
      <c r="G1221" s="8" t="s">
        <v>2165</v>
      </c>
      <c r="H1221" s="8" t="s">
        <v>2166</v>
      </c>
      <c r="I1221" s="7" t="s">
        <v>17</v>
      </c>
      <c r="J1221" s="15">
        <v>5</v>
      </c>
    </row>
    <row r="1222" spans="1:10" ht="52" x14ac:dyDescent="0.2">
      <c r="A1222" s="7" t="s">
        <v>95</v>
      </c>
      <c r="B1222" s="8" t="s">
        <v>530</v>
      </c>
      <c r="C1222" s="8" t="s">
        <v>2158</v>
      </c>
      <c r="D1222" s="6" t="s">
        <v>2156</v>
      </c>
      <c r="E1222" s="7" t="s">
        <v>2157</v>
      </c>
      <c r="F1222" s="7" t="s">
        <v>533</v>
      </c>
      <c r="G1222" s="8" t="s">
        <v>2167</v>
      </c>
      <c r="H1222" s="8" t="s">
        <v>2168</v>
      </c>
      <c r="I1222" s="7" t="s">
        <v>17</v>
      </c>
      <c r="J1222" s="15">
        <v>20</v>
      </c>
    </row>
    <row r="1223" spans="1:10" ht="65" x14ac:dyDescent="0.2">
      <c r="A1223" s="7" t="s">
        <v>95</v>
      </c>
      <c r="B1223" s="8" t="s">
        <v>530</v>
      </c>
      <c r="C1223" s="8" t="s">
        <v>1609</v>
      </c>
      <c r="D1223" s="6" t="s">
        <v>532</v>
      </c>
      <c r="E1223" s="7" t="s">
        <v>533</v>
      </c>
      <c r="F1223" s="7" t="s">
        <v>98</v>
      </c>
      <c r="G1223" s="8" t="s">
        <v>534</v>
      </c>
      <c r="H1223" s="8" t="s">
        <v>1610</v>
      </c>
      <c r="I1223" s="7" t="s">
        <v>25</v>
      </c>
      <c r="J1223" s="15">
        <v>20</v>
      </c>
    </row>
    <row r="1224" spans="1:10" ht="39" x14ac:dyDescent="0.2">
      <c r="A1224" s="7" t="s">
        <v>95</v>
      </c>
      <c r="B1224" s="8" t="s">
        <v>530</v>
      </c>
      <c r="C1224" s="8" t="s">
        <v>1609</v>
      </c>
      <c r="D1224" s="6" t="s">
        <v>532</v>
      </c>
      <c r="E1224" s="7" t="s">
        <v>533</v>
      </c>
      <c r="F1224" s="7" t="s">
        <v>98</v>
      </c>
      <c r="G1224" s="8" t="s">
        <v>536</v>
      </c>
      <c r="H1224" s="8" t="s">
        <v>1611</v>
      </c>
      <c r="I1224" s="7" t="s">
        <v>25</v>
      </c>
      <c r="J1224" s="15">
        <v>10</v>
      </c>
    </row>
    <row r="1225" spans="1:10" ht="52" x14ac:dyDescent="0.2">
      <c r="A1225" s="7" t="s">
        <v>95</v>
      </c>
      <c r="B1225" s="8" t="s">
        <v>530</v>
      </c>
      <c r="C1225" s="8" t="s">
        <v>1609</v>
      </c>
      <c r="D1225" s="6" t="s">
        <v>532</v>
      </c>
      <c r="E1225" s="7" t="s">
        <v>533</v>
      </c>
      <c r="F1225" s="7" t="s">
        <v>98</v>
      </c>
      <c r="G1225" s="8" t="s">
        <v>1612</v>
      </c>
      <c r="H1225" s="8" t="s">
        <v>1613</v>
      </c>
      <c r="I1225" s="7" t="s">
        <v>25</v>
      </c>
      <c r="J1225" s="15">
        <v>20</v>
      </c>
    </row>
    <row r="1226" spans="1:10" ht="52" x14ac:dyDescent="0.2">
      <c r="A1226" s="7" t="s">
        <v>95</v>
      </c>
      <c r="B1226" s="8" t="s">
        <v>530</v>
      </c>
      <c r="C1226" s="8" t="s">
        <v>1609</v>
      </c>
      <c r="D1226" s="6" t="s">
        <v>532</v>
      </c>
      <c r="E1226" s="7" t="s">
        <v>533</v>
      </c>
      <c r="F1226" s="7" t="s">
        <v>98</v>
      </c>
      <c r="G1226" s="8" t="s">
        <v>544</v>
      </c>
      <c r="H1226" s="8" t="s">
        <v>1614</v>
      </c>
      <c r="I1226" s="7" t="s">
        <v>17</v>
      </c>
      <c r="J1226" s="15">
        <v>20</v>
      </c>
    </row>
    <row r="1227" spans="1:10" ht="65" x14ac:dyDescent="0.2">
      <c r="A1227" s="7" t="s">
        <v>95</v>
      </c>
      <c r="B1227" s="8" t="s">
        <v>530</v>
      </c>
      <c r="C1227" s="8" t="s">
        <v>1609</v>
      </c>
      <c r="D1227" s="6" t="s">
        <v>532</v>
      </c>
      <c r="E1227" s="7" t="s">
        <v>533</v>
      </c>
      <c r="F1227" s="7" t="s">
        <v>98</v>
      </c>
      <c r="G1227" s="8" t="s">
        <v>546</v>
      </c>
      <c r="H1227" s="8" t="s">
        <v>1615</v>
      </c>
      <c r="I1227" s="7" t="s">
        <v>17</v>
      </c>
      <c r="J1227" s="15">
        <v>15</v>
      </c>
    </row>
    <row r="1228" spans="1:10" ht="39" x14ac:dyDescent="0.2">
      <c r="A1228" s="7" t="s">
        <v>95</v>
      </c>
      <c r="B1228" s="8" t="s">
        <v>530</v>
      </c>
      <c r="C1228" s="8" t="s">
        <v>1609</v>
      </c>
      <c r="D1228" s="6" t="s">
        <v>532</v>
      </c>
      <c r="E1228" s="7" t="s">
        <v>533</v>
      </c>
      <c r="F1228" s="7" t="s">
        <v>98</v>
      </c>
      <c r="G1228" s="8" t="s">
        <v>1471</v>
      </c>
      <c r="H1228" s="8" t="s">
        <v>1616</v>
      </c>
      <c r="I1228" s="7" t="s">
        <v>17</v>
      </c>
      <c r="J1228" s="15">
        <v>5</v>
      </c>
    </row>
    <row r="1229" spans="1:10" ht="52" x14ac:dyDescent="0.2">
      <c r="A1229" s="7" t="s">
        <v>95</v>
      </c>
      <c r="B1229" s="8" t="s">
        <v>530</v>
      </c>
      <c r="C1229" s="8" t="s">
        <v>1609</v>
      </c>
      <c r="D1229" s="6" t="s">
        <v>532</v>
      </c>
      <c r="E1229" s="7" t="s">
        <v>533</v>
      </c>
      <c r="F1229" s="7" t="s">
        <v>98</v>
      </c>
      <c r="G1229" s="8" t="s">
        <v>1617</v>
      </c>
      <c r="H1229" s="8" t="s">
        <v>1618</v>
      </c>
      <c r="I1229" s="7" t="s">
        <v>17</v>
      </c>
      <c r="J1229" s="15">
        <v>10</v>
      </c>
    </row>
    <row r="1230" spans="1:10" ht="39" x14ac:dyDescent="0.2">
      <c r="A1230" s="7" t="s">
        <v>95</v>
      </c>
      <c r="B1230" s="8" t="s">
        <v>530</v>
      </c>
      <c r="C1230" s="8" t="s">
        <v>2523</v>
      </c>
      <c r="D1230" s="6" t="s">
        <v>2521</v>
      </c>
      <c r="E1230" s="7" t="s">
        <v>2522</v>
      </c>
      <c r="F1230" s="7" t="s">
        <v>533</v>
      </c>
      <c r="G1230" s="8" t="s">
        <v>2524</v>
      </c>
      <c r="H1230" s="8" t="s">
        <v>2525</v>
      </c>
      <c r="I1230" s="7" t="s">
        <v>17</v>
      </c>
      <c r="J1230" s="15">
        <v>10</v>
      </c>
    </row>
    <row r="1231" spans="1:10" ht="52" x14ac:dyDescent="0.2">
      <c r="A1231" s="7" t="s">
        <v>95</v>
      </c>
      <c r="B1231" s="8" t="s">
        <v>530</v>
      </c>
      <c r="C1231" s="8" t="s">
        <v>2523</v>
      </c>
      <c r="D1231" s="6" t="s">
        <v>2521</v>
      </c>
      <c r="E1231" s="7" t="s">
        <v>2522</v>
      </c>
      <c r="F1231" s="7" t="s">
        <v>533</v>
      </c>
      <c r="G1231" s="8" t="s">
        <v>540</v>
      </c>
      <c r="H1231" s="8" t="s">
        <v>2526</v>
      </c>
      <c r="I1231" s="7" t="s">
        <v>25</v>
      </c>
      <c r="J1231" s="15">
        <v>20</v>
      </c>
    </row>
    <row r="1232" spans="1:10" ht="52" x14ac:dyDescent="0.2">
      <c r="A1232" s="7" t="s">
        <v>95</v>
      </c>
      <c r="B1232" s="8" t="s">
        <v>530</v>
      </c>
      <c r="C1232" s="8" t="s">
        <v>2523</v>
      </c>
      <c r="D1232" s="6" t="s">
        <v>2521</v>
      </c>
      <c r="E1232" s="7" t="s">
        <v>2522</v>
      </c>
      <c r="F1232" s="7" t="s">
        <v>533</v>
      </c>
      <c r="G1232" s="8" t="s">
        <v>2527</v>
      </c>
      <c r="H1232" s="8" t="s">
        <v>2528</v>
      </c>
      <c r="I1232" s="7" t="s">
        <v>17</v>
      </c>
      <c r="J1232" s="15">
        <v>5</v>
      </c>
    </row>
    <row r="1233" spans="1:10" ht="52" x14ac:dyDescent="0.2">
      <c r="A1233" s="7" t="s">
        <v>95</v>
      </c>
      <c r="B1233" s="8" t="s">
        <v>530</v>
      </c>
      <c r="C1233" s="8" t="s">
        <v>2523</v>
      </c>
      <c r="D1233" s="6" t="s">
        <v>2521</v>
      </c>
      <c r="E1233" s="7" t="s">
        <v>2522</v>
      </c>
      <c r="F1233" s="7" t="s">
        <v>533</v>
      </c>
      <c r="G1233" s="8" t="s">
        <v>2529</v>
      </c>
      <c r="H1233" s="8" t="s">
        <v>2530</v>
      </c>
      <c r="I1233" s="7" t="s">
        <v>17</v>
      </c>
      <c r="J1233" s="15">
        <v>15</v>
      </c>
    </row>
    <row r="1234" spans="1:10" ht="39" x14ac:dyDescent="0.2">
      <c r="A1234" s="7" t="s">
        <v>95</v>
      </c>
      <c r="B1234" s="8" t="s">
        <v>530</v>
      </c>
      <c r="C1234" s="8" t="s">
        <v>2523</v>
      </c>
      <c r="D1234" s="6" t="s">
        <v>2521</v>
      </c>
      <c r="E1234" s="7" t="s">
        <v>2522</v>
      </c>
      <c r="F1234" s="7" t="s">
        <v>533</v>
      </c>
      <c r="G1234" s="8" t="s">
        <v>536</v>
      </c>
      <c r="H1234" s="8" t="s">
        <v>2531</v>
      </c>
      <c r="I1234" s="7" t="s">
        <v>25</v>
      </c>
      <c r="J1234" s="15">
        <v>10</v>
      </c>
    </row>
    <row r="1235" spans="1:10" ht="65" x14ac:dyDescent="0.2">
      <c r="A1235" s="7" t="s">
        <v>95</v>
      </c>
      <c r="B1235" s="8" t="s">
        <v>530</v>
      </c>
      <c r="C1235" s="8" t="s">
        <v>2523</v>
      </c>
      <c r="D1235" s="6" t="s">
        <v>2521</v>
      </c>
      <c r="E1235" s="7" t="s">
        <v>2522</v>
      </c>
      <c r="F1235" s="7" t="s">
        <v>533</v>
      </c>
      <c r="G1235" s="8" t="s">
        <v>2532</v>
      </c>
      <c r="H1235" s="8" t="s">
        <v>2533</v>
      </c>
      <c r="I1235" s="7" t="s">
        <v>17</v>
      </c>
      <c r="J1235" s="15">
        <v>20</v>
      </c>
    </row>
    <row r="1236" spans="1:10" ht="52" x14ac:dyDescent="0.2">
      <c r="A1236" s="7" t="s">
        <v>95</v>
      </c>
      <c r="B1236" s="8" t="s">
        <v>530</v>
      </c>
      <c r="C1236" s="8" t="s">
        <v>2523</v>
      </c>
      <c r="D1236" s="6" t="s">
        <v>2521</v>
      </c>
      <c r="E1236" s="7" t="s">
        <v>2522</v>
      </c>
      <c r="F1236" s="7" t="s">
        <v>533</v>
      </c>
      <c r="G1236" s="8" t="s">
        <v>534</v>
      </c>
      <c r="H1236" s="8" t="s">
        <v>2534</v>
      </c>
      <c r="I1236" s="7" t="s">
        <v>25</v>
      </c>
      <c r="J1236" s="15">
        <v>20</v>
      </c>
    </row>
    <row r="1237" spans="1:10" ht="78" x14ac:dyDescent="0.2">
      <c r="A1237" s="7" t="s">
        <v>95</v>
      </c>
      <c r="B1237" s="8" t="s">
        <v>530</v>
      </c>
      <c r="C1237" s="8" t="s">
        <v>1955</v>
      </c>
      <c r="D1237" s="6" t="s">
        <v>1953</v>
      </c>
      <c r="E1237" s="7" t="s">
        <v>1954</v>
      </c>
      <c r="F1237" s="7" t="s">
        <v>533</v>
      </c>
      <c r="G1237" s="8" t="s">
        <v>1956</v>
      </c>
      <c r="H1237" s="8" t="s">
        <v>1957</v>
      </c>
      <c r="I1237" s="7" t="s">
        <v>17</v>
      </c>
      <c r="J1237" s="15">
        <v>15</v>
      </c>
    </row>
    <row r="1238" spans="1:10" ht="156" x14ac:dyDescent="0.2">
      <c r="A1238" s="7" t="s">
        <v>95</v>
      </c>
      <c r="B1238" s="8" t="s">
        <v>530</v>
      </c>
      <c r="C1238" s="8" t="s">
        <v>1955</v>
      </c>
      <c r="D1238" s="6" t="s">
        <v>1953</v>
      </c>
      <c r="E1238" s="7" t="s">
        <v>1954</v>
      </c>
      <c r="F1238" s="7" t="s">
        <v>533</v>
      </c>
      <c r="G1238" s="8" t="s">
        <v>1958</v>
      </c>
      <c r="H1238" s="8" t="s">
        <v>1959</v>
      </c>
      <c r="I1238" s="7" t="s">
        <v>17</v>
      </c>
      <c r="J1238" s="15">
        <v>20</v>
      </c>
    </row>
    <row r="1239" spans="1:10" ht="52" x14ac:dyDescent="0.2">
      <c r="A1239" s="7" t="s">
        <v>95</v>
      </c>
      <c r="B1239" s="8" t="s">
        <v>530</v>
      </c>
      <c r="C1239" s="8" t="s">
        <v>1955</v>
      </c>
      <c r="D1239" s="6" t="s">
        <v>1953</v>
      </c>
      <c r="E1239" s="7" t="s">
        <v>1954</v>
      </c>
      <c r="F1239" s="7" t="s">
        <v>533</v>
      </c>
      <c r="G1239" s="8" t="s">
        <v>1960</v>
      </c>
      <c r="H1239" s="8" t="s">
        <v>1961</v>
      </c>
      <c r="I1239" s="7" t="s">
        <v>17</v>
      </c>
      <c r="J1239" s="15">
        <v>15</v>
      </c>
    </row>
    <row r="1240" spans="1:10" ht="78" x14ac:dyDescent="0.2">
      <c r="A1240" s="7" t="s">
        <v>95</v>
      </c>
      <c r="B1240" s="8" t="s">
        <v>530</v>
      </c>
      <c r="C1240" s="8" t="s">
        <v>1955</v>
      </c>
      <c r="D1240" s="6" t="s">
        <v>1953</v>
      </c>
      <c r="E1240" s="7" t="s">
        <v>1954</v>
      </c>
      <c r="F1240" s="7" t="s">
        <v>533</v>
      </c>
      <c r="G1240" s="8" t="s">
        <v>806</v>
      </c>
      <c r="H1240" s="8" t="s">
        <v>1962</v>
      </c>
      <c r="I1240" s="7" t="s">
        <v>25</v>
      </c>
      <c r="J1240" s="15">
        <v>25</v>
      </c>
    </row>
    <row r="1241" spans="1:10" ht="39" x14ac:dyDescent="0.2">
      <c r="A1241" s="7" t="s">
        <v>95</v>
      </c>
      <c r="B1241" s="8" t="s">
        <v>530</v>
      </c>
      <c r="C1241" s="8" t="s">
        <v>1955</v>
      </c>
      <c r="D1241" s="6" t="s">
        <v>1953</v>
      </c>
      <c r="E1241" s="7" t="s">
        <v>1954</v>
      </c>
      <c r="F1241" s="7" t="s">
        <v>533</v>
      </c>
      <c r="G1241" s="8" t="s">
        <v>536</v>
      </c>
      <c r="H1241" s="8" t="s">
        <v>1963</v>
      </c>
      <c r="I1241" s="7" t="s">
        <v>25</v>
      </c>
      <c r="J1241" s="15">
        <v>5</v>
      </c>
    </row>
    <row r="1242" spans="1:10" ht="52" x14ac:dyDescent="0.2">
      <c r="A1242" s="7" t="s">
        <v>95</v>
      </c>
      <c r="B1242" s="8" t="s">
        <v>530</v>
      </c>
      <c r="C1242" s="8" t="s">
        <v>1955</v>
      </c>
      <c r="D1242" s="6" t="s">
        <v>1953</v>
      </c>
      <c r="E1242" s="7" t="s">
        <v>1954</v>
      </c>
      <c r="F1242" s="7" t="s">
        <v>533</v>
      </c>
      <c r="G1242" s="8" t="s">
        <v>802</v>
      </c>
      <c r="H1242" s="8" t="s">
        <v>1964</v>
      </c>
      <c r="I1242" s="7" t="s">
        <v>25</v>
      </c>
      <c r="J1242" s="15">
        <v>10</v>
      </c>
    </row>
    <row r="1243" spans="1:10" ht="91" x14ac:dyDescent="0.2">
      <c r="A1243" s="7" t="s">
        <v>95</v>
      </c>
      <c r="B1243" s="8" t="s">
        <v>530</v>
      </c>
      <c r="C1243" s="8" t="s">
        <v>1955</v>
      </c>
      <c r="D1243" s="6" t="s">
        <v>1953</v>
      </c>
      <c r="E1243" s="7" t="s">
        <v>1954</v>
      </c>
      <c r="F1243" s="7" t="s">
        <v>533</v>
      </c>
      <c r="G1243" s="8" t="s">
        <v>804</v>
      </c>
      <c r="H1243" s="8" t="s">
        <v>1965</v>
      </c>
      <c r="I1243" s="7" t="s">
        <v>25</v>
      </c>
      <c r="J1243" s="15">
        <v>10</v>
      </c>
    </row>
    <row r="1244" spans="1:10" ht="143" x14ac:dyDescent="0.2">
      <c r="A1244" s="7" t="s">
        <v>95</v>
      </c>
      <c r="B1244" s="8" t="s">
        <v>221</v>
      </c>
      <c r="C1244" s="8" t="s">
        <v>2035</v>
      </c>
      <c r="D1244" s="6" t="s">
        <v>2033</v>
      </c>
      <c r="E1244" s="7" t="s">
        <v>2034</v>
      </c>
      <c r="F1244" s="7" t="s">
        <v>224</v>
      </c>
      <c r="G1244" s="8" t="s">
        <v>2036</v>
      </c>
      <c r="H1244" s="8" t="s">
        <v>2037</v>
      </c>
      <c r="I1244" s="7" t="s">
        <v>25</v>
      </c>
      <c r="J1244" s="15">
        <v>25</v>
      </c>
    </row>
    <row r="1245" spans="1:10" ht="117" x14ac:dyDescent="0.2">
      <c r="A1245" s="7" t="s">
        <v>95</v>
      </c>
      <c r="B1245" s="8" t="s">
        <v>221</v>
      </c>
      <c r="C1245" s="8" t="s">
        <v>2035</v>
      </c>
      <c r="D1245" s="6" t="s">
        <v>2033</v>
      </c>
      <c r="E1245" s="7" t="s">
        <v>2034</v>
      </c>
      <c r="F1245" s="7" t="s">
        <v>224</v>
      </c>
      <c r="G1245" s="8" t="s">
        <v>2038</v>
      </c>
      <c r="H1245" s="8" t="s">
        <v>2039</v>
      </c>
      <c r="I1245" s="7" t="s">
        <v>25</v>
      </c>
      <c r="J1245" s="15">
        <v>25</v>
      </c>
    </row>
    <row r="1246" spans="1:10" ht="130" x14ac:dyDescent="0.2">
      <c r="A1246" s="7" t="s">
        <v>95</v>
      </c>
      <c r="B1246" s="8" t="s">
        <v>221</v>
      </c>
      <c r="C1246" s="8" t="s">
        <v>2035</v>
      </c>
      <c r="D1246" s="6" t="s">
        <v>2033</v>
      </c>
      <c r="E1246" s="7" t="s">
        <v>2034</v>
      </c>
      <c r="F1246" s="7" t="s">
        <v>224</v>
      </c>
      <c r="G1246" s="8" t="s">
        <v>2040</v>
      </c>
      <c r="H1246" s="8" t="s">
        <v>2041</v>
      </c>
      <c r="I1246" s="7" t="s">
        <v>17</v>
      </c>
      <c r="J1246" s="15">
        <v>25</v>
      </c>
    </row>
    <row r="1247" spans="1:10" ht="117" x14ac:dyDescent="0.2">
      <c r="A1247" s="7" t="s">
        <v>95</v>
      </c>
      <c r="B1247" s="8" t="s">
        <v>221</v>
      </c>
      <c r="C1247" s="8" t="s">
        <v>2035</v>
      </c>
      <c r="D1247" s="6" t="s">
        <v>2033</v>
      </c>
      <c r="E1247" s="7" t="s">
        <v>2034</v>
      </c>
      <c r="F1247" s="7" t="s">
        <v>224</v>
      </c>
      <c r="G1247" s="8" t="s">
        <v>2042</v>
      </c>
      <c r="H1247" s="8" t="s">
        <v>2043</v>
      </c>
      <c r="I1247" s="7" t="s">
        <v>17</v>
      </c>
      <c r="J1247" s="15">
        <v>25</v>
      </c>
    </row>
    <row r="1248" spans="1:10" ht="91" x14ac:dyDescent="0.2">
      <c r="A1248" s="7" t="s">
        <v>95</v>
      </c>
      <c r="B1248" s="8" t="s">
        <v>221</v>
      </c>
      <c r="C1248" s="8" t="s">
        <v>630</v>
      </c>
      <c r="D1248" s="6" t="s">
        <v>628</v>
      </c>
      <c r="E1248" s="7" t="s">
        <v>629</v>
      </c>
      <c r="F1248" s="7" t="s">
        <v>632</v>
      </c>
      <c r="G1248" s="8" t="s">
        <v>633</v>
      </c>
      <c r="H1248" s="8" t="s">
        <v>634</v>
      </c>
      <c r="I1248" s="7" t="s">
        <v>25</v>
      </c>
      <c r="J1248" s="15">
        <v>10</v>
      </c>
    </row>
    <row r="1249" spans="1:10" ht="65" x14ac:dyDescent="0.2">
      <c r="A1249" s="7" t="s">
        <v>95</v>
      </c>
      <c r="B1249" s="8" t="s">
        <v>221</v>
      </c>
      <c r="C1249" s="8" t="s">
        <v>630</v>
      </c>
      <c r="D1249" s="6" t="s">
        <v>628</v>
      </c>
      <c r="E1249" s="7" t="s">
        <v>629</v>
      </c>
      <c r="F1249" s="7" t="s">
        <v>632</v>
      </c>
      <c r="G1249" s="8" t="s">
        <v>635</v>
      </c>
      <c r="H1249" s="8" t="s">
        <v>636</v>
      </c>
      <c r="I1249" s="7" t="s">
        <v>17</v>
      </c>
      <c r="J1249" s="15">
        <v>15</v>
      </c>
    </row>
    <row r="1250" spans="1:10" ht="104" x14ac:dyDescent="0.2">
      <c r="A1250" s="7" t="s">
        <v>95</v>
      </c>
      <c r="B1250" s="8" t="s">
        <v>221</v>
      </c>
      <c r="C1250" s="8" t="s">
        <v>630</v>
      </c>
      <c r="D1250" s="6" t="s">
        <v>628</v>
      </c>
      <c r="E1250" s="7" t="s">
        <v>629</v>
      </c>
      <c r="F1250" s="7" t="s">
        <v>632</v>
      </c>
      <c r="G1250" s="8" t="s">
        <v>637</v>
      </c>
      <c r="H1250" s="8" t="s">
        <v>638</v>
      </c>
      <c r="I1250" s="7" t="s">
        <v>17</v>
      </c>
      <c r="J1250" s="15">
        <v>20</v>
      </c>
    </row>
    <row r="1251" spans="1:10" ht="104" x14ac:dyDescent="0.2">
      <c r="A1251" s="7" t="s">
        <v>95</v>
      </c>
      <c r="B1251" s="8" t="s">
        <v>221</v>
      </c>
      <c r="C1251" s="8" t="s">
        <v>630</v>
      </c>
      <c r="D1251" s="6" t="s">
        <v>628</v>
      </c>
      <c r="E1251" s="7" t="s">
        <v>629</v>
      </c>
      <c r="F1251" s="7" t="s">
        <v>632</v>
      </c>
      <c r="G1251" s="8" t="s">
        <v>639</v>
      </c>
      <c r="H1251" s="8" t="s">
        <v>640</v>
      </c>
      <c r="I1251" s="7" t="s">
        <v>17</v>
      </c>
      <c r="J1251" s="15">
        <v>35</v>
      </c>
    </row>
    <row r="1252" spans="1:10" ht="104" x14ac:dyDescent="0.2">
      <c r="A1252" s="7" t="s">
        <v>95</v>
      </c>
      <c r="B1252" s="8" t="s">
        <v>221</v>
      </c>
      <c r="C1252" s="8" t="s">
        <v>630</v>
      </c>
      <c r="D1252" s="6" t="s">
        <v>628</v>
      </c>
      <c r="E1252" s="7" t="s">
        <v>629</v>
      </c>
      <c r="F1252" s="7" t="s">
        <v>632</v>
      </c>
      <c r="G1252" s="8" t="s">
        <v>641</v>
      </c>
      <c r="H1252" s="8" t="s">
        <v>642</v>
      </c>
      <c r="I1252" s="7" t="s">
        <v>25</v>
      </c>
      <c r="J1252" s="15">
        <v>10</v>
      </c>
    </row>
    <row r="1253" spans="1:10" ht="104" x14ac:dyDescent="0.2">
      <c r="A1253" s="7" t="s">
        <v>95</v>
      </c>
      <c r="B1253" s="8" t="s">
        <v>221</v>
      </c>
      <c r="C1253" s="8" t="s">
        <v>630</v>
      </c>
      <c r="D1253" s="6" t="s">
        <v>628</v>
      </c>
      <c r="E1253" s="7" t="s">
        <v>629</v>
      </c>
      <c r="F1253" s="7" t="s">
        <v>632</v>
      </c>
      <c r="G1253" s="8" t="s">
        <v>643</v>
      </c>
      <c r="H1253" s="8" t="s">
        <v>644</v>
      </c>
      <c r="I1253" s="7" t="s">
        <v>25</v>
      </c>
      <c r="J1253" s="15">
        <v>10</v>
      </c>
    </row>
    <row r="1254" spans="1:10" ht="80.5" customHeight="1" x14ac:dyDescent="0.2">
      <c r="A1254" s="7" t="s">
        <v>95</v>
      </c>
      <c r="B1254" s="8" t="s">
        <v>221</v>
      </c>
      <c r="C1254" s="8" t="s">
        <v>1814</v>
      </c>
      <c r="D1254" s="6" t="s">
        <v>1812</v>
      </c>
      <c r="E1254" s="7" t="s">
        <v>1813</v>
      </c>
      <c r="F1254" s="7" t="s">
        <v>632</v>
      </c>
      <c r="G1254" s="8" t="s">
        <v>643</v>
      </c>
      <c r="H1254" s="8" t="s">
        <v>1815</v>
      </c>
      <c r="I1254" s="7" t="s">
        <v>25</v>
      </c>
      <c r="J1254" s="15">
        <v>10</v>
      </c>
    </row>
    <row r="1255" spans="1:10" ht="78" x14ac:dyDescent="0.2">
      <c r="A1255" s="7" t="s">
        <v>95</v>
      </c>
      <c r="B1255" s="8" t="s">
        <v>221</v>
      </c>
      <c r="C1255" s="8" t="s">
        <v>1814</v>
      </c>
      <c r="D1255" s="6" t="s">
        <v>1812</v>
      </c>
      <c r="E1255" s="7" t="s">
        <v>1813</v>
      </c>
      <c r="F1255" s="7" t="s">
        <v>632</v>
      </c>
      <c r="G1255" s="8" t="s">
        <v>635</v>
      </c>
      <c r="H1255" s="8" t="s">
        <v>1816</v>
      </c>
      <c r="I1255" s="7" t="s">
        <v>17</v>
      </c>
      <c r="J1255" s="15">
        <v>15</v>
      </c>
    </row>
    <row r="1256" spans="1:10" ht="117" x14ac:dyDescent="0.2">
      <c r="A1256" s="7" t="s">
        <v>95</v>
      </c>
      <c r="B1256" s="8" t="s">
        <v>221</v>
      </c>
      <c r="C1256" s="8" t="s">
        <v>1814</v>
      </c>
      <c r="D1256" s="6" t="s">
        <v>1812</v>
      </c>
      <c r="E1256" s="7" t="s">
        <v>1813</v>
      </c>
      <c r="F1256" s="7" t="s">
        <v>632</v>
      </c>
      <c r="G1256" s="8" t="s">
        <v>637</v>
      </c>
      <c r="H1256" s="8" t="s">
        <v>1817</v>
      </c>
      <c r="I1256" s="7" t="s">
        <v>17</v>
      </c>
      <c r="J1256" s="15">
        <v>20</v>
      </c>
    </row>
    <row r="1257" spans="1:10" ht="104" x14ac:dyDescent="0.2">
      <c r="A1257" s="7" t="s">
        <v>95</v>
      </c>
      <c r="B1257" s="8" t="s">
        <v>221</v>
      </c>
      <c r="C1257" s="8" t="s">
        <v>1814</v>
      </c>
      <c r="D1257" s="6" t="s">
        <v>1812</v>
      </c>
      <c r="E1257" s="7" t="s">
        <v>1813</v>
      </c>
      <c r="F1257" s="7" t="s">
        <v>632</v>
      </c>
      <c r="G1257" s="8" t="s">
        <v>633</v>
      </c>
      <c r="H1257" s="8" t="s">
        <v>1818</v>
      </c>
      <c r="I1257" s="7" t="s">
        <v>17</v>
      </c>
      <c r="J1257" s="15">
        <v>35</v>
      </c>
    </row>
    <row r="1258" spans="1:10" ht="117" x14ac:dyDescent="0.2">
      <c r="A1258" s="7" t="s">
        <v>95</v>
      </c>
      <c r="B1258" s="8" t="s">
        <v>221</v>
      </c>
      <c r="C1258" s="8" t="s">
        <v>1814</v>
      </c>
      <c r="D1258" s="6" t="s">
        <v>1812</v>
      </c>
      <c r="E1258" s="7" t="s">
        <v>1813</v>
      </c>
      <c r="F1258" s="7" t="s">
        <v>632</v>
      </c>
      <c r="G1258" s="8" t="s">
        <v>641</v>
      </c>
      <c r="H1258" s="8" t="s">
        <v>1819</v>
      </c>
      <c r="I1258" s="7" t="s">
        <v>25</v>
      </c>
      <c r="J1258" s="15">
        <v>10</v>
      </c>
    </row>
    <row r="1259" spans="1:10" ht="117" x14ac:dyDescent="0.2">
      <c r="A1259" s="7" t="s">
        <v>95</v>
      </c>
      <c r="B1259" s="8" t="s">
        <v>221</v>
      </c>
      <c r="C1259" s="8" t="s">
        <v>1814</v>
      </c>
      <c r="D1259" s="6" t="s">
        <v>1812</v>
      </c>
      <c r="E1259" s="7" t="s">
        <v>1813</v>
      </c>
      <c r="F1259" s="7" t="s">
        <v>632</v>
      </c>
      <c r="G1259" s="8" t="s">
        <v>639</v>
      </c>
      <c r="H1259" s="8" t="s">
        <v>1820</v>
      </c>
      <c r="I1259" s="7" t="s">
        <v>25</v>
      </c>
      <c r="J1259" s="15">
        <v>10</v>
      </c>
    </row>
    <row r="1260" spans="1:10" ht="143" x14ac:dyDescent="0.2">
      <c r="A1260" s="7" t="s">
        <v>95</v>
      </c>
      <c r="B1260" s="8" t="s">
        <v>221</v>
      </c>
      <c r="C1260" s="8" t="s">
        <v>2711</v>
      </c>
      <c r="D1260" s="6" t="s">
        <v>1165</v>
      </c>
      <c r="E1260" s="7" t="s">
        <v>1166</v>
      </c>
      <c r="F1260" s="7" t="s">
        <v>98</v>
      </c>
      <c r="G1260" s="8" t="s">
        <v>2712</v>
      </c>
      <c r="H1260" s="8" t="s">
        <v>3429</v>
      </c>
      <c r="I1260" s="7" t="s">
        <v>25</v>
      </c>
      <c r="J1260" s="13">
        <v>15</v>
      </c>
    </row>
    <row r="1261" spans="1:10" ht="130" x14ac:dyDescent="0.2">
      <c r="A1261" s="7" t="s">
        <v>95</v>
      </c>
      <c r="B1261" s="8" t="s">
        <v>221</v>
      </c>
      <c r="C1261" s="8" t="s">
        <v>2711</v>
      </c>
      <c r="D1261" s="6" t="s">
        <v>1165</v>
      </c>
      <c r="E1261" s="7" t="s">
        <v>1166</v>
      </c>
      <c r="F1261" s="7" t="s">
        <v>98</v>
      </c>
      <c r="G1261" s="8" t="s">
        <v>643</v>
      </c>
      <c r="H1261" s="8" t="s">
        <v>3430</v>
      </c>
      <c r="I1261" s="7" t="s">
        <v>25</v>
      </c>
      <c r="J1261" s="13">
        <v>15</v>
      </c>
    </row>
    <row r="1262" spans="1:10" ht="143" x14ac:dyDescent="0.2">
      <c r="A1262" s="7" t="s">
        <v>95</v>
      </c>
      <c r="B1262" s="8" t="s">
        <v>221</v>
      </c>
      <c r="C1262" s="8" t="s">
        <v>2711</v>
      </c>
      <c r="D1262" s="6" t="s">
        <v>1165</v>
      </c>
      <c r="E1262" s="7" t="s">
        <v>1166</v>
      </c>
      <c r="F1262" s="7" t="s">
        <v>98</v>
      </c>
      <c r="G1262" s="8" t="s">
        <v>641</v>
      </c>
      <c r="H1262" s="8" t="s">
        <v>3431</v>
      </c>
      <c r="I1262" s="7" t="s">
        <v>25</v>
      </c>
      <c r="J1262" s="13">
        <v>15</v>
      </c>
    </row>
    <row r="1263" spans="1:10" ht="143" x14ac:dyDescent="0.2">
      <c r="A1263" s="7" t="s">
        <v>95</v>
      </c>
      <c r="B1263" s="8" t="s">
        <v>221</v>
      </c>
      <c r="C1263" s="8" t="s">
        <v>2711</v>
      </c>
      <c r="D1263" s="6" t="s">
        <v>1165</v>
      </c>
      <c r="E1263" s="7" t="s">
        <v>1166</v>
      </c>
      <c r="F1263" s="7" t="s">
        <v>98</v>
      </c>
      <c r="G1263" s="8" t="s">
        <v>2713</v>
      </c>
      <c r="H1263" s="8" t="s">
        <v>3432</v>
      </c>
      <c r="I1263" s="7" t="s">
        <v>25</v>
      </c>
      <c r="J1263" s="13">
        <v>15</v>
      </c>
    </row>
    <row r="1264" spans="1:10" ht="156" x14ac:dyDescent="0.2">
      <c r="A1264" s="7" t="s">
        <v>95</v>
      </c>
      <c r="B1264" s="8" t="s">
        <v>221</v>
      </c>
      <c r="C1264" s="8" t="s">
        <v>2711</v>
      </c>
      <c r="D1264" s="6" t="s">
        <v>1165</v>
      </c>
      <c r="E1264" s="7" t="s">
        <v>1166</v>
      </c>
      <c r="F1264" s="7" t="s">
        <v>98</v>
      </c>
      <c r="G1264" s="8" t="s">
        <v>1199</v>
      </c>
      <c r="H1264" s="8" t="s">
        <v>3433</v>
      </c>
      <c r="I1264" s="7" t="s">
        <v>25</v>
      </c>
      <c r="J1264" s="13">
        <v>25</v>
      </c>
    </row>
    <row r="1265" spans="1:12" ht="169" x14ac:dyDescent="0.2">
      <c r="A1265" s="7" t="s">
        <v>95</v>
      </c>
      <c r="B1265" s="8" t="s">
        <v>221</v>
      </c>
      <c r="C1265" s="8" t="s">
        <v>2711</v>
      </c>
      <c r="D1265" s="6" t="s">
        <v>1165</v>
      </c>
      <c r="E1265" s="7" t="s">
        <v>1166</v>
      </c>
      <c r="F1265" s="7" t="s">
        <v>98</v>
      </c>
      <c r="G1265" s="8" t="s">
        <v>639</v>
      </c>
      <c r="H1265" s="8" t="s">
        <v>3434</v>
      </c>
      <c r="I1265" s="7" t="s">
        <v>25</v>
      </c>
      <c r="J1265" s="13">
        <v>15</v>
      </c>
    </row>
    <row r="1266" spans="1:12" ht="195" x14ac:dyDescent="0.2">
      <c r="A1266" s="7" t="s">
        <v>95</v>
      </c>
      <c r="B1266" s="8" t="s">
        <v>221</v>
      </c>
      <c r="C1266" s="8" t="s">
        <v>2911</v>
      </c>
      <c r="D1266" s="6" t="s">
        <v>2909</v>
      </c>
      <c r="E1266" s="7" t="s">
        <v>2910</v>
      </c>
      <c r="F1266" s="7" t="s">
        <v>1166</v>
      </c>
      <c r="G1266" s="8" t="s">
        <v>2912</v>
      </c>
      <c r="H1266" s="8" t="s">
        <v>2913</v>
      </c>
      <c r="I1266" s="7" t="s">
        <v>25</v>
      </c>
      <c r="J1266" s="15">
        <v>25</v>
      </c>
    </row>
    <row r="1267" spans="1:12" ht="91" x14ac:dyDescent="0.2">
      <c r="A1267" s="7" t="s">
        <v>95</v>
      </c>
      <c r="B1267" s="8" t="s">
        <v>221</v>
      </c>
      <c r="C1267" s="8" t="s">
        <v>2911</v>
      </c>
      <c r="D1267" s="6" t="s">
        <v>2909</v>
      </c>
      <c r="E1267" s="7" t="s">
        <v>2910</v>
      </c>
      <c r="F1267" s="7" t="s">
        <v>1166</v>
      </c>
      <c r="G1267" s="8" t="s">
        <v>2914</v>
      </c>
      <c r="H1267" s="8" t="s">
        <v>2915</v>
      </c>
      <c r="I1267" s="7" t="s">
        <v>17</v>
      </c>
      <c r="J1267" s="15">
        <v>25</v>
      </c>
    </row>
    <row r="1268" spans="1:12" ht="91" x14ac:dyDescent="0.2">
      <c r="A1268" s="7" t="s">
        <v>95</v>
      </c>
      <c r="B1268" s="8" t="s">
        <v>221</v>
      </c>
      <c r="C1268" s="8" t="s">
        <v>2911</v>
      </c>
      <c r="D1268" s="6" t="s">
        <v>2909</v>
      </c>
      <c r="E1268" s="7" t="s">
        <v>2910</v>
      </c>
      <c r="F1268" s="7" t="s">
        <v>1166</v>
      </c>
      <c r="G1268" s="8" t="s">
        <v>2916</v>
      </c>
      <c r="H1268" s="8" t="s">
        <v>2917</v>
      </c>
      <c r="I1268" s="7" t="s">
        <v>17</v>
      </c>
      <c r="J1268" s="15">
        <v>25</v>
      </c>
    </row>
    <row r="1269" spans="1:12" ht="91" x14ac:dyDescent="0.2">
      <c r="A1269" s="7" t="s">
        <v>95</v>
      </c>
      <c r="B1269" s="8" t="s">
        <v>221</v>
      </c>
      <c r="C1269" s="8" t="s">
        <v>2911</v>
      </c>
      <c r="D1269" s="6" t="s">
        <v>2909</v>
      </c>
      <c r="E1269" s="7" t="s">
        <v>2910</v>
      </c>
      <c r="F1269" s="7" t="s">
        <v>1166</v>
      </c>
      <c r="G1269" s="8" t="s">
        <v>2918</v>
      </c>
      <c r="H1269" s="8" t="s">
        <v>2919</v>
      </c>
      <c r="I1269" s="7" t="s">
        <v>25</v>
      </c>
      <c r="J1269" s="15">
        <v>25</v>
      </c>
    </row>
    <row r="1270" spans="1:12" ht="104" x14ac:dyDescent="0.2">
      <c r="A1270" s="7" t="s">
        <v>95</v>
      </c>
      <c r="B1270" s="8" t="s">
        <v>221</v>
      </c>
      <c r="C1270" s="8" t="s">
        <v>2026</v>
      </c>
      <c r="D1270" s="6" t="s">
        <v>2024</v>
      </c>
      <c r="E1270" s="7" t="s">
        <v>2025</v>
      </c>
      <c r="F1270" s="7" t="s">
        <v>632</v>
      </c>
      <c r="G1270" s="8" t="s">
        <v>641</v>
      </c>
      <c r="H1270" s="8" t="s">
        <v>642</v>
      </c>
      <c r="I1270" s="7" t="s">
        <v>17</v>
      </c>
      <c r="J1270" s="15">
        <v>20</v>
      </c>
    </row>
    <row r="1271" spans="1:12" ht="65" x14ac:dyDescent="0.2">
      <c r="A1271" s="7" t="s">
        <v>95</v>
      </c>
      <c r="B1271" s="8" t="s">
        <v>221</v>
      </c>
      <c r="C1271" s="8" t="s">
        <v>2026</v>
      </c>
      <c r="D1271" s="6" t="s">
        <v>2024</v>
      </c>
      <c r="E1271" s="7" t="s">
        <v>2025</v>
      </c>
      <c r="F1271" s="7" t="s">
        <v>632</v>
      </c>
      <c r="G1271" s="8" t="s">
        <v>635</v>
      </c>
      <c r="H1271" s="8" t="s">
        <v>2027</v>
      </c>
      <c r="I1271" s="7" t="s">
        <v>17</v>
      </c>
      <c r="J1271" s="15">
        <v>15</v>
      </c>
    </row>
    <row r="1272" spans="1:12" ht="91" x14ac:dyDescent="0.15">
      <c r="A1272" s="7" t="s">
        <v>95</v>
      </c>
      <c r="B1272" s="8" t="s">
        <v>221</v>
      </c>
      <c r="C1272" s="8" t="s">
        <v>2026</v>
      </c>
      <c r="D1272" s="6" t="s">
        <v>2024</v>
      </c>
      <c r="E1272" s="7" t="s">
        <v>2025</v>
      </c>
      <c r="F1272" s="7" t="s">
        <v>632</v>
      </c>
      <c r="G1272" s="8" t="s">
        <v>633</v>
      </c>
      <c r="H1272" s="8" t="s">
        <v>634</v>
      </c>
      <c r="I1272" s="7" t="s">
        <v>25</v>
      </c>
      <c r="J1272" s="15">
        <v>10</v>
      </c>
      <c r="L1272" s="2"/>
    </row>
    <row r="1273" spans="1:12" ht="104" x14ac:dyDescent="0.2">
      <c r="A1273" s="7" t="s">
        <v>95</v>
      </c>
      <c r="B1273" s="8" t="s">
        <v>221</v>
      </c>
      <c r="C1273" s="8" t="s">
        <v>2026</v>
      </c>
      <c r="D1273" s="6" t="s">
        <v>2024</v>
      </c>
      <c r="E1273" s="7" t="s">
        <v>2025</v>
      </c>
      <c r="F1273" s="7" t="s">
        <v>632</v>
      </c>
      <c r="G1273" s="8" t="s">
        <v>639</v>
      </c>
      <c r="H1273" s="8" t="s">
        <v>2028</v>
      </c>
      <c r="I1273" s="7" t="s">
        <v>25</v>
      </c>
      <c r="J1273" s="15">
        <v>10</v>
      </c>
    </row>
    <row r="1274" spans="1:12" ht="104" x14ac:dyDescent="0.2">
      <c r="A1274" s="7" t="s">
        <v>95</v>
      </c>
      <c r="B1274" s="8" t="s">
        <v>221</v>
      </c>
      <c r="C1274" s="8" t="s">
        <v>2026</v>
      </c>
      <c r="D1274" s="6" t="s">
        <v>2024</v>
      </c>
      <c r="E1274" s="7" t="s">
        <v>2025</v>
      </c>
      <c r="F1274" s="7" t="s">
        <v>632</v>
      </c>
      <c r="G1274" s="8" t="s">
        <v>643</v>
      </c>
      <c r="H1274" s="8" t="s">
        <v>2029</v>
      </c>
      <c r="I1274" s="7" t="s">
        <v>17</v>
      </c>
      <c r="J1274" s="15">
        <v>35</v>
      </c>
    </row>
    <row r="1275" spans="1:12" ht="104" x14ac:dyDescent="0.2">
      <c r="A1275" s="7" t="s">
        <v>95</v>
      </c>
      <c r="B1275" s="8" t="s">
        <v>221</v>
      </c>
      <c r="C1275" s="8" t="s">
        <v>2026</v>
      </c>
      <c r="D1275" s="6" t="s">
        <v>2024</v>
      </c>
      <c r="E1275" s="7" t="s">
        <v>2025</v>
      </c>
      <c r="F1275" s="7" t="s">
        <v>632</v>
      </c>
      <c r="G1275" s="8" t="s">
        <v>637</v>
      </c>
      <c r="H1275" s="8" t="s">
        <v>2030</v>
      </c>
      <c r="I1275" s="7" t="s">
        <v>25</v>
      </c>
      <c r="J1275" s="15">
        <v>10</v>
      </c>
    </row>
    <row r="1276" spans="1:12" ht="130" x14ac:dyDescent="0.2">
      <c r="A1276" s="7" t="s">
        <v>95</v>
      </c>
      <c r="B1276" s="8" t="s">
        <v>221</v>
      </c>
      <c r="C1276" s="8" t="s">
        <v>222</v>
      </c>
      <c r="D1276" s="6" t="s">
        <v>219</v>
      </c>
      <c r="E1276" s="7" t="s">
        <v>220</v>
      </c>
      <c r="F1276" s="7" t="s">
        <v>224</v>
      </c>
      <c r="G1276" s="8" t="s">
        <v>225</v>
      </c>
      <c r="H1276" s="8" t="s">
        <v>226</v>
      </c>
      <c r="I1276" s="7" t="s">
        <v>17</v>
      </c>
      <c r="J1276" s="15">
        <v>25</v>
      </c>
    </row>
    <row r="1277" spans="1:12" ht="143" x14ac:dyDescent="0.2">
      <c r="A1277" s="7" t="s">
        <v>95</v>
      </c>
      <c r="B1277" s="8" t="s">
        <v>221</v>
      </c>
      <c r="C1277" s="8" t="s">
        <v>222</v>
      </c>
      <c r="D1277" s="6" t="s">
        <v>219</v>
      </c>
      <c r="E1277" s="7" t="s">
        <v>220</v>
      </c>
      <c r="F1277" s="7" t="s">
        <v>224</v>
      </c>
      <c r="G1277" s="8" t="s">
        <v>227</v>
      </c>
      <c r="H1277" s="8" t="s">
        <v>228</v>
      </c>
      <c r="I1277" s="7" t="s">
        <v>17</v>
      </c>
      <c r="J1277" s="15">
        <v>25</v>
      </c>
    </row>
    <row r="1278" spans="1:12" ht="143" x14ac:dyDescent="0.2">
      <c r="A1278" s="7" t="s">
        <v>95</v>
      </c>
      <c r="B1278" s="8" t="s">
        <v>221</v>
      </c>
      <c r="C1278" s="8" t="s">
        <v>222</v>
      </c>
      <c r="D1278" s="6" t="s">
        <v>219</v>
      </c>
      <c r="E1278" s="7" t="s">
        <v>220</v>
      </c>
      <c r="F1278" s="7" t="s">
        <v>224</v>
      </c>
      <c r="G1278" s="8" t="s">
        <v>229</v>
      </c>
      <c r="H1278" s="8" t="s">
        <v>230</v>
      </c>
      <c r="I1278" s="7" t="s">
        <v>17</v>
      </c>
      <c r="J1278" s="15">
        <v>25</v>
      </c>
    </row>
    <row r="1279" spans="1:12" ht="143" x14ac:dyDescent="0.2">
      <c r="A1279" s="7" t="s">
        <v>95</v>
      </c>
      <c r="B1279" s="8" t="s">
        <v>221</v>
      </c>
      <c r="C1279" s="8" t="s">
        <v>222</v>
      </c>
      <c r="D1279" s="6" t="s">
        <v>219</v>
      </c>
      <c r="E1279" s="7" t="s">
        <v>220</v>
      </c>
      <c r="F1279" s="7" t="s">
        <v>224</v>
      </c>
      <c r="G1279" s="8" t="s">
        <v>231</v>
      </c>
      <c r="H1279" s="8" t="s">
        <v>232</v>
      </c>
      <c r="I1279" s="7" t="s">
        <v>17</v>
      </c>
      <c r="J1279" s="15">
        <v>25</v>
      </c>
    </row>
    <row r="1280" spans="1:12" ht="130" x14ac:dyDescent="0.2">
      <c r="A1280" s="7" t="s">
        <v>95</v>
      </c>
      <c r="B1280" s="8" t="s">
        <v>221</v>
      </c>
      <c r="C1280" s="8" t="s">
        <v>2852</v>
      </c>
      <c r="D1280" s="6" t="s">
        <v>2850</v>
      </c>
      <c r="E1280" s="7" t="s">
        <v>2851</v>
      </c>
      <c r="F1280" s="7" t="s">
        <v>224</v>
      </c>
      <c r="G1280" s="8" t="s">
        <v>2853</v>
      </c>
      <c r="H1280" s="8" t="s">
        <v>2854</v>
      </c>
      <c r="I1280" s="7" t="s">
        <v>17</v>
      </c>
      <c r="J1280" s="15">
        <v>25</v>
      </c>
    </row>
    <row r="1281" spans="1:10" ht="130" x14ac:dyDescent="0.2">
      <c r="A1281" s="7" t="s">
        <v>95</v>
      </c>
      <c r="B1281" s="8" t="s">
        <v>221</v>
      </c>
      <c r="C1281" s="8" t="s">
        <v>2852</v>
      </c>
      <c r="D1281" s="6" t="s">
        <v>2850</v>
      </c>
      <c r="E1281" s="7" t="s">
        <v>2851</v>
      </c>
      <c r="F1281" s="7" t="s">
        <v>224</v>
      </c>
      <c r="G1281" s="8" t="s">
        <v>2855</v>
      </c>
      <c r="H1281" s="8" t="s">
        <v>2856</v>
      </c>
      <c r="I1281" s="7" t="s">
        <v>25</v>
      </c>
      <c r="J1281" s="15">
        <v>25</v>
      </c>
    </row>
    <row r="1282" spans="1:10" ht="104" x14ac:dyDescent="0.2">
      <c r="A1282" s="7" t="s">
        <v>95</v>
      </c>
      <c r="B1282" s="8" t="s">
        <v>221</v>
      </c>
      <c r="C1282" s="8" t="s">
        <v>2852</v>
      </c>
      <c r="D1282" s="6" t="s">
        <v>2850</v>
      </c>
      <c r="E1282" s="7" t="s">
        <v>2851</v>
      </c>
      <c r="F1282" s="7" t="s">
        <v>224</v>
      </c>
      <c r="G1282" s="8" t="s">
        <v>2857</v>
      </c>
      <c r="H1282" s="8" t="s">
        <v>2858</v>
      </c>
      <c r="I1282" s="7" t="s">
        <v>17</v>
      </c>
      <c r="J1282" s="15">
        <v>25</v>
      </c>
    </row>
    <row r="1283" spans="1:10" ht="130" x14ac:dyDescent="0.2">
      <c r="A1283" s="7" t="s">
        <v>95</v>
      </c>
      <c r="B1283" s="8" t="s">
        <v>221</v>
      </c>
      <c r="C1283" s="8" t="s">
        <v>2852</v>
      </c>
      <c r="D1283" s="6" t="s">
        <v>2850</v>
      </c>
      <c r="E1283" s="7" t="s">
        <v>2851</v>
      </c>
      <c r="F1283" s="7" t="s">
        <v>224</v>
      </c>
      <c r="G1283" s="8" t="s">
        <v>563</v>
      </c>
      <c r="H1283" s="8" t="s">
        <v>2859</v>
      </c>
      <c r="I1283" s="7" t="s">
        <v>25</v>
      </c>
      <c r="J1283" s="15">
        <v>25</v>
      </c>
    </row>
    <row r="1284" spans="1:10" ht="104" x14ac:dyDescent="0.2">
      <c r="A1284" s="7" t="s">
        <v>95</v>
      </c>
      <c r="B1284" s="8" t="s">
        <v>221</v>
      </c>
      <c r="C1284" s="8" t="s">
        <v>558</v>
      </c>
      <c r="D1284" s="6" t="s">
        <v>556</v>
      </c>
      <c r="E1284" s="7" t="s">
        <v>557</v>
      </c>
      <c r="F1284" s="7" t="s">
        <v>224</v>
      </c>
      <c r="G1284" s="8" t="s">
        <v>559</v>
      </c>
      <c r="H1284" s="8" t="s">
        <v>560</v>
      </c>
      <c r="I1284" s="7" t="s">
        <v>25</v>
      </c>
      <c r="J1284" s="15">
        <v>25</v>
      </c>
    </row>
    <row r="1285" spans="1:10" ht="130" x14ac:dyDescent="0.2">
      <c r="A1285" s="7" t="s">
        <v>95</v>
      </c>
      <c r="B1285" s="8" t="s">
        <v>221</v>
      </c>
      <c r="C1285" s="8" t="s">
        <v>558</v>
      </c>
      <c r="D1285" s="6" t="s">
        <v>556</v>
      </c>
      <c r="E1285" s="7" t="s">
        <v>557</v>
      </c>
      <c r="F1285" s="7" t="s">
        <v>224</v>
      </c>
      <c r="G1285" s="8" t="s">
        <v>561</v>
      </c>
      <c r="H1285" s="8" t="s">
        <v>562</v>
      </c>
      <c r="I1285" s="7" t="s">
        <v>17</v>
      </c>
      <c r="J1285" s="15">
        <v>25</v>
      </c>
    </row>
    <row r="1286" spans="1:10" ht="130" x14ac:dyDescent="0.2">
      <c r="A1286" s="7" t="s">
        <v>95</v>
      </c>
      <c r="B1286" s="8" t="s">
        <v>221</v>
      </c>
      <c r="C1286" s="8" t="s">
        <v>558</v>
      </c>
      <c r="D1286" s="6" t="s">
        <v>556</v>
      </c>
      <c r="E1286" s="7" t="s">
        <v>557</v>
      </c>
      <c r="F1286" s="7" t="s">
        <v>224</v>
      </c>
      <c r="G1286" s="8" t="s">
        <v>563</v>
      </c>
      <c r="H1286" s="8" t="s">
        <v>564</v>
      </c>
      <c r="I1286" s="7" t="s">
        <v>25</v>
      </c>
      <c r="J1286" s="15">
        <v>25</v>
      </c>
    </row>
    <row r="1287" spans="1:10" ht="182" x14ac:dyDescent="0.2">
      <c r="A1287" s="7" t="s">
        <v>95</v>
      </c>
      <c r="B1287" s="8" t="s">
        <v>221</v>
      </c>
      <c r="C1287" s="8" t="s">
        <v>558</v>
      </c>
      <c r="D1287" s="6" t="s">
        <v>556</v>
      </c>
      <c r="E1287" s="7" t="s">
        <v>557</v>
      </c>
      <c r="F1287" s="7" t="s">
        <v>224</v>
      </c>
      <c r="G1287" s="8" t="s">
        <v>565</v>
      </c>
      <c r="H1287" s="8" t="s">
        <v>566</v>
      </c>
      <c r="I1287" s="7" t="s">
        <v>17</v>
      </c>
      <c r="J1287" s="15">
        <v>25</v>
      </c>
    </row>
    <row r="1288" spans="1:10" ht="104" x14ac:dyDescent="0.2">
      <c r="A1288" s="7" t="s">
        <v>95</v>
      </c>
      <c r="B1288" s="8" t="s">
        <v>221</v>
      </c>
      <c r="C1288" s="8" t="s">
        <v>1621</v>
      </c>
      <c r="D1288" s="6" t="s">
        <v>1619</v>
      </c>
      <c r="E1288" s="7" t="s">
        <v>1620</v>
      </c>
      <c r="F1288" s="7" t="s">
        <v>632</v>
      </c>
      <c r="G1288" s="8" t="s">
        <v>643</v>
      </c>
      <c r="H1288" s="8" t="s">
        <v>1622</v>
      </c>
      <c r="I1288" s="7" t="s">
        <v>25</v>
      </c>
      <c r="J1288" s="15">
        <v>10</v>
      </c>
    </row>
    <row r="1289" spans="1:10" ht="146.5" customHeight="1" x14ac:dyDescent="0.2">
      <c r="A1289" s="7" t="s">
        <v>95</v>
      </c>
      <c r="B1289" s="8" t="s">
        <v>221</v>
      </c>
      <c r="C1289" s="8" t="s">
        <v>1621</v>
      </c>
      <c r="D1289" s="6" t="s">
        <v>1619</v>
      </c>
      <c r="E1289" s="7" t="s">
        <v>1620</v>
      </c>
      <c r="F1289" s="7" t="s">
        <v>632</v>
      </c>
      <c r="G1289" s="8" t="s">
        <v>633</v>
      </c>
      <c r="H1289" s="8" t="s">
        <v>1623</v>
      </c>
      <c r="I1289" s="7" t="s">
        <v>25</v>
      </c>
      <c r="J1289" s="15">
        <v>10</v>
      </c>
    </row>
    <row r="1290" spans="1:10" ht="136.25" customHeight="1" x14ac:dyDescent="0.2">
      <c r="A1290" s="7" t="s">
        <v>95</v>
      </c>
      <c r="B1290" s="8" t="s">
        <v>221</v>
      </c>
      <c r="C1290" s="8" t="s">
        <v>1621</v>
      </c>
      <c r="D1290" s="6" t="s">
        <v>1619</v>
      </c>
      <c r="E1290" s="7" t="s">
        <v>1620</v>
      </c>
      <c r="F1290" s="7" t="s">
        <v>632</v>
      </c>
      <c r="G1290" s="8" t="s">
        <v>641</v>
      </c>
      <c r="H1290" s="8" t="s">
        <v>1624</v>
      </c>
      <c r="I1290" s="7" t="s">
        <v>25</v>
      </c>
      <c r="J1290" s="15">
        <v>10</v>
      </c>
    </row>
    <row r="1291" spans="1:10" ht="104" x14ac:dyDescent="0.2">
      <c r="A1291" s="7" t="s">
        <v>95</v>
      </c>
      <c r="B1291" s="8" t="s">
        <v>221</v>
      </c>
      <c r="C1291" s="8" t="s">
        <v>1621</v>
      </c>
      <c r="D1291" s="6" t="s">
        <v>1619</v>
      </c>
      <c r="E1291" s="7" t="s">
        <v>1620</v>
      </c>
      <c r="F1291" s="7" t="s">
        <v>632</v>
      </c>
      <c r="G1291" s="8" t="s">
        <v>639</v>
      </c>
      <c r="H1291" s="8" t="s">
        <v>1625</v>
      </c>
      <c r="I1291" s="7" t="s">
        <v>17</v>
      </c>
      <c r="J1291" s="15">
        <v>20</v>
      </c>
    </row>
    <row r="1292" spans="1:10" ht="104" x14ac:dyDescent="0.2">
      <c r="A1292" s="7" t="s">
        <v>95</v>
      </c>
      <c r="B1292" s="8" t="s">
        <v>221</v>
      </c>
      <c r="C1292" s="8" t="s">
        <v>1621</v>
      </c>
      <c r="D1292" s="6" t="s">
        <v>1619</v>
      </c>
      <c r="E1292" s="7" t="s">
        <v>1620</v>
      </c>
      <c r="F1292" s="7" t="s">
        <v>632</v>
      </c>
      <c r="G1292" s="8" t="s">
        <v>637</v>
      </c>
      <c r="H1292" s="8" t="s">
        <v>1626</v>
      </c>
      <c r="I1292" s="7" t="s">
        <v>17</v>
      </c>
      <c r="J1292" s="15">
        <v>35</v>
      </c>
    </row>
    <row r="1293" spans="1:10" ht="65" x14ac:dyDescent="0.2">
      <c r="A1293" s="7" t="s">
        <v>95</v>
      </c>
      <c r="B1293" s="8" t="s">
        <v>221</v>
      </c>
      <c r="C1293" s="8" t="s">
        <v>1621</v>
      </c>
      <c r="D1293" s="6" t="s">
        <v>1619</v>
      </c>
      <c r="E1293" s="7" t="s">
        <v>1620</v>
      </c>
      <c r="F1293" s="7" t="s">
        <v>632</v>
      </c>
      <c r="G1293" s="8" t="s">
        <v>635</v>
      </c>
      <c r="H1293" s="8" t="s">
        <v>1627</v>
      </c>
      <c r="I1293" s="7" t="s">
        <v>17</v>
      </c>
      <c r="J1293" s="15">
        <v>15</v>
      </c>
    </row>
    <row r="1294" spans="1:10" ht="78" x14ac:dyDescent="0.2">
      <c r="A1294" s="7" t="s">
        <v>95</v>
      </c>
      <c r="B1294" s="8" t="s">
        <v>221</v>
      </c>
      <c r="C1294" s="8" t="s">
        <v>1181</v>
      </c>
      <c r="D1294" s="6" t="s">
        <v>1179</v>
      </c>
      <c r="E1294" s="7" t="s">
        <v>1180</v>
      </c>
      <c r="F1294" s="7" t="s">
        <v>1166</v>
      </c>
      <c r="G1294" s="8" t="s">
        <v>1182</v>
      </c>
      <c r="H1294" s="8" t="s">
        <v>1183</v>
      </c>
      <c r="I1294" s="7" t="s">
        <v>17</v>
      </c>
      <c r="J1294" s="15">
        <v>30</v>
      </c>
    </row>
    <row r="1295" spans="1:10" ht="104" x14ac:dyDescent="0.2">
      <c r="A1295" s="7" t="s">
        <v>95</v>
      </c>
      <c r="B1295" s="8" t="s">
        <v>221</v>
      </c>
      <c r="C1295" s="8" t="s">
        <v>1181</v>
      </c>
      <c r="D1295" s="6" t="s">
        <v>1179</v>
      </c>
      <c r="E1295" s="7" t="s">
        <v>1180</v>
      </c>
      <c r="F1295" s="7" t="s">
        <v>1166</v>
      </c>
      <c r="G1295" s="8" t="s">
        <v>1184</v>
      </c>
      <c r="H1295" s="8" t="s">
        <v>1185</v>
      </c>
      <c r="I1295" s="7" t="s">
        <v>17</v>
      </c>
      <c r="J1295" s="15">
        <v>15</v>
      </c>
    </row>
    <row r="1296" spans="1:10" ht="195" customHeight="1" x14ac:dyDescent="0.2">
      <c r="A1296" s="7" t="s">
        <v>95</v>
      </c>
      <c r="B1296" s="8" t="s">
        <v>221</v>
      </c>
      <c r="C1296" s="8" t="s">
        <v>1181</v>
      </c>
      <c r="D1296" s="6" t="s">
        <v>1179</v>
      </c>
      <c r="E1296" s="7" t="s">
        <v>1180</v>
      </c>
      <c r="F1296" s="7" t="s">
        <v>1166</v>
      </c>
      <c r="G1296" s="8" t="s">
        <v>1186</v>
      </c>
      <c r="H1296" s="8" t="s">
        <v>1187</v>
      </c>
      <c r="I1296" s="7" t="s">
        <v>25</v>
      </c>
      <c r="J1296" s="15">
        <v>25</v>
      </c>
    </row>
    <row r="1297" spans="1:12" ht="78" x14ac:dyDescent="0.2">
      <c r="A1297" s="7" t="s">
        <v>95</v>
      </c>
      <c r="B1297" s="8" t="s">
        <v>221</v>
      </c>
      <c r="C1297" s="8" t="s">
        <v>1181</v>
      </c>
      <c r="D1297" s="6" t="s">
        <v>1179</v>
      </c>
      <c r="E1297" s="7" t="s">
        <v>1180</v>
      </c>
      <c r="F1297" s="7" t="s">
        <v>1166</v>
      </c>
      <c r="G1297" s="8" t="s">
        <v>1188</v>
      </c>
      <c r="H1297" s="8" t="s">
        <v>1189</v>
      </c>
      <c r="I1297" s="7" t="s">
        <v>25</v>
      </c>
      <c r="J1297" s="15">
        <v>30</v>
      </c>
    </row>
    <row r="1298" spans="1:12" ht="52" x14ac:dyDescent="0.2">
      <c r="A1298" s="7" t="s">
        <v>95</v>
      </c>
      <c r="B1298" s="8" t="s">
        <v>221</v>
      </c>
      <c r="C1298" s="8" t="s">
        <v>1181</v>
      </c>
      <c r="D1298" s="6" t="s">
        <v>1190</v>
      </c>
      <c r="E1298" s="7" t="s">
        <v>1191</v>
      </c>
      <c r="F1298" s="7" t="s">
        <v>1163</v>
      </c>
      <c r="G1298" s="8" t="s">
        <v>1171</v>
      </c>
      <c r="H1298" s="8" t="s">
        <v>1192</v>
      </c>
      <c r="I1298" s="7" t="s">
        <v>25</v>
      </c>
      <c r="J1298" s="15">
        <v>35</v>
      </c>
    </row>
    <row r="1299" spans="1:12" ht="65" x14ac:dyDescent="0.2">
      <c r="A1299" s="7" t="s">
        <v>95</v>
      </c>
      <c r="B1299" s="8" t="s">
        <v>221</v>
      </c>
      <c r="C1299" s="8" t="s">
        <v>1181</v>
      </c>
      <c r="D1299" s="6" t="s">
        <v>1190</v>
      </c>
      <c r="E1299" s="7" t="s">
        <v>1191</v>
      </c>
      <c r="F1299" s="7" t="s">
        <v>1163</v>
      </c>
      <c r="G1299" s="8" t="s">
        <v>1193</v>
      </c>
      <c r="H1299" s="8" t="s">
        <v>1194</v>
      </c>
      <c r="I1299" s="7" t="s">
        <v>25</v>
      </c>
      <c r="J1299" s="15">
        <v>15</v>
      </c>
    </row>
    <row r="1300" spans="1:12" ht="78" x14ac:dyDescent="0.2">
      <c r="A1300" s="7" t="s">
        <v>95</v>
      </c>
      <c r="B1300" s="8" t="s">
        <v>221</v>
      </c>
      <c r="C1300" s="8" t="s">
        <v>1181</v>
      </c>
      <c r="D1300" s="6" t="s">
        <v>1190</v>
      </c>
      <c r="E1300" s="7" t="s">
        <v>1191</v>
      </c>
      <c r="F1300" s="7" t="s">
        <v>1163</v>
      </c>
      <c r="G1300" s="8" t="s">
        <v>1173</v>
      </c>
      <c r="H1300" s="8" t="s">
        <v>1195</v>
      </c>
      <c r="I1300" s="7" t="s">
        <v>17</v>
      </c>
      <c r="J1300" s="15">
        <v>35</v>
      </c>
    </row>
    <row r="1301" spans="1:12" ht="52" x14ac:dyDescent="0.2">
      <c r="A1301" s="7" t="s">
        <v>95</v>
      </c>
      <c r="B1301" s="8" t="s">
        <v>221</v>
      </c>
      <c r="C1301" s="8" t="s">
        <v>1181</v>
      </c>
      <c r="D1301" s="6" t="s">
        <v>1190</v>
      </c>
      <c r="E1301" s="7" t="s">
        <v>1191</v>
      </c>
      <c r="F1301" s="7" t="s">
        <v>1163</v>
      </c>
      <c r="G1301" s="8" t="s">
        <v>1196</v>
      </c>
      <c r="H1301" s="8" t="s">
        <v>1197</v>
      </c>
      <c r="I1301" s="7" t="s">
        <v>17</v>
      </c>
      <c r="J1301" s="15">
        <v>15</v>
      </c>
    </row>
    <row r="1302" spans="1:12" ht="169" x14ac:dyDescent="0.2">
      <c r="A1302" s="7" t="s">
        <v>95</v>
      </c>
      <c r="B1302" s="8" t="s">
        <v>221</v>
      </c>
      <c r="C1302" s="8" t="s">
        <v>1886</v>
      </c>
      <c r="D1302" s="6" t="s">
        <v>1884</v>
      </c>
      <c r="E1302" s="7" t="s">
        <v>1885</v>
      </c>
      <c r="F1302" s="7" t="s">
        <v>224</v>
      </c>
      <c r="G1302" s="8" t="s">
        <v>1887</v>
      </c>
      <c r="H1302" s="8" t="s">
        <v>1888</v>
      </c>
      <c r="I1302" s="7" t="s">
        <v>17</v>
      </c>
      <c r="J1302" s="15">
        <v>25</v>
      </c>
    </row>
    <row r="1303" spans="1:12" ht="143" x14ac:dyDescent="0.2">
      <c r="A1303" s="7" t="s">
        <v>95</v>
      </c>
      <c r="B1303" s="8" t="s">
        <v>221</v>
      </c>
      <c r="C1303" s="8" t="s">
        <v>1886</v>
      </c>
      <c r="D1303" s="6" t="s">
        <v>1884</v>
      </c>
      <c r="E1303" s="7" t="s">
        <v>1885</v>
      </c>
      <c r="F1303" s="7" t="s">
        <v>224</v>
      </c>
      <c r="G1303" s="8" t="s">
        <v>1889</v>
      </c>
      <c r="H1303" s="8" t="s">
        <v>1890</v>
      </c>
      <c r="I1303" s="7" t="s">
        <v>25</v>
      </c>
      <c r="J1303" s="15">
        <v>25</v>
      </c>
    </row>
    <row r="1304" spans="1:12" ht="143" x14ac:dyDescent="0.15">
      <c r="A1304" s="7" t="s">
        <v>95</v>
      </c>
      <c r="B1304" s="8" t="s">
        <v>221</v>
      </c>
      <c r="C1304" s="8" t="s">
        <v>1886</v>
      </c>
      <c r="D1304" s="6" t="s">
        <v>1884</v>
      </c>
      <c r="E1304" s="7" t="s">
        <v>1885</v>
      </c>
      <c r="F1304" s="7" t="s">
        <v>224</v>
      </c>
      <c r="G1304" s="8" t="s">
        <v>1891</v>
      </c>
      <c r="H1304" s="8" t="s">
        <v>1892</v>
      </c>
      <c r="I1304" s="7" t="s">
        <v>25</v>
      </c>
      <c r="J1304" s="15">
        <v>25</v>
      </c>
      <c r="L1304" s="2"/>
    </row>
    <row r="1305" spans="1:12" ht="130" x14ac:dyDescent="0.2">
      <c r="A1305" s="7" t="s">
        <v>95</v>
      </c>
      <c r="B1305" s="8" t="s">
        <v>221</v>
      </c>
      <c r="C1305" s="8" t="s">
        <v>1886</v>
      </c>
      <c r="D1305" s="6" t="s">
        <v>1884</v>
      </c>
      <c r="E1305" s="7" t="s">
        <v>1885</v>
      </c>
      <c r="F1305" s="7" t="s">
        <v>224</v>
      </c>
      <c r="G1305" s="8" t="s">
        <v>1893</v>
      </c>
      <c r="H1305" s="8" t="s">
        <v>1894</v>
      </c>
      <c r="I1305" s="7" t="s">
        <v>17</v>
      </c>
      <c r="J1305" s="15">
        <v>25</v>
      </c>
    </row>
    <row r="1306" spans="1:12" ht="130" x14ac:dyDescent="0.2">
      <c r="A1306" s="7" t="s">
        <v>95</v>
      </c>
      <c r="B1306" s="8" t="s">
        <v>221</v>
      </c>
      <c r="C1306" s="8" t="s">
        <v>273</v>
      </c>
      <c r="D1306" s="6" t="s">
        <v>2298</v>
      </c>
      <c r="E1306" s="7" t="s">
        <v>2299</v>
      </c>
      <c r="F1306" s="7" t="s">
        <v>224</v>
      </c>
      <c r="G1306" s="8" t="s">
        <v>2300</v>
      </c>
      <c r="H1306" s="8" t="s">
        <v>2301</v>
      </c>
      <c r="I1306" s="7" t="s">
        <v>17</v>
      </c>
      <c r="J1306" s="15">
        <v>25</v>
      </c>
    </row>
    <row r="1307" spans="1:12" ht="130" x14ac:dyDescent="0.2">
      <c r="A1307" s="7" t="s">
        <v>95</v>
      </c>
      <c r="B1307" s="8" t="s">
        <v>221</v>
      </c>
      <c r="C1307" s="8" t="s">
        <v>273</v>
      </c>
      <c r="D1307" s="6" t="s">
        <v>2298</v>
      </c>
      <c r="E1307" s="7" t="s">
        <v>2299</v>
      </c>
      <c r="F1307" s="7" t="s">
        <v>224</v>
      </c>
      <c r="G1307" s="8" t="s">
        <v>2302</v>
      </c>
      <c r="H1307" s="8" t="s">
        <v>2303</v>
      </c>
      <c r="I1307" s="7" t="s">
        <v>25</v>
      </c>
      <c r="J1307" s="15">
        <v>25</v>
      </c>
    </row>
    <row r="1308" spans="1:12" ht="130" x14ac:dyDescent="0.2">
      <c r="A1308" s="7" t="s">
        <v>95</v>
      </c>
      <c r="B1308" s="8" t="s">
        <v>221</v>
      </c>
      <c r="C1308" s="8" t="s">
        <v>273</v>
      </c>
      <c r="D1308" s="6" t="s">
        <v>2298</v>
      </c>
      <c r="E1308" s="7" t="s">
        <v>2299</v>
      </c>
      <c r="F1308" s="7" t="s">
        <v>224</v>
      </c>
      <c r="G1308" s="8" t="s">
        <v>2304</v>
      </c>
      <c r="H1308" s="8" t="s">
        <v>2305</v>
      </c>
      <c r="I1308" s="7" t="s">
        <v>25</v>
      </c>
      <c r="J1308" s="15">
        <v>25</v>
      </c>
    </row>
    <row r="1309" spans="1:12" ht="117" x14ac:dyDescent="0.2">
      <c r="A1309" s="7" t="s">
        <v>95</v>
      </c>
      <c r="B1309" s="8" t="s">
        <v>221</v>
      </c>
      <c r="C1309" s="8" t="s">
        <v>273</v>
      </c>
      <c r="D1309" s="6" t="s">
        <v>2298</v>
      </c>
      <c r="E1309" s="7" t="s">
        <v>2299</v>
      </c>
      <c r="F1309" s="7" t="s">
        <v>224</v>
      </c>
      <c r="G1309" s="8" t="s">
        <v>2306</v>
      </c>
      <c r="H1309" s="8" t="s">
        <v>2307</v>
      </c>
      <c r="I1309" s="7" t="s">
        <v>17</v>
      </c>
      <c r="J1309" s="15">
        <v>25</v>
      </c>
    </row>
    <row r="1310" spans="1:12" ht="65" x14ac:dyDescent="0.2">
      <c r="A1310" s="7" t="s">
        <v>95</v>
      </c>
      <c r="B1310" s="8" t="s">
        <v>221</v>
      </c>
      <c r="C1310" s="8" t="s">
        <v>1445</v>
      </c>
      <c r="D1310" s="6" t="s">
        <v>631</v>
      </c>
      <c r="E1310" s="7" t="s">
        <v>632</v>
      </c>
      <c r="F1310" s="7" t="s">
        <v>1166</v>
      </c>
      <c r="G1310" s="8" t="s">
        <v>635</v>
      </c>
      <c r="H1310" s="8" t="s">
        <v>1446</v>
      </c>
      <c r="I1310" s="7" t="s">
        <v>17</v>
      </c>
      <c r="J1310" s="15">
        <v>15</v>
      </c>
    </row>
    <row r="1311" spans="1:12" ht="91" x14ac:dyDescent="0.2">
      <c r="A1311" s="7" t="s">
        <v>95</v>
      </c>
      <c r="B1311" s="8" t="s">
        <v>221</v>
      </c>
      <c r="C1311" s="8" t="s">
        <v>1445</v>
      </c>
      <c r="D1311" s="6" t="s">
        <v>631</v>
      </c>
      <c r="E1311" s="7" t="s">
        <v>632</v>
      </c>
      <c r="F1311" s="7" t="s">
        <v>1166</v>
      </c>
      <c r="G1311" s="8" t="s">
        <v>633</v>
      </c>
      <c r="H1311" s="8" t="s">
        <v>1447</v>
      </c>
      <c r="I1311" s="7" t="s">
        <v>25</v>
      </c>
      <c r="J1311" s="15">
        <v>10</v>
      </c>
    </row>
    <row r="1312" spans="1:12" ht="104" x14ac:dyDescent="0.2">
      <c r="A1312" s="7" t="s">
        <v>95</v>
      </c>
      <c r="B1312" s="8" t="s">
        <v>221</v>
      </c>
      <c r="C1312" s="8" t="s">
        <v>1445</v>
      </c>
      <c r="D1312" s="6" t="s">
        <v>631</v>
      </c>
      <c r="E1312" s="7" t="s">
        <v>632</v>
      </c>
      <c r="F1312" s="7" t="s">
        <v>1166</v>
      </c>
      <c r="G1312" s="8" t="s">
        <v>641</v>
      </c>
      <c r="H1312" s="8" t="s">
        <v>1448</v>
      </c>
      <c r="I1312" s="7" t="s">
        <v>17</v>
      </c>
      <c r="J1312" s="15">
        <v>35</v>
      </c>
    </row>
    <row r="1313" spans="1:10" ht="104" x14ac:dyDescent="0.2">
      <c r="A1313" s="7" t="s">
        <v>95</v>
      </c>
      <c r="B1313" s="8" t="s">
        <v>221</v>
      </c>
      <c r="C1313" s="8" t="s">
        <v>1445</v>
      </c>
      <c r="D1313" s="6" t="s">
        <v>631</v>
      </c>
      <c r="E1313" s="7" t="s">
        <v>632</v>
      </c>
      <c r="F1313" s="7" t="s">
        <v>1166</v>
      </c>
      <c r="G1313" s="8" t="s">
        <v>643</v>
      </c>
      <c r="H1313" s="8" t="s">
        <v>1449</v>
      </c>
      <c r="I1313" s="7" t="s">
        <v>17</v>
      </c>
      <c r="J1313" s="15">
        <v>20</v>
      </c>
    </row>
    <row r="1314" spans="1:10" ht="104" x14ac:dyDescent="0.2">
      <c r="A1314" s="7" t="s">
        <v>95</v>
      </c>
      <c r="B1314" s="8" t="s">
        <v>221</v>
      </c>
      <c r="C1314" s="8" t="s">
        <v>1445</v>
      </c>
      <c r="D1314" s="6" t="s">
        <v>631</v>
      </c>
      <c r="E1314" s="7" t="s">
        <v>632</v>
      </c>
      <c r="F1314" s="7" t="s">
        <v>1166</v>
      </c>
      <c r="G1314" s="8" t="s">
        <v>637</v>
      </c>
      <c r="H1314" s="8" t="s">
        <v>1450</v>
      </c>
      <c r="I1314" s="7" t="s">
        <v>25</v>
      </c>
      <c r="J1314" s="15">
        <v>10</v>
      </c>
    </row>
    <row r="1315" spans="1:10" ht="104" x14ac:dyDescent="0.2">
      <c r="A1315" s="7" t="s">
        <v>95</v>
      </c>
      <c r="B1315" s="8" t="s">
        <v>221</v>
      </c>
      <c r="C1315" s="8" t="s">
        <v>1445</v>
      </c>
      <c r="D1315" s="6" t="s">
        <v>631</v>
      </c>
      <c r="E1315" s="7" t="s">
        <v>632</v>
      </c>
      <c r="F1315" s="7" t="s">
        <v>1166</v>
      </c>
      <c r="G1315" s="8" t="s">
        <v>639</v>
      </c>
      <c r="H1315" s="8" t="s">
        <v>1451</v>
      </c>
      <c r="I1315" s="7" t="s">
        <v>25</v>
      </c>
      <c r="J1315" s="15">
        <v>10</v>
      </c>
    </row>
    <row r="1316" spans="1:10" ht="52" x14ac:dyDescent="0.2">
      <c r="A1316" s="7" t="s">
        <v>95</v>
      </c>
      <c r="B1316" s="8" t="s">
        <v>221</v>
      </c>
      <c r="C1316" s="8" t="s">
        <v>1164</v>
      </c>
      <c r="D1316" s="6" t="s">
        <v>1162</v>
      </c>
      <c r="E1316" s="7" t="s">
        <v>1163</v>
      </c>
      <c r="F1316" s="7" t="s">
        <v>1166</v>
      </c>
      <c r="G1316" s="8" t="s">
        <v>1167</v>
      </c>
      <c r="H1316" s="8" t="s">
        <v>1168</v>
      </c>
      <c r="I1316" s="7" t="s">
        <v>25</v>
      </c>
      <c r="J1316" s="15">
        <v>15</v>
      </c>
    </row>
    <row r="1317" spans="1:10" ht="78" x14ac:dyDescent="0.2">
      <c r="A1317" s="7" t="s">
        <v>95</v>
      </c>
      <c r="B1317" s="8" t="s">
        <v>221</v>
      </c>
      <c r="C1317" s="8" t="s">
        <v>1164</v>
      </c>
      <c r="D1317" s="6" t="s">
        <v>1162</v>
      </c>
      <c r="E1317" s="7" t="s">
        <v>1163</v>
      </c>
      <c r="F1317" s="7" t="s">
        <v>1166</v>
      </c>
      <c r="G1317" s="8" t="s">
        <v>1169</v>
      </c>
      <c r="H1317" s="8" t="s">
        <v>1170</v>
      </c>
      <c r="I1317" s="7" t="s">
        <v>17</v>
      </c>
      <c r="J1317" s="15">
        <v>5</v>
      </c>
    </row>
    <row r="1318" spans="1:10" ht="52" x14ac:dyDescent="0.2">
      <c r="A1318" s="7" t="s">
        <v>95</v>
      </c>
      <c r="B1318" s="8" t="s">
        <v>221</v>
      </c>
      <c r="C1318" s="8" t="s">
        <v>1164</v>
      </c>
      <c r="D1318" s="6" t="s">
        <v>1162</v>
      </c>
      <c r="E1318" s="7" t="s">
        <v>1163</v>
      </c>
      <c r="F1318" s="7" t="s">
        <v>1166</v>
      </c>
      <c r="G1318" s="8" t="s">
        <v>1171</v>
      </c>
      <c r="H1318" s="8" t="s">
        <v>1172</v>
      </c>
      <c r="I1318" s="7" t="s">
        <v>17</v>
      </c>
      <c r="J1318" s="15">
        <v>30</v>
      </c>
    </row>
    <row r="1319" spans="1:10" ht="65" x14ac:dyDescent="0.2">
      <c r="A1319" s="7" t="s">
        <v>95</v>
      </c>
      <c r="B1319" s="8" t="s">
        <v>221</v>
      </c>
      <c r="C1319" s="8" t="s">
        <v>1164</v>
      </c>
      <c r="D1319" s="6" t="s">
        <v>1162</v>
      </c>
      <c r="E1319" s="7" t="s">
        <v>1163</v>
      </c>
      <c r="F1319" s="7" t="s">
        <v>1166</v>
      </c>
      <c r="G1319" s="8" t="s">
        <v>1173</v>
      </c>
      <c r="H1319" s="8" t="s">
        <v>1174</v>
      </c>
      <c r="I1319" s="7" t="s">
        <v>17</v>
      </c>
      <c r="J1319" s="15">
        <v>30</v>
      </c>
    </row>
    <row r="1320" spans="1:10" ht="78" x14ac:dyDescent="0.2">
      <c r="A1320" s="7" t="s">
        <v>95</v>
      </c>
      <c r="B1320" s="8" t="s">
        <v>221</v>
      </c>
      <c r="C1320" s="8" t="s">
        <v>1164</v>
      </c>
      <c r="D1320" s="6" t="s">
        <v>1162</v>
      </c>
      <c r="E1320" s="7" t="s">
        <v>1163</v>
      </c>
      <c r="F1320" s="7" t="s">
        <v>1166</v>
      </c>
      <c r="G1320" s="8" t="s">
        <v>1175</v>
      </c>
      <c r="H1320" s="8" t="s">
        <v>1176</v>
      </c>
      <c r="I1320" s="7" t="s">
        <v>25</v>
      </c>
      <c r="J1320" s="15">
        <v>5</v>
      </c>
    </row>
    <row r="1321" spans="1:10" ht="65" x14ac:dyDescent="0.2">
      <c r="A1321" s="7" t="s">
        <v>95</v>
      </c>
      <c r="B1321" s="8" t="s">
        <v>221</v>
      </c>
      <c r="C1321" s="8" t="s">
        <v>1164</v>
      </c>
      <c r="D1321" s="6" t="s">
        <v>1162</v>
      </c>
      <c r="E1321" s="7" t="s">
        <v>1163</v>
      </c>
      <c r="F1321" s="7" t="s">
        <v>1166</v>
      </c>
      <c r="G1321" s="8" t="s">
        <v>1177</v>
      </c>
      <c r="H1321" s="8" t="s">
        <v>1178</v>
      </c>
      <c r="I1321" s="7" t="s">
        <v>17</v>
      </c>
      <c r="J1321" s="15">
        <v>15</v>
      </c>
    </row>
    <row r="1322" spans="1:10" ht="104" x14ac:dyDescent="0.2">
      <c r="A1322" s="7" t="s">
        <v>95</v>
      </c>
      <c r="B1322" s="8" t="s">
        <v>221</v>
      </c>
      <c r="C1322" s="8" t="s">
        <v>2484</v>
      </c>
      <c r="D1322" s="6" t="s">
        <v>223</v>
      </c>
      <c r="E1322" s="7" t="s">
        <v>224</v>
      </c>
      <c r="F1322" s="7" t="s">
        <v>1166</v>
      </c>
      <c r="G1322" s="8" t="s">
        <v>1199</v>
      </c>
      <c r="H1322" s="8" t="s">
        <v>2485</v>
      </c>
      <c r="I1322" s="7" t="s">
        <v>25</v>
      </c>
      <c r="J1322" s="15">
        <v>20</v>
      </c>
    </row>
    <row r="1323" spans="1:10" ht="130" x14ac:dyDescent="0.2">
      <c r="A1323" s="7" t="s">
        <v>95</v>
      </c>
      <c r="B1323" s="8" t="s">
        <v>221</v>
      </c>
      <c r="C1323" s="8" t="s">
        <v>2484</v>
      </c>
      <c r="D1323" s="6" t="s">
        <v>223</v>
      </c>
      <c r="E1323" s="7" t="s">
        <v>224</v>
      </c>
      <c r="F1323" s="7" t="s">
        <v>1166</v>
      </c>
      <c r="G1323" s="8" t="s">
        <v>227</v>
      </c>
      <c r="H1323" s="8" t="s">
        <v>2486</v>
      </c>
      <c r="I1323" s="7" t="s">
        <v>25</v>
      </c>
      <c r="J1323" s="15">
        <v>20</v>
      </c>
    </row>
    <row r="1324" spans="1:10" ht="130" x14ac:dyDescent="0.2">
      <c r="A1324" s="7" t="s">
        <v>95</v>
      </c>
      <c r="B1324" s="8" t="s">
        <v>221</v>
      </c>
      <c r="C1324" s="8" t="s">
        <v>2484</v>
      </c>
      <c r="D1324" s="6" t="s">
        <v>223</v>
      </c>
      <c r="E1324" s="7" t="s">
        <v>224</v>
      </c>
      <c r="F1324" s="7" t="s">
        <v>1166</v>
      </c>
      <c r="G1324" s="8" t="s">
        <v>2487</v>
      </c>
      <c r="H1324" s="8" t="s">
        <v>2488</v>
      </c>
      <c r="I1324" s="7" t="s">
        <v>17</v>
      </c>
      <c r="J1324" s="15">
        <v>20</v>
      </c>
    </row>
    <row r="1325" spans="1:10" ht="130" x14ac:dyDescent="0.2">
      <c r="A1325" s="7" t="s">
        <v>95</v>
      </c>
      <c r="B1325" s="8" t="s">
        <v>221</v>
      </c>
      <c r="C1325" s="8" t="s">
        <v>2484</v>
      </c>
      <c r="D1325" s="6" t="s">
        <v>223</v>
      </c>
      <c r="E1325" s="7" t="s">
        <v>224</v>
      </c>
      <c r="F1325" s="7" t="s">
        <v>1166</v>
      </c>
      <c r="G1325" s="8" t="s">
        <v>2489</v>
      </c>
      <c r="H1325" s="8" t="s">
        <v>2490</v>
      </c>
      <c r="I1325" s="7" t="s">
        <v>25</v>
      </c>
      <c r="J1325" s="15">
        <v>20</v>
      </c>
    </row>
    <row r="1326" spans="1:10" ht="156" x14ac:dyDescent="0.2">
      <c r="A1326" s="7" t="s">
        <v>95</v>
      </c>
      <c r="B1326" s="8" t="s">
        <v>221</v>
      </c>
      <c r="C1326" s="8" t="s">
        <v>2484</v>
      </c>
      <c r="D1326" s="6" t="s">
        <v>223</v>
      </c>
      <c r="E1326" s="7" t="s">
        <v>224</v>
      </c>
      <c r="F1326" s="7" t="s">
        <v>1166</v>
      </c>
      <c r="G1326" s="8" t="s">
        <v>2491</v>
      </c>
      <c r="H1326" s="8" t="s">
        <v>2492</v>
      </c>
      <c r="I1326" s="7" t="s">
        <v>17</v>
      </c>
      <c r="J1326" s="15">
        <v>20</v>
      </c>
    </row>
    <row r="1327" spans="1:10" ht="78" x14ac:dyDescent="0.2">
      <c r="A1327" s="7" t="s">
        <v>95</v>
      </c>
      <c r="B1327" s="8" t="s">
        <v>95</v>
      </c>
      <c r="C1327" s="8" t="s">
        <v>96</v>
      </c>
      <c r="D1327" s="6" t="s">
        <v>93</v>
      </c>
      <c r="E1327" s="7" t="s">
        <v>94</v>
      </c>
      <c r="F1327" s="7" t="s">
        <v>98</v>
      </c>
      <c r="G1327" s="8" t="s">
        <v>99</v>
      </c>
      <c r="H1327" s="8" t="s">
        <v>100</v>
      </c>
      <c r="I1327" s="7" t="s">
        <v>25</v>
      </c>
      <c r="J1327" s="13">
        <v>20</v>
      </c>
    </row>
    <row r="1328" spans="1:10" ht="65" x14ac:dyDescent="0.2">
      <c r="A1328" s="7" t="s">
        <v>95</v>
      </c>
      <c r="B1328" s="8" t="s">
        <v>95</v>
      </c>
      <c r="C1328" s="8" t="s">
        <v>96</v>
      </c>
      <c r="D1328" s="6" t="s">
        <v>93</v>
      </c>
      <c r="E1328" s="7" t="s">
        <v>94</v>
      </c>
      <c r="F1328" s="7" t="s">
        <v>98</v>
      </c>
      <c r="G1328" s="8" t="s">
        <v>101</v>
      </c>
      <c r="H1328" s="8" t="s">
        <v>102</v>
      </c>
      <c r="I1328" s="19" t="s">
        <v>17</v>
      </c>
      <c r="J1328" s="20">
        <v>20</v>
      </c>
    </row>
    <row r="1329" spans="1:10" ht="130" x14ac:dyDescent="0.2">
      <c r="A1329" s="7" t="s">
        <v>95</v>
      </c>
      <c r="B1329" s="8" t="s">
        <v>95</v>
      </c>
      <c r="C1329" s="8" t="s">
        <v>96</v>
      </c>
      <c r="D1329" s="6" t="s">
        <v>93</v>
      </c>
      <c r="E1329" s="7" t="s">
        <v>94</v>
      </c>
      <c r="F1329" s="7" t="s">
        <v>98</v>
      </c>
      <c r="G1329" s="8" t="s">
        <v>103</v>
      </c>
      <c r="H1329" s="8" t="s">
        <v>104</v>
      </c>
      <c r="I1329" s="7" t="s">
        <v>25</v>
      </c>
      <c r="J1329" s="13">
        <v>20</v>
      </c>
    </row>
    <row r="1330" spans="1:10" ht="65" x14ac:dyDescent="0.2">
      <c r="A1330" s="7" t="s">
        <v>95</v>
      </c>
      <c r="B1330" s="8" t="s">
        <v>95</v>
      </c>
      <c r="C1330" s="8" t="s">
        <v>96</v>
      </c>
      <c r="D1330" s="6" t="s">
        <v>93</v>
      </c>
      <c r="E1330" s="7" t="s">
        <v>94</v>
      </c>
      <c r="F1330" s="7" t="s">
        <v>98</v>
      </c>
      <c r="G1330" s="8" t="s">
        <v>105</v>
      </c>
      <c r="H1330" s="8" t="s">
        <v>106</v>
      </c>
      <c r="I1330" s="7" t="s">
        <v>25</v>
      </c>
      <c r="J1330" s="13">
        <v>20</v>
      </c>
    </row>
    <row r="1331" spans="1:10" ht="78" x14ac:dyDescent="0.2">
      <c r="A1331" s="7" t="s">
        <v>95</v>
      </c>
      <c r="B1331" s="8" t="s">
        <v>95</v>
      </c>
      <c r="C1331" s="8" t="s">
        <v>96</v>
      </c>
      <c r="D1331" s="6" t="s">
        <v>93</v>
      </c>
      <c r="E1331" s="7" t="s">
        <v>94</v>
      </c>
      <c r="F1331" s="7" t="s">
        <v>98</v>
      </c>
      <c r="G1331" s="8" t="s">
        <v>107</v>
      </c>
      <c r="H1331" s="8" t="s">
        <v>108</v>
      </c>
      <c r="I1331" s="19" t="s">
        <v>17</v>
      </c>
      <c r="J1331" s="20">
        <v>20</v>
      </c>
    </row>
    <row r="1332" spans="1:10" ht="78" x14ac:dyDescent="0.2">
      <c r="A1332" s="7" t="s">
        <v>2031</v>
      </c>
      <c r="B1332" s="8" t="s">
        <v>701</v>
      </c>
      <c r="C1332" s="8" t="s">
        <v>863</v>
      </c>
      <c r="D1332" s="6" t="s">
        <v>861</v>
      </c>
      <c r="E1332" s="7" t="s">
        <v>862</v>
      </c>
      <c r="F1332" s="7" t="s">
        <v>865</v>
      </c>
      <c r="G1332" s="8" t="s">
        <v>866</v>
      </c>
      <c r="H1332" s="8" t="s">
        <v>3340</v>
      </c>
      <c r="I1332" s="7" t="s">
        <v>25</v>
      </c>
      <c r="J1332" s="13">
        <v>5</v>
      </c>
    </row>
    <row r="1333" spans="1:10" ht="65" x14ac:dyDescent="0.2">
      <c r="A1333" s="7" t="s">
        <v>2031</v>
      </c>
      <c r="B1333" s="8" t="s">
        <v>701</v>
      </c>
      <c r="C1333" s="8" t="s">
        <v>863</v>
      </c>
      <c r="D1333" s="6" t="s">
        <v>861</v>
      </c>
      <c r="E1333" s="7" t="s">
        <v>862</v>
      </c>
      <c r="F1333" s="7" t="s">
        <v>865</v>
      </c>
      <c r="G1333" s="8" t="s">
        <v>867</v>
      </c>
      <c r="H1333" s="8" t="s">
        <v>3341</v>
      </c>
      <c r="I1333" s="7" t="s">
        <v>25</v>
      </c>
      <c r="J1333" s="13">
        <v>25</v>
      </c>
    </row>
    <row r="1334" spans="1:10" ht="104" x14ac:dyDescent="0.2">
      <c r="A1334" s="7" t="s">
        <v>2031</v>
      </c>
      <c r="B1334" s="8" t="s">
        <v>701</v>
      </c>
      <c r="C1334" s="8" t="s">
        <v>863</v>
      </c>
      <c r="D1334" s="6" t="s">
        <v>861</v>
      </c>
      <c r="E1334" s="7" t="s">
        <v>862</v>
      </c>
      <c r="F1334" s="7" t="s">
        <v>865</v>
      </c>
      <c r="G1334" s="8" t="s">
        <v>379</v>
      </c>
      <c r="H1334" s="8" t="s">
        <v>3342</v>
      </c>
      <c r="I1334" s="7" t="s">
        <v>25</v>
      </c>
      <c r="J1334" s="13">
        <v>10</v>
      </c>
    </row>
    <row r="1335" spans="1:10" ht="65" x14ac:dyDescent="0.2">
      <c r="A1335" s="7" t="s">
        <v>2031</v>
      </c>
      <c r="B1335" s="8" t="s">
        <v>701</v>
      </c>
      <c r="C1335" s="8" t="s">
        <v>863</v>
      </c>
      <c r="D1335" s="6" t="s">
        <v>861</v>
      </c>
      <c r="E1335" s="7" t="s">
        <v>862</v>
      </c>
      <c r="F1335" s="7" t="s">
        <v>865</v>
      </c>
      <c r="G1335" s="8" t="s">
        <v>713</v>
      </c>
      <c r="H1335" s="8" t="s">
        <v>3343</v>
      </c>
      <c r="I1335" s="7" t="s">
        <v>25</v>
      </c>
      <c r="J1335" s="13">
        <v>5</v>
      </c>
    </row>
    <row r="1336" spans="1:10" ht="91" x14ac:dyDescent="0.2">
      <c r="A1336" s="7" t="s">
        <v>2031</v>
      </c>
      <c r="B1336" s="8" t="s">
        <v>701</v>
      </c>
      <c r="C1336" s="8" t="s">
        <v>863</v>
      </c>
      <c r="D1336" s="6" t="s">
        <v>861</v>
      </c>
      <c r="E1336" s="7" t="s">
        <v>862</v>
      </c>
      <c r="F1336" s="7" t="s">
        <v>865</v>
      </c>
      <c r="G1336" s="8" t="s">
        <v>868</v>
      </c>
      <c r="H1336" s="8" t="s">
        <v>3344</v>
      </c>
      <c r="I1336" s="7" t="s">
        <v>25</v>
      </c>
      <c r="J1336" s="13">
        <v>30</v>
      </c>
    </row>
    <row r="1337" spans="1:10" ht="169" x14ac:dyDescent="0.2">
      <c r="A1337" s="7" t="s">
        <v>2031</v>
      </c>
      <c r="B1337" s="8" t="s">
        <v>701</v>
      </c>
      <c r="C1337" s="8" t="s">
        <v>863</v>
      </c>
      <c r="D1337" s="6" t="s">
        <v>861</v>
      </c>
      <c r="E1337" s="7" t="s">
        <v>862</v>
      </c>
      <c r="F1337" s="7" t="s">
        <v>865</v>
      </c>
      <c r="G1337" s="8" t="s">
        <v>869</v>
      </c>
      <c r="H1337" s="8" t="s">
        <v>3345</v>
      </c>
      <c r="I1337" s="7" t="s">
        <v>25</v>
      </c>
      <c r="J1337" s="13">
        <v>20</v>
      </c>
    </row>
    <row r="1338" spans="1:10" ht="65" x14ac:dyDescent="0.2">
      <c r="A1338" s="7" t="s">
        <v>2031</v>
      </c>
      <c r="B1338" s="8" t="s">
        <v>701</v>
      </c>
      <c r="C1338" s="8" t="s">
        <v>863</v>
      </c>
      <c r="D1338" s="6" t="s">
        <v>861</v>
      </c>
      <c r="E1338" s="7" t="s">
        <v>862</v>
      </c>
      <c r="F1338" s="7" t="s">
        <v>865</v>
      </c>
      <c r="G1338" s="8" t="s">
        <v>870</v>
      </c>
      <c r="H1338" s="8" t="s">
        <v>3346</v>
      </c>
      <c r="I1338" s="7" t="s">
        <v>25</v>
      </c>
      <c r="J1338" s="13">
        <v>5</v>
      </c>
    </row>
    <row r="1339" spans="1:10" ht="26" x14ac:dyDescent="0.2">
      <c r="A1339" s="7" t="s">
        <v>2031</v>
      </c>
      <c r="B1339" s="8" t="s">
        <v>701</v>
      </c>
      <c r="C1339" s="8" t="s">
        <v>702</v>
      </c>
      <c r="D1339" s="6" t="s">
        <v>699</v>
      </c>
      <c r="E1339" s="7" t="s">
        <v>700</v>
      </c>
      <c r="F1339" s="7" t="s">
        <v>704</v>
      </c>
      <c r="G1339" s="8" t="s">
        <v>705</v>
      </c>
      <c r="H1339" s="8" t="s">
        <v>706</v>
      </c>
      <c r="I1339" s="7" t="s">
        <v>17</v>
      </c>
      <c r="J1339" s="15">
        <v>15</v>
      </c>
    </row>
    <row r="1340" spans="1:10" ht="52" x14ac:dyDescent="0.2">
      <c r="A1340" s="7" t="s">
        <v>2031</v>
      </c>
      <c r="B1340" s="8" t="s">
        <v>701</v>
      </c>
      <c r="C1340" s="8" t="s">
        <v>702</v>
      </c>
      <c r="D1340" s="6" t="s">
        <v>699</v>
      </c>
      <c r="E1340" s="7" t="s">
        <v>700</v>
      </c>
      <c r="F1340" s="7" t="s">
        <v>704</v>
      </c>
      <c r="G1340" s="8" t="s">
        <v>707</v>
      </c>
      <c r="H1340" s="8" t="s">
        <v>708</v>
      </c>
      <c r="I1340" s="7" t="s">
        <v>17</v>
      </c>
      <c r="J1340" s="15">
        <v>10</v>
      </c>
    </row>
    <row r="1341" spans="1:10" ht="78" x14ac:dyDescent="0.2">
      <c r="A1341" s="7" t="s">
        <v>2031</v>
      </c>
      <c r="B1341" s="8" t="s">
        <v>701</v>
      </c>
      <c r="C1341" s="8" t="s">
        <v>702</v>
      </c>
      <c r="D1341" s="6" t="s">
        <v>699</v>
      </c>
      <c r="E1341" s="7" t="s">
        <v>700</v>
      </c>
      <c r="F1341" s="7" t="s">
        <v>704</v>
      </c>
      <c r="G1341" s="8" t="s">
        <v>709</v>
      </c>
      <c r="H1341" s="8" t="s">
        <v>710</v>
      </c>
      <c r="I1341" s="7" t="s">
        <v>17</v>
      </c>
      <c r="J1341" s="15">
        <v>15</v>
      </c>
    </row>
    <row r="1342" spans="1:10" ht="65" x14ac:dyDescent="0.2">
      <c r="A1342" s="7" t="s">
        <v>2031</v>
      </c>
      <c r="B1342" s="8" t="s">
        <v>701</v>
      </c>
      <c r="C1342" s="8" t="s">
        <v>702</v>
      </c>
      <c r="D1342" s="6" t="s">
        <v>699</v>
      </c>
      <c r="E1342" s="7" t="s">
        <v>700</v>
      </c>
      <c r="F1342" s="7" t="s">
        <v>704</v>
      </c>
      <c r="G1342" s="8" t="s">
        <v>711</v>
      </c>
      <c r="H1342" s="8" t="s">
        <v>712</v>
      </c>
      <c r="I1342" s="7" t="s">
        <v>17</v>
      </c>
      <c r="J1342" s="15">
        <v>15</v>
      </c>
    </row>
    <row r="1343" spans="1:10" ht="52" x14ac:dyDescent="0.2">
      <c r="A1343" s="7" t="s">
        <v>2031</v>
      </c>
      <c r="B1343" s="8" t="s">
        <v>701</v>
      </c>
      <c r="C1343" s="8" t="s">
        <v>702</v>
      </c>
      <c r="D1343" s="6" t="s">
        <v>699</v>
      </c>
      <c r="E1343" s="7" t="s">
        <v>700</v>
      </c>
      <c r="F1343" s="7" t="s">
        <v>704</v>
      </c>
      <c r="G1343" s="8" t="s">
        <v>713</v>
      </c>
      <c r="H1343" s="8" t="s">
        <v>714</v>
      </c>
      <c r="I1343" s="7" t="s">
        <v>25</v>
      </c>
      <c r="J1343" s="15">
        <v>10</v>
      </c>
    </row>
    <row r="1344" spans="1:10" ht="104" x14ac:dyDescent="0.2">
      <c r="A1344" s="7" t="s">
        <v>2031</v>
      </c>
      <c r="B1344" s="8" t="s">
        <v>701</v>
      </c>
      <c r="C1344" s="8" t="s">
        <v>702</v>
      </c>
      <c r="D1344" s="6" t="s">
        <v>699</v>
      </c>
      <c r="E1344" s="7" t="s">
        <v>700</v>
      </c>
      <c r="F1344" s="7" t="s">
        <v>704</v>
      </c>
      <c r="G1344" s="8" t="s">
        <v>715</v>
      </c>
      <c r="H1344" s="8" t="s">
        <v>716</v>
      </c>
      <c r="I1344" s="7" t="s">
        <v>17</v>
      </c>
      <c r="J1344" s="15">
        <v>15</v>
      </c>
    </row>
    <row r="1345" spans="1:10" ht="78" x14ac:dyDescent="0.2">
      <c r="A1345" s="7" t="s">
        <v>2031</v>
      </c>
      <c r="B1345" s="8" t="s">
        <v>701</v>
      </c>
      <c r="C1345" s="8" t="s">
        <v>702</v>
      </c>
      <c r="D1345" s="6" t="s">
        <v>699</v>
      </c>
      <c r="E1345" s="7" t="s">
        <v>700</v>
      </c>
      <c r="F1345" s="7" t="s">
        <v>704</v>
      </c>
      <c r="G1345" s="8" t="s">
        <v>379</v>
      </c>
      <c r="H1345" s="8" t="s">
        <v>717</v>
      </c>
      <c r="I1345" s="7" t="s">
        <v>25</v>
      </c>
      <c r="J1345" s="15">
        <v>5</v>
      </c>
    </row>
    <row r="1346" spans="1:10" ht="169" x14ac:dyDescent="0.2">
      <c r="A1346" s="7" t="s">
        <v>2031</v>
      </c>
      <c r="B1346" s="8" t="s">
        <v>701</v>
      </c>
      <c r="C1346" s="8" t="s">
        <v>702</v>
      </c>
      <c r="D1346" s="6" t="s">
        <v>699</v>
      </c>
      <c r="E1346" s="7" t="s">
        <v>700</v>
      </c>
      <c r="F1346" s="7" t="s">
        <v>704</v>
      </c>
      <c r="G1346" s="8" t="s">
        <v>718</v>
      </c>
      <c r="H1346" s="8" t="s">
        <v>719</v>
      </c>
      <c r="I1346" s="7" t="s">
        <v>17</v>
      </c>
      <c r="J1346" s="15">
        <v>15</v>
      </c>
    </row>
    <row r="1347" spans="1:10" ht="52" x14ac:dyDescent="0.2">
      <c r="A1347" s="7" t="s">
        <v>2031</v>
      </c>
      <c r="B1347" s="8" t="s">
        <v>701</v>
      </c>
      <c r="C1347" s="8" t="s">
        <v>702</v>
      </c>
      <c r="D1347" s="6" t="s">
        <v>1666</v>
      </c>
      <c r="E1347" s="7" t="s">
        <v>1667</v>
      </c>
      <c r="F1347" s="7" t="s">
        <v>704</v>
      </c>
      <c r="G1347" s="8" t="s">
        <v>1668</v>
      </c>
      <c r="H1347" s="8" t="s">
        <v>1669</v>
      </c>
      <c r="I1347" s="7" t="s">
        <v>17</v>
      </c>
      <c r="J1347" s="15">
        <v>15</v>
      </c>
    </row>
    <row r="1348" spans="1:10" ht="78" x14ac:dyDescent="0.2">
      <c r="A1348" s="7" t="s">
        <v>2031</v>
      </c>
      <c r="B1348" s="8" t="s">
        <v>701</v>
      </c>
      <c r="C1348" s="8" t="s">
        <v>702</v>
      </c>
      <c r="D1348" s="6" t="s">
        <v>1666</v>
      </c>
      <c r="E1348" s="7" t="s">
        <v>1667</v>
      </c>
      <c r="F1348" s="7" t="s">
        <v>704</v>
      </c>
      <c r="G1348" s="8" t="s">
        <v>1670</v>
      </c>
      <c r="H1348" s="8" t="s">
        <v>1671</v>
      </c>
      <c r="I1348" s="7" t="s">
        <v>17</v>
      </c>
      <c r="J1348" s="15">
        <v>15</v>
      </c>
    </row>
    <row r="1349" spans="1:10" ht="39" x14ac:dyDescent="0.2">
      <c r="A1349" s="7" t="s">
        <v>2031</v>
      </c>
      <c r="B1349" s="8" t="s">
        <v>701</v>
      </c>
      <c r="C1349" s="8" t="s">
        <v>702</v>
      </c>
      <c r="D1349" s="6" t="s">
        <v>1666</v>
      </c>
      <c r="E1349" s="7" t="s">
        <v>1667</v>
      </c>
      <c r="F1349" s="7" t="s">
        <v>704</v>
      </c>
      <c r="G1349" s="8" t="s">
        <v>870</v>
      </c>
      <c r="H1349" s="8" t="s">
        <v>1672</v>
      </c>
      <c r="I1349" s="7" t="s">
        <v>17</v>
      </c>
      <c r="J1349" s="15">
        <v>15</v>
      </c>
    </row>
    <row r="1350" spans="1:10" ht="52" x14ac:dyDescent="0.2">
      <c r="A1350" s="7" t="s">
        <v>2031</v>
      </c>
      <c r="B1350" s="8" t="s">
        <v>701</v>
      </c>
      <c r="C1350" s="8" t="s">
        <v>702</v>
      </c>
      <c r="D1350" s="6" t="s">
        <v>1666</v>
      </c>
      <c r="E1350" s="7" t="s">
        <v>1667</v>
      </c>
      <c r="F1350" s="7" t="s">
        <v>704</v>
      </c>
      <c r="G1350" s="8" t="s">
        <v>713</v>
      </c>
      <c r="H1350" s="8" t="s">
        <v>1673</v>
      </c>
      <c r="I1350" s="7" t="s">
        <v>25</v>
      </c>
      <c r="J1350" s="15">
        <v>15</v>
      </c>
    </row>
    <row r="1351" spans="1:10" ht="78" x14ac:dyDescent="0.2">
      <c r="A1351" s="7" t="s">
        <v>2031</v>
      </c>
      <c r="B1351" s="8" t="s">
        <v>701</v>
      </c>
      <c r="C1351" s="8" t="s">
        <v>702</v>
      </c>
      <c r="D1351" s="6" t="s">
        <v>1666</v>
      </c>
      <c r="E1351" s="7" t="s">
        <v>1667</v>
      </c>
      <c r="F1351" s="7" t="s">
        <v>704</v>
      </c>
      <c r="G1351" s="8" t="s">
        <v>379</v>
      </c>
      <c r="H1351" s="8" t="s">
        <v>1674</v>
      </c>
      <c r="I1351" s="7" t="s">
        <v>25</v>
      </c>
      <c r="J1351" s="15">
        <v>10</v>
      </c>
    </row>
    <row r="1352" spans="1:10" ht="52" x14ac:dyDescent="0.2">
      <c r="A1352" s="7" t="s">
        <v>2031</v>
      </c>
      <c r="B1352" s="8" t="s">
        <v>701</v>
      </c>
      <c r="C1352" s="8" t="s">
        <v>702</v>
      </c>
      <c r="D1352" s="6" t="s">
        <v>1666</v>
      </c>
      <c r="E1352" s="7" t="s">
        <v>1667</v>
      </c>
      <c r="F1352" s="7" t="s">
        <v>704</v>
      </c>
      <c r="G1352" s="8" t="s">
        <v>1675</v>
      </c>
      <c r="H1352" s="8" t="s">
        <v>1676</v>
      </c>
      <c r="I1352" s="7" t="s">
        <v>17</v>
      </c>
      <c r="J1352" s="15">
        <v>15</v>
      </c>
    </row>
    <row r="1353" spans="1:10" ht="52" x14ac:dyDescent="0.2">
      <c r="A1353" s="7" t="s">
        <v>2031</v>
      </c>
      <c r="B1353" s="8" t="s">
        <v>701</v>
      </c>
      <c r="C1353" s="8" t="s">
        <v>702</v>
      </c>
      <c r="D1353" s="6" t="s">
        <v>1666</v>
      </c>
      <c r="E1353" s="7" t="s">
        <v>1667</v>
      </c>
      <c r="F1353" s="7" t="s">
        <v>704</v>
      </c>
      <c r="G1353" s="8" t="s">
        <v>1677</v>
      </c>
      <c r="H1353" s="8" t="s">
        <v>1678</v>
      </c>
      <c r="I1353" s="7" t="s">
        <v>17</v>
      </c>
      <c r="J1353" s="15">
        <v>15</v>
      </c>
    </row>
    <row r="1354" spans="1:10" ht="52" x14ac:dyDescent="0.2">
      <c r="A1354" s="7" t="s">
        <v>2031</v>
      </c>
      <c r="B1354" s="8" t="s">
        <v>701</v>
      </c>
      <c r="C1354" s="8" t="s">
        <v>702</v>
      </c>
      <c r="D1354" s="6" t="s">
        <v>2199</v>
      </c>
      <c r="E1354" s="7" t="s">
        <v>2200</v>
      </c>
      <c r="F1354" s="7" t="s">
        <v>704</v>
      </c>
      <c r="G1354" s="8" t="s">
        <v>867</v>
      </c>
      <c r="H1354" s="8" t="s">
        <v>2201</v>
      </c>
      <c r="I1354" s="7" t="s">
        <v>17</v>
      </c>
      <c r="J1354" s="15">
        <v>15</v>
      </c>
    </row>
    <row r="1355" spans="1:10" ht="78" x14ac:dyDescent="0.2">
      <c r="A1355" s="7" t="s">
        <v>2031</v>
      </c>
      <c r="B1355" s="8" t="s">
        <v>701</v>
      </c>
      <c r="C1355" s="8" t="s">
        <v>702</v>
      </c>
      <c r="D1355" s="6" t="s">
        <v>2199</v>
      </c>
      <c r="E1355" s="7" t="s">
        <v>2200</v>
      </c>
      <c r="F1355" s="7" t="s">
        <v>704</v>
      </c>
      <c r="G1355" s="8" t="s">
        <v>2202</v>
      </c>
      <c r="H1355" s="8" t="s">
        <v>2203</v>
      </c>
      <c r="I1355" s="7" t="s">
        <v>17</v>
      </c>
      <c r="J1355" s="15">
        <v>10</v>
      </c>
    </row>
    <row r="1356" spans="1:10" ht="52" x14ac:dyDescent="0.2">
      <c r="A1356" s="7" t="s">
        <v>2031</v>
      </c>
      <c r="B1356" s="8" t="s">
        <v>701</v>
      </c>
      <c r="C1356" s="8" t="s">
        <v>702</v>
      </c>
      <c r="D1356" s="6" t="s">
        <v>2199</v>
      </c>
      <c r="E1356" s="7" t="s">
        <v>2200</v>
      </c>
      <c r="F1356" s="7" t="s">
        <v>704</v>
      </c>
      <c r="G1356" s="8" t="s">
        <v>713</v>
      </c>
      <c r="H1356" s="8" t="s">
        <v>2204</v>
      </c>
      <c r="I1356" s="7" t="s">
        <v>25</v>
      </c>
      <c r="J1356" s="15">
        <v>15</v>
      </c>
    </row>
    <row r="1357" spans="1:10" ht="65" x14ac:dyDescent="0.2">
      <c r="A1357" s="7" t="s">
        <v>2031</v>
      </c>
      <c r="B1357" s="8" t="s">
        <v>701</v>
      </c>
      <c r="C1357" s="8" t="s">
        <v>702</v>
      </c>
      <c r="D1357" s="6" t="s">
        <v>2199</v>
      </c>
      <c r="E1357" s="7" t="s">
        <v>2200</v>
      </c>
      <c r="F1357" s="7" t="s">
        <v>704</v>
      </c>
      <c r="G1357" s="8" t="s">
        <v>2205</v>
      </c>
      <c r="H1357" s="8" t="s">
        <v>2206</v>
      </c>
      <c r="I1357" s="7" t="s">
        <v>17</v>
      </c>
      <c r="J1357" s="15">
        <v>10</v>
      </c>
    </row>
    <row r="1358" spans="1:10" ht="52" x14ac:dyDescent="0.2">
      <c r="A1358" s="7" t="s">
        <v>2031</v>
      </c>
      <c r="B1358" s="8" t="s">
        <v>701</v>
      </c>
      <c r="C1358" s="8" t="s">
        <v>702</v>
      </c>
      <c r="D1358" s="6" t="s">
        <v>2199</v>
      </c>
      <c r="E1358" s="7" t="s">
        <v>2200</v>
      </c>
      <c r="F1358" s="7" t="s">
        <v>704</v>
      </c>
      <c r="G1358" s="8" t="s">
        <v>2207</v>
      </c>
      <c r="H1358" s="8" t="s">
        <v>2208</v>
      </c>
      <c r="I1358" s="7" t="s">
        <v>17</v>
      </c>
      <c r="J1358" s="15">
        <v>10</v>
      </c>
    </row>
    <row r="1359" spans="1:10" ht="78" x14ac:dyDescent="0.2">
      <c r="A1359" s="7" t="s">
        <v>2031</v>
      </c>
      <c r="B1359" s="8" t="s">
        <v>701</v>
      </c>
      <c r="C1359" s="8" t="s">
        <v>702</v>
      </c>
      <c r="D1359" s="6" t="s">
        <v>2199</v>
      </c>
      <c r="E1359" s="7" t="s">
        <v>2200</v>
      </c>
      <c r="F1359" s="7" t="s">
        <v>704</v>
      </c>
      <c r="G1359" s="8" t="s">
        <v>379</v>
      </c>
      <c r="H1359" s="8" t="s">
        <v>2209</v>
      </c>
      <c r="I1359" s="7" t="s">
        <v>25</v>
      </c>
      <c r="J1359" s="15">
        <v>10</v>
      </c>
    </row>
    <row r="1360" spans="1:10" ht="78" x14ac:dyDescent="0.2">
      <c r="A1360" s="7" t="s">
        <v>2031</v>
      </c>
      <c r="B1360" s="8" t="s">
        <v>701</v>
      </c>
      <c r="C1360" s="8" t="s">
        <v>702</v>
      </c>
      <c r="D1360" s="6" t="s">
        <v>2199</v>
      </c>
      <c r="E1360" s="7" t="s">
        <v>2200</v>
      </c>
      <c r="F1360" s="7" t="s">
        <v>704</v>
      </c>
      <c r="G1360" s="8" t="s">
        <v>868</v>
      </c>
      <c r="H1360" s="8" t="s">
        <v>2210</v>
      </c>
      <c r="I1360" s="7" t="s">
        <v>17</v>
      </c>
      <c r="J1360" s="15">
        <v>30</v>
      </c>
    </row>
    <row r="1361" spans="1:10" ht="52" x14ac:dyDescent="0.2">
      <c r="A1361" s="7" t="s">
        <v>2031</v>
      </c>
      <c r="B1361" s="8" t="s">
        <v>701</v>
      </c>
      <c r="C1361" s="8" t="s">
        <v>702</v>
      </c>
      <c r="D1361" s="6" t="s">
        <v>2434</v>
      </c>
      <c r="E1361" s="7" t="s">
        <v>2435</v>
      </c>
      <c r="F1361" s="7" t="s">
        <v>704</v>
      </c>
      <c r="G1361" s="8" t="s">
        <v>2436</v>
      </c>
      <c r="H1361" s="8" t="s">
        <v>2437</v>
      </c>
      <c r="I1361" s="7" t="s">
        <v>17</v>
      </c>
      <c r="J1361" s="15">
        <v>15</v>
      </c>
    </row>
    <row r="1362" spans="1:10" ht="52" x14ac:dyDescent="0.2">
      <c r="A1362" s="7" t="s">
        <v>2031</v>
      </c>
      <c r="B1362" s="8" t="s">
        <v>701</v>
      </c>
      <c r="C1362" s="8" t="s">
        <v>702</v>
      </c>
      <c r="D1362" s="6" t="s">
        <v>2434</v>
      </c>
      <c r="E1362" s="7" t="s">
        <v>2435</v>
      </c>
      <c r="F1362" s="7" t="s">
        <v>704</v>
      </c>
      <c r="G1362" s="8" t="s">
        <v>713</v>
      </c>
      <c r="H1362" s="8" t="s">
        <v>2438</v>
      </c>
      <c r="I1362" s="7" t="s">
        <v>25</v>
      </c>
      <c r="J1362" s="15">
        <v>15</v>
      </c>
    </row>
    <row r="1363" spans="1:10" ht="78" x14ac:dyDescent="0.2">
      <c r="A1363" s="7" t="s">
        <v>2031</v>
      </c>
      <c r="B1363" s="8" t="s">
        <v>701</v>
      </c>
      <c r="C1363" s="8" t="s">
        <v>702</v>
      </c>
      <c r="D1363" s="6" t="s">
        <v>2434</v>
      </c>
      <c r="E1363" s="7" t="s">
        <v>2435</v>
      </c>
      <c r="F1363" s="7" t="s">
        <v>704</v>
      </c>
      <c r="G1363" s="8" t="s">
        <v>2439</v>
      </c>
      <c r="H1363" s="8" t="s">
        <v>2440</v>
      </c>
      <c r="I1363" s="7" t="s">
        <v>17</v>
      </c>
      <c r="J1363" s="15">
        <v>15</v>
      </c>
    </row>
    <row r="1364" spans="1:10" ht="78" x14ac:dyDescent="0.2">
      <c r="A1364" s="7" t="s">
        <v>2031</v>
      </c>
      <c r="B1364" s="8" t="s">
        <v>701</v>
      </c>
      <c r="C1364" s="8" t="s">
        <v>702</v>
      </c>
      <c r="D1364" s="6" t="s">
        <v>2434</v>
      </c>
      <c r="E1364" s="7" t="s">
        <v>2435</v>
      </c>
      <c r="F1364" s="7" t="s">
        <v>704</v>
      </c>
      <c r="G1364" s="8" t="s">
        <v>2441</v>
      </c>
      <c r="H1364" s="8" t="s">
        <v>2442</v>
      </c>
      <c r="I1364" s="7" t="s">
        <v>17</v>
      </c>
      <c r="J1364" s="15">
        <v>15</v>
      </c>
    </row>
    <row r="1365" spans="1:10" ht="117" x14ac:dyDescent="0.2">
      <c r="A1365" s="7" t="s">
        <v>2031</v>
      </c>
      <c r="B1365" s="8" t="s">
        <v>701</v>
      </c>
      <c r="C1365" s="8" t="s">
        <v>702</v>
      </c>
      <c r="D1365" s="6" t="s">
        <v>2434</v>
      </c>
      <c r="E1365" s="7" t="s">
        <v>2435</v>
      </c>
      <c r="F1365" s="7" t="s">
        <v>704</v>
      </c>
      <c r="G1365" s="8" t="s">
        <v>2443</v>
      </c>
      <c r="H1365" s="8" t="s">
        <v>2444</v>
      </c>
      <c r="I1365" s="7" t="s">
        <v>17</v>
      </c>
      <c r="J1365" s="15">
        <v>15</v>
      </c>
    </row>
    <row r="1366" spans="1:10" ht="52" x14ac:dyDescent="0.2">
      <c r="A1366" s="7" t="s">
        <v>2031</v>
      </c>
      <c r="B1366" s="8" t="s">
        <v>701</v>
      </c>
      <c r="C1366" s="8" t="s">
        <v>702</v>
      </c>
      <c r="D1366" s="6" t="s">
        <v>2434</v>
      </c>
      <c r="E1366" s="7" t="s">
        <v>2435</v>
      </c>
      <c r="F1366" s="7" t="s">
        <v>704</v>
      </c>
      <c r="G1366" s="8" t="s">
        <v>1103</v>
      </c>
      <c r="H1366" s="8" t="s">
        <v>2445</v>
      </c>
      <c r="I1366" s="7" t="s">
        <v>17</v>
      </c>
      <c r="J1366" s="15">
        <v>10</v>
      </c>
    </row>
    <row r="1367" spans="1:10" ht="78" x14ac:dyDescent="0.2">
      <c r="A1367" s="7" t="s">
        <v>2031</v>
      </c>
      <c r="B1367" s="8" t="s">
        <v>701</v>
      </c>
      <c r="C1367" s="8" t="s">
        <v>702</v>
      </c>
      <c r="D1367" s="6" t="s">
        <v>2434</v>
      </c>
      <c r="E1367" s="7" t="s">
        <v>2435</v>
      </c>
      <c r="F1367" s="7" t="s">
        <v>704</v>
      </c>
      <c r="G1367" s="8" t="s">
        <v>2446</v>
      </c>
      <c r="H1367" s="8" t="s">
        <v>2447</v>
      </c>
      <c r="I1367" s="7" t="s">
        <v>25</v>
      </c>
      <c r="J1367" s="15">
        <v>15</v>
      </c>
    </row>
    <row r="1368" spans="1:10" ht="52" x14ac:dyDescent="0.2">
      <c r="A1368" s="7" t="s">
        <v>2031</v>
      </c>
      <c r="B1368" s="8" t="s">
        <v>701</v>
      </c>
      <c r="C1368" s="8" t="s">
        <v>702</v>
      </c>
      <c r="D1368" s="6" t="s">
        <v>2655</v>
      </c>
      <c r="E1368" s="7" t="s">
        <v>2656</v>
      </c>
      <c r="F1368" s="7" t="s">
        <v>704</v>
      </c>
      <c r="G1368" s="8" t="s">
        <v>2657</v>
      </c>
      <c r="H1368" s="8" t="s">
        <v>2658</v>
      </c>
      <c r="I1368" s="7" t="s">
        <v>17</v>
      </c>
      <c r="J1368" s="15">
        <v>20</v>
      </c>
    </row>
    <row r="1369" spans="1:10" ht="104" x14ac:dyDescent="0.2">
      <c r="A1369" s="7" t="s">
        <v>2031</v>
      </c>
      <c r="B1369" s="8" t="s">
        <v>701</v>
      </c>
      <c r="C1369" s="8" t="s">
        <v>702</v>
      </c>
      <c r="D1369" s="6" t="s">
        <v>2655</v>
      </c>
      <c r="E1369" s="7" t="s">
        <v>2656</v>
      </c>
      <c r="F1369" s="7" t="s">
        <v>704</v>
      </c>
      <c r="G1369" s="8" t="s">
        <v>715</v>
      </c>
      <c r="H1369" s="8" t="s">
        <v>2659</v>
      </c>
      <c r="I1369" s="7" t="s">
        <v>17</v>
      </c>
      <c r="J1369" s="15">
        <v>20</v>
      </c>
    </row>
    <row r="1370" spans="1:10" ht="143" x14ac:dyDescent="0.2">
      <c r="A1370" s="7" t="s">
        <v>2031</v>
      </c>
      <c r="B1370" s="8" t="s">
        <v>701</v>
      </c>
      <c r="C1370" s="8" t="s">
        <v>702</v>
      </c>
      <c r="D1370" s="6" t="s">
        <v>2655</v>
      </c>
      <c r="E1370" s="7" t="s">
        <v>2656</v>
      </c>
      <c r="F1370" s="7" t="s">
        <v>704</v>
      </c>
      <c r="G1370" s="8" t="s">
        <v>718</v>
      </c>
      <c r="H1370" s="8" t="s">
        <v>2660</v>
      </c>
      <c r="I1370" s="7" t="s">
        <v>17</v>
      </c>
      <c r="J1370" s="15">
        <v>20</v>
      </c>
    </row>
    <row r="1371" spans="1:10" ht="52" x14ac:dyDescent="0.2">
      <c r="A1371" s="7" t="s">
        <v>2031</v>
      </c>
      <c r="B1371" s="8" t="s">
        <v>701</v>
      </c>
      <c r="C1371" s="8" t="s">
        <v>702</v>
      </c>
      <c r="D1371" s="6" t="s">
        <v>2655</v>
      </c>
      <c r="E1371" s="7" t="s">
        <v>2656</v>
      </c>
      <c r="F1371" s="7" t="s">
        <v>704</v>
      </c>
      <c r="G1371" s="8" t="s">
        <v>2661</v>
      </c>
      <c r="H1371" s="8" t="s">
        <v>2662</v>
      </c>
      <c r="I1371" s="7" t="s">
        <v>17</v>
      </c>
      <c r="J1371" s="15">
        <v>20</v>
      </c>
    </row>
    <row r="1372" spans="1:10" ht="78" x14ac:dyDescent="0.2">
      <c r="A1372" s="7" t="s">
        <v>2031</v>
      </c>
      <c r="B1372" s="8" t="s">
        <v>701</v>
      </c>
      <c r="C1372" s="8" t="s">
        <v>702</v>
      </c>
      <c r="D1372" s="6" t="s">
        <v>2655</v>
      </c>
      <c r="E1372" s="7" t="s">
        <v>2656</v>
      </c>
      <c r="F1372" s="7" t="s">
        <v>704</v>
      </c>
      <c r="G1372" s="8" t="s">
        <v>379</v>
      </c>
      <c r="H1372" s="8" t="s">
        <v>2663</v>
      </c>
      <c r="I1372" s="7" t="s">
        <v>25</v>
      </c>
      <c r="J1372" s="15">
        <v>10</v>
      </c>
    </row>
    <row r="1373" spans="1:10" ht="52" x14ac:dyDescent="0.2">
      <c r="A1373" s="7" t="s">
        <v>2031</v>
      </c>
      <c r="B1373" s="8" t="s">
        <v>701</v>
      </c>
      <c r="C1373" s="8" t="s">
        <v>702</v>
      </c>
      <c r="D1373" s="6" t="s">
        <v>2655</v>
      </c>
      <c r="E1373" s="7" t="s">
        <v>2656</v>
      </c>
      <c r="F1373" s="7" t="s">
        <v>704</v>
      </c>
      <c r="G1373" s="8" t="s">
        <v>713</v>
      </c>
      <c r="H1373" s="8" t="s">
        <v>2664</v>
      </c>
      <c r="I1373" s="7" t="s">
        <v>25</v>
      </c>
      <c r="J1373" s="15">
        <v>10</v>
      </c>
    </row>
    <row r="1374" spans="1:10" ht="78" x14ac:dyDescent="0.2">
      <c r="A1374" s="7" t="s">
        <v>2031</v>
      </c>
      <c r="B1374" s="8" t="s">
        <v>701</v>
      </c>
      <c r="C1374" s="8" t="s">
        <v>2103</v>
      </c>
      <c r="D1374" s="6" t="s">
        <v>2101</v>
      </c>
      <c r="E1374" s="7" t="s">
        <v>2102</v>
      </c>
      <c r="F1374" s="7" t="s">
        <v>704</v>
      </c>
      <c r="G1374" s="8" t="s">
        <v>2104</v>
      </c>
      <c r="H1374" s="8" t="s">
        <v>2105</v>
      </c>
      <c r="I1374" s="7" t="s">
        <v>25</v>
      </c>
      <c r="J1374" s="15">
        <v>10</v>
      </c>
    </row>
    <row r="1375" spans="1:10" ht="26" x14ac:dyDescent="0.2">
      <c r="A1375" s="7" t="s">
        <v>2031</v>
      </c>
      <c r="B1375" s="8" t="s">
        <v>701</v>
      </c>
      <c r="C1375" s="8" t="s">
        <v>2103</v>
      </c>
      <c r="D1375" s="6" t="s">
        <v>2101</v>
      </c>
      <c r="E1375" s="7" t="s">
        <v>2102</v>
      </c>
      <c r="F1375" s="7" t="s">
        <v>704</v>
      </c>
      <c r="G1375" s="8" t="s">
        <v>2106</v>
      </c>
      <c r="H1375" s="8" t="s">
        <v>2107</v>
      </c>
      <c r="I1375" s="7" t="s">
        <v>17</v>
      </c>
      <c r="J1375" s="15">
        <v>25</v>
      </c>
    </row>
    <row r="1376" spans="1:10" ht="65" x14ac:dyDescent="0.2">
      <c r="A1376" s="7" t="s">
        <v>2031</v>
      </c>
      <c r="B1376" s="8" t="s">
        <v>701</v>
      </c>
      <c r="C1376" s="8" t="s">
        <v>2103</v>
      </c>
      <c r="D1376" s="6" t="s">
        <v>2101</v>
      </c>
      <c r="E1376" s="7" t="s">
        <v>2102</v>
      </c>
      <c r="F1376" s="7" t="s">
        <v>704</v>
      </c>
      <c r="G1376" s="8" t="s">
        <v>2108</v>
      </c>
      <c r="H1376" s="8" t="s">
        <v>2109</v>
      </c>
      <c r="I1376" s="7" t="s">
        <v>17</v>
      </c>
      <c r="J1376" s="15">
        <v>25</v>
      </c>
    </row>
    <row r="1377" spans="1:10" ht="52" x14ac:dyDescent="0.2">
      <c r="A1377" s="7" t="s">
        <v>2031</v>
      </c>
      <c r="B1377" s="8" t="s">
        <v>701</v>
      </c>
      <c r="C1377" s="8" t="s">
        <v>2103</v>
      </c>
      <c r="D1377" s="6" t="s">
        <v>2101</v>
      </c>
      <c r="E1377" s="7" t="s">
        <v>2102</v>
      </c>
      <c r="F1377" s="7" t="s">
        <v>704</v>
      </c>
      <c r="G1377" s="8" t="s">
        <v>2110</v>
      </c>
      <c r="H1377" s="8" t="s">
        <v>2111</v>
      </c>
      <c r="I1377" s="7" t="s">
        <v>17</v>
      </c>
      <c r="J1377" s="15">
        <v>20</v>
      </c>
    </row>
    <row r="1378" spans="1:10" ht="52" x14ac:dyDescent="0.2">
      <c r="A1378" s="7" t="s">
        <v>2031</v>
      </c>
      <c r="B1378" s="8" t="s">
        <v>701</v>
      </c>
      <c r="C1378" s="8" t="s">
        <v>2103</v>
      </c>
      <c r="D1378" s="6" t="s">
        <v>2101</v>
      </c>
      <c r="E1378" s="7" t="s">
        <v>2102</v>
      </c>
      <c r="F1378" s="7" t="s">
        <v>704</v>
      </c>
      <c r="G1378" s="8" t="s">
        <v>713</v>
      </c>
      <c r="H1378" s="8" t="s">
        <v>2112</v>
      </c>
      <c r="I1378" s="7" t="s">
        <v>25</v>
      </c>
      <c r="J1378" s="15">
        <v>5</v>
      </c>
    </row>
    <row r="1379" spans="1:10" ht="52" x14ac:dyDescent="0.2">
      <c r="A1379" s="7" t="s">
        <v>2031</v>
      </c>
      <c r="B1379" s="8" t="s">
        <v>701</v>
      </c>
      <c r="C1379" s="8" t="s">
        <v>2103</v>
      </c>
      <c r="D1379" s="6" t="s">
        <v>2101</v>
      </c>
      <c r="E1379" s="7" t="s">
        <v>2102</v>
      </c>
      <c r="F1379" s="7" t="s">
        <v>704</v>
      </c>
      <c r="G1379" s="8" t="s">
        <v>1103</v>
      </c>
      <c r="H1379" s="8" t="s">
        <v>2113</v>
      </c>
      <c r="I1379" s="7" t="s">
        <v>17</v>
      </c>
      <c r="J1379" s="15">
        <v>15</v>
      </c>
    </row>
    <row r="1380" spans="1:10" ht="65" x14ac:dyDescent="0.2">
      <c r="A1380" s="7" t="s">
        <v>2031</v>
      </c>
      <c r="B1380" s="8" t="s">
        <v>701</v>
      </c>
      <c r="C1380" s="8" t="s">
        <v>1101</v>
      </c>
      <c r="D1380" s="6" t="s">
        <v>1099</v>
      </c>
      <c r="E1380" s="7" t="s">
        <v>1100</v>
      </c>
      <c r="F1380" s="7" t="s">
        <v>704</v>
      </c>
      <c r="G1380" s="8" t="s">
        <v>713</v>
      </c>
      <c r="H1380" s="8" t="s">
        <v>1102</v>
      </c>
      <c r="I1380" s="7" t="s">
        <v>25</v>
      </c>
      <c r="J1380" s="15">
        <v>5</v>
      </c>
    </row>
    <row r="1381" spans="1:10" ht="65" x14ac:dyDescent="0.2">
      <c r="A1381" s="7" t="s">
        <v>2031</v>
      </c>
      <c r="B1381" s="8" t="s">
        <v>701</v>
      </c>
      <c r="C1381" s="8" t="s">
        <v>1101</v>
      </c>
      <c r="D1381" s="6" t="s">
        <v>1099</v>
      </c>
      <c r="E1381" s="7" t="s">
        <v>1100</v>
      </c>
      <c r="F1381" s="7" t="s">
        <v>704</v>
      </c>
      <c r="G1381" s="8" t="s">
        <v>1103</v>
      </c>
      <c r="H1381" s="8" t="s">
        <v>1104</v>
      </c>
      <c r="I1381" s="7" t="s">
        <v>17</v>
      </c>
      <c r="J1381" s="15">
        <v>5</v>
      </c>
    </row>
    <row r="1382" spans="1:10" ht="117" x14ac:dyDescent="0.2">
      <c r="A1382" s="7" t="s">
        <v>2031</v>
      </c>
      <c r="B1382" s="8" t="s">
        <v>701</v>
      </c>
      <c r="C1382" s="8" t="s">
        <v>1101</v>
      </c>
      <c r="D1382" s="6" t="s">
        <v>1099</v>
      </c>
      <c r="E1382" s="7" t="s">
        <v>1100</v>
      </c>
      <c r="F1382" s="7" t="s">
        <v>704</v>
      </c>
      <c r="G1382" s="8" t="s">
        <v>1105</v>
      </c>
      <c r="H1382" s="8" t="s">
        <v>1106</v>
      </c>
      <c r="I1382" s="7" t="s">
        <v>17</v>
      </c>
      <c r="J1382" s="15">
        <v>20</v>
      </c>
    </row>
    <row r="1383" spans="1:10" ht="65" x14ac:dyDescent="0.2">
      <c r="A1383" s="7" t="s">
        <v>2031</v>
      </c>
      <c r="B1383" s="8" t="s">
        <v>701</v>
      </c>
      <c r="C1383" s="8" t="s">
        <v>1101</v>
      </c>
      <c r="D1383" s="6" t="s">
        <v>1099</v>
      </c>
      <c r="E1383" s="7" t="s">
        <v>1100</v>
      </c>
      <c r="F1383" s="7" t="s">
        <v>704</v>
      </c>
      <c r="G1383" s="8" t="s">
        <v>1107</v>
      </c>
      <c r="H1383" s="8" t="s">
        <v>1108</v>
      </c>
      <c r="I1383" s="7" t="s">
        <v>17</v>
      </c>
      <c r="J1383" s="15">
        <v>15</v>
      </c>
    </row>
    <row r="1384" spans="1:10" ht="52" x14ac:dyDescent="0.2">
      <c r="A1384" s="7" t="s">
        <v>2031</v>
      </c>
      <c r="B1384" s="8" t="s">
        <v>701</v>
      </c>
      <c r="C1384" s="8" t="s">
        <v>1101</v>
      </c>
      <c r="D1384" s="6" t="s">
        <v>1099</v>
      </c>
      <c r="E1384" s="7" t="s">
        <v>1100</v>
      </c>
      <c r="F1384" s="7" t="s">
        <v>704</v>
      </c>
      <c r="G1384" s="8" t="s">
        <v>1109</v>
      </c>
      <c r="H1384" s="8" t="s">
        <v>1110</v>
      </c>
      <c r="I1384" s="7" t="s">
        <v>17</v>
      </c>
      <c r="J1384" s="15">
        <v>10</v>
      </c>
    </row>
    <row r="1385" spans="1:10" ht="235.25" customHeight="1" x14ac:dyDescent="0.2">
      <c r="A1385" s="7" t="s">
        <v>2031</v>
      </c>
      <c r="B1385" s="8" t="s">
        <v>701</v>
      </c>
      <c r="C1385" s="8" t="s">
        <v>1101</v>
      </c>
      <c r="D1385" s="6" t="s">
        <v>1099</v>
      </c>
      <c r="E1385" s="7" t="s">
        <v>1100</v>
      </c>
      <c r="F1385" s="7" t="s">
        <v>704</v>
      </c>
      <c r="G1385" s="8" t="s">
        <v>1111</v>
      </c>
      <c r="H1385" s="8" t="s">
        <v>1112</v>
      </c>
      <c r="I1385" s="7" t="s">
        <v>17</v>
      </c>
      <c r="J1385" s="15">
        <v>15</v>
      </c>
    </row>
    <row r="1386" spans="1:10" ht="192" customHeight="1" x14ac:dyDescent="0.2">
      <c r="A1386" s="7" t="s">
        <v>2031</v>
      </c>
      <c r="B1386" s="8" t="s">
        <v>701</v>
      </c>
      <c r="C1386" s="8" t="s">
        <v>1101</v>
      </c>
      <c r="D1386" s="6" t="s">
        <v>1099</v>
      </c>
      <c r="E1386" s="7" t="s">
        <v>1100</v>
      </c>
      <c r="F1386" s="7" t="s">
        <v>704</v>
      </c>
      <c r="G1386" s="8" t="s">
        <v>1113</v>
      </c>
      <c r="H1386" s="8" t="s">
        <v>1114</v>
      </c>
      <c r="I1386" s="7" t="s">
        <v>17</v>
      </c>
      <c r="J1386" s="15">
        <v>10</v>
      </c>
    </row>
    <row r="1387" spans="1:10" ht="187.25" customHeight="1" x14ac:dyDescent="0.2">
      <c r="A1387" s="7" t="s">
        <v>2031</v>
      </c>
      <c r="B1387" s="8" t="s">
        <v>701</v>
      </c>
      <c r="C1387" s="8" t="s">
        <v>1101</v>
      </c>
      <c r="D1387" s="6" t="s">
        <v>1099</v>
      </c>
      <c r="E1387" s="7" t="s">
        <v>1100</v>
      </c>
      <c r="F1387" s="7" t="s">
        <v>704</v>
      </c>
      <c r="G1387" s="8" t="s">
        <v>1115</v>
      </c>
      <c r="H1387" s="8" t="s">
        <v>1116</v>
      </c>
      <c r="I1387" s="7" t="s">
        <v>17</v>
      </c>
      <c r="J1387" s="15">
        <v>10</v>
      </c>
    </row>
    <row r="1388" spans="1:10" ht="129.5" customHeight="1" x14ac:dyDescent="0.2">
      <c r="A1388" s="7" t="s">
        <v>2031</v>
      </c>
      <c r="B1388" s="8" t="s">
        <v>701</v>
      </c>
      <c r="C1388" s="8" t="s">
        <v>1101</v>
      </c>
      <c r="D1388" s="6" t="s">
        <v>1099</v>
      </c>
      <c r="E1388" s="7" t="s">
        <v>1100</v>
      </c>
      <c r="F1388" s="7" t="s">
        <v>704</v>
      </c>
      <c r="G1388" s="8" t="s">
        <v>379</v>
      </c>
      <c r="H1388" s="8" t="s">
        <v>1117</v>
      </c>
      <c r="I1388" s="7" t="s">
        <v>25</v>
      </c>
      <c r="J1388" s="15">
        <v>10</v>
      </c>
    </row>
    <row r="1389" spans="1:10" ht="52" x14ac:dyDescent="0.2">
      <c r="A1389" s="7" t="s">
        <v>2031</v>
      </c>
      <c r="B1389" s="8" t="s">
        <v>701</v>
      </c>
      <c r="C1389" s="8" t="s">
        <v>2290</v>
      </c>
      <c r="D1389" s="6" t="s">
        <v>703</v>
      </c>
      <c r="E1389" s="7" t="s">
        <v>704</v>
      </c>
      <c r="F1389" s="7" t="s">
        <v>862</v>
      </c>
      <c r="G1389" s="8" t="s">
        <v>870</v>
      </c>
      <c r="H1389" s="8" t="s">
        <v>2291</v>
      </c>
      <c r="I1389" s="7" t="s">
        <v>17</v>
      </c>
      <c r="J1389" s="15">
        <v>5</v>
      </c>
    </row>
    <row r="1390" spans="1:10" ht="52" x14ac:dyDescent="0.2">
      <c r="A1390" s="7" t="s">
        <v>2031</v>
      </c>
      <c r="B1390" s="8" t="s">
        <v>701</v>
      </c>
      <c r="C1390" s="8" t="s">
        <v>2290</v>
      </c>
      <c r="D1390" s="6" t="s">
        <v>703</v>
      </c>
      <c r="E1390" s="7" t="s">
        <v>704</v>
      </c>
      <c r="F1390" s="7" t="s">
        <v>862</v>
      </c>
      <c r="G1390" s="8" t="s">
        <v>867</v>
      </c>
      <c r="H1390" s="8" t="s">
        <v>2292</v>
      </c>
      <c r="I1390" s="7" t="s">
        <v>17</v>
      </c>
      <c r="J1390" s="15">
        <v>25</v>
      </c>
    </row>
    <row r="1391" spans="1:10" ht="78" x14ac:dyDescent="0.2">
      <c r="A1391" s="7" t="s">
        <v>2031</v>
      </c>
      <c r="B1391" s="8" t="s">
        <v>701</v>
      </c>
      <c r="C1391" s="8" t="s">
        <v>2290</v>
      </c>
      <c r="D1391" s="6" t="s">
        <v>703</v>
      </c>
      <c r="E1391" s="7" t="s">
        <v>704</v>
      </c>
      <c r="F1391" s="7" t="s">
        <v>862</v>
      </c>
      <c r="G1391" s="8" t="s">
        <v>379</v>
      </c>
      <c r="H1391" s="8" t="s">
        <v>2293</v>
      </c>
      <c r="I1391" s="7" t="s">
        <v>25</v>
      </c>
      <c r="J1391" s="15">
        <v>10</v>
      </c>
    </row>
    <row r="1392" spans="1:10" ht="52" x14ac:dyDescent="0.2">
      <c r="A1392" s="7" t="s">
        <v>2031</v>
      </c>
      <c r="B1392" s="8" t="s">
        <v>701</v>
      </c>
      <c r="C1392" s="8" t="s">
        <v>2290</v>
      </c>
      <c r="D1392" s="6" t="s">
        <v>703</v>
      </c>
      <c r="E1392" s="7" t="s">
        <v>704</v>
      </c>
      <c r="F1392" s="7" t="s">
        <v>862</v>
      </c>
      <c r="G1392" s="8" t="s">
        <v>713</v>
      </c>
      <c r="H1392" s="8" t="s">
        <v>2294</v>
      </c>
      <c r="I1392" s="7" t="s">
        <v>25</v>
      </c>
      <c r="J1392" s="15">
        <v>5</v>
      </c>
    </row>
    <row r="1393" spans="1:10" ht="78" x14ac:dyDescent="0.2">
      <c r="A1393" s="7" t="s">
        <v>2031</v>
      </c>
      <c r="B1393" s="8" t="s">
        <v>701</v>
      </c>
      <c r="C1393" s="8" t="s">
        <v>2290</v>
      </c>
      <c r="D1393" s="6" t="s">
        <v>703</v>
      </c>
      <c r="E1393" s="7" t="s">
        <v>704</v>
      </c>
      <c r="F1393" s="7" t="s">
        <v>862</v>
      </c>
      <c r="G1393" s="8" t="s">
        <v>2202</v>
      </c>
      <c r="H1393" s="8" t="s">
        <v>2295</v>
      </c>
      <c r="I1393" s="7" t="s">
        <v>17</v>
      </c>
      <c r="J1393" s="15">
        <v>5</v>
      </c>
    </row>
    <row r="1394" spans="1:10" ht="78" x14ac:dyDescent="0.2">
      <c r="A1394" s="7" t="s">
        <v>2031</v>
      </c>
      <c r="B1394" s="8" t="s">
        <v>701</v>
      </c>
      <c r="C1394" s="8" t="s">
        <v>2290</v>
      </c>
      <c r="D1394" s="6" t="s">
        <v>703</v>
      </c>
      <c r="E1394" s="7" t="s">
        <v>704</v>
      </c>
      <c r="F1394" s="7" t="s">
        <v>862</v>
      </c>
      <c r="G1394" s="8" t="s">
        <v>868</v>
      </c>
      <c r="H1394" s="8" t="s">
        <v>2296</v>
      </c>
      <c r="I1394" s="7" t="s">
        <v>17</v>
      </c>
      <c r="J1394" s="15">
        <v>30</v>
      </c>
    </row>
    <row r="1395" spans="1:10" ht="117" x14ac:dyDescent="0.2">
      <c r="A1395" s="7" t="s">
        <v>2031</v>
      </c>
      <c r="B1395" s="8" t="s">
        <v>701</v>
      </c>
      <c r="C1395" s="8" t="s">
        <v>2290</v>
      </c>
      <c r="D1395" s="6" t="s">
        <v>703</v>
      </c>
      <c r="E1395" s="7" t="s">
        <v>704</v>
      </c>
      <c r="F1395" s="7" t="s">
        <v>862</v>
      </c>
      <c r="G1395" s="8" t="s">
        <v>1105</v>
      </c>
      <c r="H1395" s="8" t="s">
        <v>2297</v>
      </c>
      <c r="I1395" s="7" t="s">
        <v>17</v>
      </c>
      <c r="J1395" s="15">
        <v>20</v>
      </c>
    </row>
    <row r="1396" spans="1:10" ht="78" x14ac:dyDescent="0.2">
      <c r="A1396" s="7" t="s">
        <v>2031</v>
      </c>
      <c r="B1396" s="8" t="s">
        <v>375</v>
      </c>
      <c r="C1396" s="8" t="s">
        <v>1230</v>
      </c>
      <c r="D1396" s="6" t="s">
        <v>377</v>
      </c>
      <c r="E1396" s="7" t="s">
        <v>378</v>
      </c>
      <c r="F1396" s="7" t="s">
        <v>865</v>
      </c>
      <c r="G1396" s="8" t="s">
        <v>405</v>
      </c>
      <c r="H1396" s="8" t="s">
        <v>3399</v>
      </c>
      <c r="I1396" s="7" t="s">
        <v>17</v>
      </c>
      <c r="J1396" s="13">
        <v>20</v>
      </c>
    </row>
    <row r="1397" spans="1:10" ht="104" x14ac:dyDescent="0.2">
      <c r="A1397" s="7" t="s">
        <v>2031</v>
      </c>
      <c r="B1397" s="8" t="s">
        <v>375</v>
      </c>
      <c r="C1397" s="8" t="s">
        <v>1230</v>
      </c>
      <c r="D1397" s="6" t="s">
        <v>377</v>
      </c>
      <c r="E1397" s="7" t="s">
        <v>378</v>
      </c>
      <c r="F1397" s="7" t="s">
        <v>865</v>
      </c>
      <c r="G1397" s="8" t="s">
        <v>1231</v>
      </c>
      <c r="H1397" s="8" t="s">
        <v>3400</v>
      </c>
      <c r="I1397" s="7" t="s">
        <v>17</v>
      </c>
      <c r="J1397" s="13">
        <v>20</v>
      </c>
    </row>
    <row r="1398" spans="1:10" ht="130" x14ac:dyDescent="0.2">
      <c r="A1398" s="7" t="s">
        <v>2031</v>
      </c>
      <c r="B1398" s="8" t="s">
        <v>375</v>
      </c>
      <c r="C1398" s="8" t="s">
        <v>1230</v>
      </c>
      <c r="D1398" s="6" t="s">
        <v>377</v>
      </c>
      <c r="E1398" s="7" t="s">
        <v>378</v>
      </c>
      <c r="F1398" s="7" t="s">
        <v>865</v>
      </c>
      <c r="G1398" s="8" t="s">
        <v>412</v>
      </c>
      <c r="H1398" s="8" t="s">
        <v>3401</v>
      </c>
      <c r="I1398" s="7" t="s">
        <v>25</v>
      </c>
      <c r="J1398" s="13">
        <v>10</v>
      </c>
    </row>
    <row r="1399" spans="1:10" ht="65" x14ac:dyDescent="0.2">
      <c r="A1399" s="7" t="s">
        <v>2031</v>
      </c>
      <c r="B1399" s="8" t="s">
        <v>375</v>
      </c>
      <c r="C1399" s="8" t="s">
        <v>1230</v>
      </c>
      <c r="D1399" s="6" t="s">
        <v>377</v>
      </c>
      <c r="E1399" s="7" t="s">
        <v>378</v>
      </c>
      <c r="F1399" s="7" t="s">
        <v>865</v>
      </c>
      <c r="G1399" s="8" t="s">
        <v>379</v>
      </c>
      <c r="H1399" s="8" t="s">
        <v>3402</v>
      </c>
      <c r="I1399" s="7" t="s">
        <v>25</v>
      </c>
      <c r="J1399" s="13">
        <v>10</v>
      </c>
    </row>
    <row r="1400" spans="1:10" ht="182" x14ac:dyDescent="0.2">
      <c r="A1400" s="7" t="s">
        <v>2031</v>
      </c>
      <c r="B1400" s="8" t="s">
        <v>375</v>
      </c>
      <c r="C1400" s="8" t="s">
        <v>1230</v>
      </c>
      <c r="D1400" s="6" t="s">
        <v>377</v>
      </c>
      <c r="E1400" s="7" t="s">
        <v>378</v>
      </c>
      <c r="F1400" s="7" t="s">
        <v>865</v>
      </c>
      <c r="G1400" s="8" t="s">
        <v>387</v>
      </c>
      <c r="H1400" s="8" t="s">
        <v>3403</v>
      </c>
      <c r="I1400" s="7" t="s">
        <v>25</v>
      </c>
      <c r="J1400" s="13">
        <v>20</v>
      </c>
    </row>
    <row r="1401" spans="1:10" ht="117" x14ac:dyDescent="0.2">
      <c r="A1401" s="7" t="s">
        <v>2031</v>
      </c>
      <c r="B1401" s="8" t="s">
        <v>375</v>
      </c>
      <c r="C1401" s="8" t="s">
        <v>1230</v>
      </c>
      <c r="D1401" s="6" t="s">
        <v>377</v>
      </c>
      <c r="E1401" s="7" t="s">
        <v>378</v>
      </c>
      <c r="F1401" s="7" t="s">
        <v>865</v>
      </c>
      <c r="G1401" s="8" t="s">
        <v>1232</v>
      </c>
      <c r="H1401" s="8" t="s">
        <v>3404</v>
      </c>
      <c r="I1401" s="7" t="s">
        <v>25</v>
      </c>
      <c r="J1401" s="13">
        <v>20</v>
      </c>
    </row>
    <row r="1402" spans="1:10" ht="65" x14ac:dyDescent="0.2">
      <c r="A1402" s="7" t="s">
        <v>2031</v>
      </c>
      <c r="B1402" s="8" t="s">
        <v>375</v>
      </c>
      <c r="C1402" s="8" t="s">
        <v>376</v>
      </c>
      <c r="D1402" s="6" t="s">
        <v>373</v>
      </c>
      <c r="E1402" s="7" t="s">
        <v>374</v>
      </c>
      <c r="F1402" s="7" t="s">
        <v>378</v>
      </c>
      <c r="G1402" s="8" t="s">
        <v>379</v>
      </c>
      <c r="H1402" s="8" t="s">
        <v>380</v>
      </c>
      <c r="I1402" s="7" t="s">
        <v>25</v>
      </c>
      <c r="J1402" s="15">
        <v>15</v>
      </c>
    </row>
    <row r="1403" spans="1:10" ht="320" x14ac:dyDescent="0.2">
      <c r="A1403" s="7" t="s">
        <v>2031</v>
      </c>
      <c r="B1403" s="8" t="s">
        <v>375</v>
      </c>
      <c r="C1403" s="8" t="s">
        <v>376</v>
      </c>
      <c r="D1403" s="6" t="s">
        <v>373</v>
      </c>
      <c r="E1403" s="7" t="s">
        <v>374</v>
      </c>
      <c r="F1403" s="7" t="s">
        <v>378</v>
      </c>
      <c r="G1403" s="8" t="s">
        <v>381</v>
      </c>
      <c r="H1403" s="8" t="s">
        <v>382</v>
      </c>
      <c r="I1403" s="7" t="s">
        <v>25</v>
      </c>
      <c r="J1403" s="15">
        <v>25</v>
      </c>
    </row>
    <row r="1404" spans="1:10" ht="52" x14ac:dyDescent="0.2">
      <c r="A1404" s="7" t="s">
        <v>2031</v>
      </c>
      <c r="B1404" s="8" t="s">
        <v>375</v>
      </c>
      <c r="C1404" s="8" t="s">
        <v>376</v>
      </c>
      <c r="D1404" s="6" t="s">
        <v>373</v>
      </c>
      <c r="E1404" s="7" t="s">
        <v>374</v>
      </c>
      <c r="F1404" s="7" t="s">
        <v>378</v>
      </c>
      <c r="G1404" s="8" t="s">
        <v>383</v>
      </c>
      <c r="H1404" s="8" t="s">
        <v>384</v>
      </c>
      <c r="I1404" s="7" t="s">
        <v>25</v>
      </c>
      <c r="J1404" s="15">
        <v>20</v>
      </c>
    </row>
    <row r="1405" spans="1:10" ht="78" x14ac:dyDescent="0.2">
      <c r="A1405" s="7" t="s">
        <v>2031</v>
      </c>
      <c r="B1405" s="8" t="s">
        <v>375</v>
      </c>
      <c r="C1405" s="8" t="s">
        <v>376</v>
      </c>
      <c r="D1405" s="6" t="s">
        <v>373</v>
      </c>
      <c r="E1405" s="7" t="s">
        <v>374</v>
      </c>
      <c r="F1405" s="7" t="s">
        <v>378</v>
      </c>
      <c r="G1405" s="8" t="s">
        <v>385</v>
      </c>
      <c r="H1405" s="8" t="s">
        <v>386</v>
      </c>
      <c r="I1405" s="7" t="s">
        <v>17</v>
      </c>
      <c r="J1405" s="15">
        <v>25</v>
      </c>
    </row>
    <row r="1406" spans="1:10" ht="195" x14ac:dyDescent="0.2">
      <c r="A1406" s="7" t="s">
        <v>2031</v>
      </c>
      <c r="B1406" s="8" t="s">
        <v>375</v>
      </c>
      <c r="C1406" s="8" t="s">
        <v>376</v>
      </c>
      <c r="D1406" s="6" t="s">
        <v>373</v>
      </c>
      <c r="E1406" s="7" t="s">
        <v>374</v>
      </c>
      <c r="F1406" s="7" t="s">
        <v>378</v>
      </c>
      <c r="G1406" s="8" t="s">
        <v>387</v>
      </c>
      <c r="H1406" s="8" t="s">
        <v>388</v>
      </c>
      <c r="I1406" s="7" t="s">
        <v>25</v>
      </c>
      <c r="J1406" s="15">
        <v>15</v>
      </c>
    </row>
    <row r="1407" spans="1:10" ht="52" x14ac:dyDescent="0.2">
      <c r="A1407" s="7" t="s">
        <v>2031</v>
      </c>
      <c r="B1407" s="8" t="s">
        <v>375</v>
      </c>
      <c r="C1407" s="8" t="s">
        <v>376</v>
      </c>
      <c r="D1407" s="6" t="s">
        <v>403</v>
      </c>
      <c r="E1407" s="7" t="s">
        <v>404</v>
      </c>
      <c r="F1407" s="7" t="s">
        <v>378</v>
      </c>
      <c r="G1407" s="8" t="s">
        <v>405</v>
      </c>
      <c r="H1407" s="8" t="s">
        <v>406</v>
      </c>
      <c r="I1407" s="7" t="s">
        <v>17</v>
      </c>
      <c r="J1407" s="15">
        <v>20</v>
      </c>
    </row>
    <row r="1408" spans="1:10" ht="52" x14ac:dyDescent="0.2">
      <c r="A1408" s="7" t="s">
        <v>2031</v>
      </c>
      <c r="B1408" s="8" t="s">
        <v>375</v>
      </c>
      <c r="C1408" s="8" t="s">
        <v>376</v>
      </c>
      <c r="D1408" s="6" t="s">
        <v>403</v>
      </c>
      <c r="E1408" s="7" t="s">
        <v>404</v>
      </c>
      <c r="F1408" s="7" t="s">
        <v>378</v>
      </c>
      <c r="G1408" s="8" t="s">
        <v>407</v>
      </c>
      <c r="H1408" s="8" t="s">
        <v>408</v>
      </c>
      <c r="I1408" s="7" t="s">
        <v>17</v>
      </c>
      <c r="J1408" s="15">
        <v>25</v>
      </c>
    </row>
    <row r="1409" spans="1:10" ht="65" x14ac:dyDescent="0.2">
      <c r="A1409" s="7" t="s">
        <v>2031</v>
      </c>
      <c r="B1409" s="8" t="s">
        <v>375</v>
      </c>
      <c r="C1409" s="8" t="s">
        <v>376</v>
      </c>
      <c r="D1409" s="6" t="s">
        <v>403</v>
      </c>
      <c r="E1409" s="7" t="s">
        <v>404</v>
      </c>
      <c r="F1409" s="7" t="s">
        <v>378</v>
      </c>
      <c r="G1409" s="8" t="s">
        <v>381</v>
      </c>
      <c r="H1409" s="8" t="s">
        <v>409</v>
      </c>
      <c r="I1409" s="7" t="s">
        <v>25</v>
      </c>
      <c r="J1409" s="15">
        <v>15</v>
      </c>
    </row>
    <row r="1410" spans="1:10" ht="195" x14ac:dyDescent="0.2">
      <c r="A1410" s="7" t="s">
        <v>2031</v>
      </c>
      <c r="B1410" s="8" t="s">
        <v>375</v>
      </c>
      <c r="C1410" s="8" t="s">
        <v>376</v>
      </c>
      <c r="D1410" s="6" t="s">
        <v>403</v>
      </c>
      <c r="E1410" s="7" t="s">
        <v>404</v>
      </c>
      <c r="F1410" s="7" t="s">
        <v>378</v>
      </c>
      <c r="G1410" s="8" t="s">
        <v>410</v>
      </c>
      <c r="H1410" s="8" t="s">
        <v>411</v>
      </c>
      <c r="I1410" s="7" t="s">
        <v>25</v>
      </c>
      <c r="J1410" s="15">
        <v>20</v>
      </c>
    </row>
    <row r="1411" spans="1:10" ht="91" x14ac:dyDescent="0.2">
      <c r="A1411" s="7" t="s">
        <v>2031</v>
      </c>
      <c r="B1411" s="8" t="s">
        <v>375</v>
      </c>
      <c r="C1411" s="8" t="s">
        <v>376</v>
      </c>
      <c r="D1411" s="6" t="s">
        <v>403</v>
      </c>
      <c r="E1411" s="7" t="s">
        <v>404</v>
      </c>
      <c r="F1411" s="7" t="s">
        <v>378</v>
      </c>
      <c r="G1411" s="8" t="s">
        <v>412</v>
      </c>
      <c r="H1411" s="8" t="s">
        <v>413</v>
      </c>
      <c r="I1411" s="7" t="s">
        <v>25</v>
      </c>
      <c r="J1411" s="15">
        <v>20</v>
      </c>
    </row>
    <row r="1412" spans="1:10" ht="140.5" customHeight="1" x14ac:dyDescent="0.2">
      <c r="A1412" s="7" t="s">
        <v>2031</v>
      </c>
      <c r="B1412" s="8" t="s">
        <v>375</v>
      </c>
      <c r="C1412" s="8" t="s">
        <v>376</v>
      </c>
      <c r="D1412" s="6" t="s">
        <v>1590</v>
      </c>
      <c r="E1412" s="7" t="s">
        <v>1591</v>
      </c>
      <c r="F1412" s="7" t="s">
        <v>378</v>
      </c>
      <c r="G1412" s="8" t="s">
        <v>1592</v>
      </c>
      <c r="H1412" s="8" t="s">
        <v>1593</v>
      </c>
      <c r="I1412" s="7" t="s">
        <v>25</v>
      </c>
      <c r="J1412" s="15">
        <v>25</v>
      </c>
    </row>
    <row r="1413" spans="1:10" ht="183" customHeight="1" x14ac:dyDescent="0.2">
      <c r="A1413" s="7" t="s">
        <v>2031</v>
      </c>
      <c r="B1413" s="8" t="s">
        <v>375</v>
      </c>
      <c r="C1413" s="8" t="s">
        <v>376</v>
      </c>
      <c r="D1413" s="6" t="s">
        <v>1590</v>
      </c>
      <c r="E1413" s="7" t="s">
        <v>1591</v>
      </c>
      <c r="F1413" s="7" t="s">
        <v>378</v>
      </c>
      <c r="G1413" s="8" t="s">
        <v>379</v>
      </c>
      <c r="H1413" s="8" t="s">
        <v>1594</v>
      </c>
      <c r="I1413" s="7" t="s">
        <v>25</v>
      </c>
      <c r="J1413" s="15">
        <v>10</v>
      </c>
    </row>
    <row r="1414" spans="1:10" ht="147.5" customHeight="1" x14ac:dyDescent="0.2">
      <c r="A1414" s="7" t="s">
        <v>2031</v>
      </c>
      <c r="B1414" s="8" t="s">
        <v>375</v>
      </c>
      <c r="C1414" s="8" t="s">
        <v>376</v>
      </c>
      <c r="D1414" s="6" t="s">
        <v>1590</v>
      </c>
      <c r="E1414" s="7" t="s">
        <v>1591</v>
      </c>
      <c r="F1414" s="7" t="s">
        <v>378</v>
      </c>
      <c r="G1414" s="8" t="s">
        <v>1595</v>
      </c>
      <c r="H1414" s="8" t="s">
        <v>1596</v>
      </c>
      <c r="I1414" s="7" t="s">
        <v>25</v>
      </c>
      <c r="J1414" s="15">
        <v>25</v>
      </c>
    </row>
    <row r="1415" spans="1:10" ht="132" customHeight="1" x14ac:dyDescent="0.2">
      <c r="A1415" s="7" t="s">
        <v>2031</v>
      </c>
      <c r="B1415" s="8" t="s">
        <v>375</v>
      </c>
      <c r="C1415" s="8" t="s">
        <v>376</v>
      </c>
      <c r="D1415" s="6" t="s">
        <v>1590</v>
      </c>
      <c r="E1415" s="7" t="s">
        <v>1591</v>
      </c>
      <c r="F1415" s="7" t="s">
        <v>378</v>
      </c>
      <c r="G1415" s="8" t="s">
        <v>410</v>
      </c>
      <c r="H1415" s="8" t="s">
        <v>1597</v>
      </c>
      <c r="I1415" s="7" t="s">
        <v>25</v>
      </c>
      <c r="J1415" s="15">
        <v>20</v>
      </c>
    </row>
    <row r="1416" spans="1:10" ht="125.5" customHeight="1" x14ac:dyDescent="0.2">
      <c r="A1416" s="7" t="s">
        <v>2031</v>
      </c>
      <c r="B1416" s="8" t="s">
        <v>375</v>
      </c>
      <c r="C1416" s="8" t="s">
        <v>376</v>
      </c>
      <c r="D1416" s="6" t="s">
        <v>1590</v>
      </c>
      <c r="E1416" s="7" t="s">
        <v>1591</v>
      </c>
      <c r="F1416" s="7" t="s">
        <v>378</v>
      </c>
      <c r="G1416" s="8" t="s">
        <v>1598</v>
      </c>
      <c r="H1416" s="8" t="s">
        <v>1599</v>
      </c>
      <c r="I1416" s="7" t="s">
        <v>25</v>
      </c>
      <c r="J1416" s="15">
        <v>20</v>
      </c>
    </row>
    <row r="1417" spans="1:10" ht="166.25" customHeight="1" x14ac:dyDescent="0.2">
      <c r="A1417" s="7" t="s">
        <v>2031</v>
      </c>
      <c r="B1417" s="8" t="s">
        <v>375</v>
      </c>
      <c r="C1417" s="8" t="s">
        <v>2772</v>
      </c>
      <c r="D1417" s="6" t="s">
        <v>2770</v>
      </c>
      <c r="E1417" s="7" t="s">
        <v>2771</v>
      </c>
      <c r="F1417" s="7" t="s">
        <v>378</v>
      </c>
      <c r="G1417" s="8" t="s">
        <v>385</v>
      </c>
      <c r="H1417" s="8" t="s">
        <v>2773</v>
      </c>
      <c r="I1417" s="7" t="s">
        <v>17</v>
      </c>
      <c r="J1417" s="15">
        <v>25</v>
      </c>
    </row>
    <row r="1418" spans="1:10" ht="91" x14ac:dyDescent="0.2">
      <c r="A1418" s="7" t="s">
        <v>2031</v>
      </c>
      <c r="B1418" s="8" t="s">
        <v>375</v>
      </c>
      <c r="C1418" s="8" t="s">
        <v>2772</v>
      </c>
      <c r="D1418" s="6" t="s">
        <v>2770</v>
      </c>
      <c r="E1418" s="7" t="s">
        <v>2771</v>
      </c>
      <c r="F1418" s="7" t="s">
        <v>378</v>
      </c>
      <c r="G1418" s="8" t="s">
        <v>2774</v>
      </c>
      <c r="H1418" s="8" t="s">
        <v>2775</v>
      </c>
      <c r="I1418" s="7" t="s">
        <v>25</v>
      </c>
      <c r="J1418" s="15">
        <v>20</v>
      </c>
    </row>
    <row r="1419" spans="1:10" ht="52" x14ac:dyDescent="0.2">
      <c r="A1419" s="7" t="s">
        <v>2031</v>
      </c>
      <c r="B1419" s="8" t="s">
        <v>375</v>
      </c>
      <c r="C1419" s="8" t="s">
        <v>2772</v>
      </c>
      <c r="D1419" s="6" t="s">
        <v>2770</v>
      </c>
      <c r="E1419" s="7" t="s">
        <v>2771</v>
      </c>
      <c r="F1419" s="7" t="s">
        <v>378</v>
      </c>
      <c r="G1419" s="8" t="s">
        <v>381</v>
      </c>
      <c r="H1419" s="8" t="s">
        <v>2776</v>
      </c>
      <c r="I1419" s="7" t="s">
        <v>25</v>
      </c>
      <c r="J1419" s="15">
        <v>20</v>
      </c>
    </row>
    <row r="1420" spans="1:10" ht="195" x14ac:dyDescent="0.2">
      <c r="A1420" s="7" t="s">
        <v>2031</v>
      </c>
      <c r="B1420" s="8" t="s">
        <v>375</v>
      </c>
      <c r="C1420" s="8" t="s">
        <v>2772</v>
      </c>
      <c r="D1420" s="6" t="s">
        <v>2770</v>
      </c>
      <c r="E1420" s="7" t="s">
        <v>2771</v>
      </c>
      <c r="F1420" s="7" t="s">
        <v>378</v>
      </c>
      <c r="G1420" s="8" t="s">
        <v>387</v>
      </c>
      <c r="H1420" s="8" t="s">
        <v>2777</v>
      </c>
      <c r="I1420" s="7" t="s">
        <v>25</v>
      </c>
      <c r="J1420" s="15">
        <v>15</v>
      </c>
    </row>
    <row r="1421" spans="1:10" ht="65" x14ac:dyDescent="0.2">
      <c r="A1421" s="7" t="s">
        <v>2031</v>
      </c>
      <c r="B1421" s="8" t="s">
        <v>375</v>
      </c>
      <c r="C1421" s="8" t="s">
        <v>2772</v>
      </c>
      <c r="D1421" s="6" t="s">
        <v>2770</v>
      </c>
      <c r="E1421" s="7" t="s">
        <v>2771</v>
      </c>
      <c r="F1421" s="7" t="s">
        <v>378</v>
      </c>
      <c r="G1421" s="8" t="s">
        <v>379</v>
      </c>
      <c r="H1421" s="8" t="s">
        <v>2778</v>
      </c>
      <c r="I1421" s="7" t="s">
        <v>25</v>
      </c>
      <c r="J1421" s="15">
        <v>20</v>
      </c>
    </row>
    <row r="1422" spans="1:10" ht="52" x14ac:dyDescent="0.2">
      <c r="A1422" s="7" t="s">
        <v>2031</v>
      </c>
      <c r="B1422" s="8" t="s">
        <v>1851</v>
      </c>
      <c r="C1422" s="8" t="s">
        <v>1852</v>
      </c>
      <c r="D1422" s="6" t="s">
        <v>1849</v>
      </c>
      <c r="E1422" s="7" t="s">
        <v>1850</v>
      </c>
      <c r="F1422" s="7" t="s">
        <v>865</v>
      </c>
      <c r="G1422" s="8" t="s">
        <v>1853</v>
      </c>
      <c r="H1422" s="8" t="s">
        <v>1854</v>
      </c>
      <c r="I1422" s="7" t="s">
        <v>25</v>
      </c>
      <c r="J1422" s="13">
        <v>15</v>
      </c>
    </row>
    <row r="1423" spans="1:10" ht="65" x14ac:dyDescent="0.2">
      <c r="A1423" s="7" t="s">
        <v>2031</v>
      </c>
      <c r="B1423" s="8" t="s">
        <v>1851</v>
      </c>
      <c r="C1423" s="8" t="s">
        <v>1852</v>
      </c>
      <c r="D1423" s="6" t="s">
        <v>1849</v>
      </c>
      <c r="E1423" s="7" t="s">
        <v>1850</v>
      </c>
      <c r="F1423" s="7" t="s">
        <v>865</v>
      </c>
      <c r="G1423" s="8" t="s">
        <v>379</v>
      </c>
      <c r="H1423" s="8" t="s">
        <v>1855</v>
      </c>
      <c r="I1423" s="7" t="s">
        <v>25</v>
      </c>
      <c r="J1423" s="13">
        <v>10</v>
      </c>
    </row>
    <row r="1424" spans="1:10" ht="91" x14ac:dyDescent="0.2">
      <c r="A1424" s="7" t="s">
        <v>2031</v>
      </c>
      <c r="B1424" s="8" t="s">
        <v>1851</v>
      </c>
      <c r="C1424" s="8" t="s">
        <v>1852</v>
      </c>
      <c r="D1424" s="6" t="s">
        <v>1849</v>
      </c>
      <c r="E1424" s="7" t="s">
        <v>1850</v>
      </c>
      <c r="F1424" s="7" t="s">
        <v>865</v>
      </c>
      <c r="G1424" s="8" t="s">
        <v>1856</v>
      </c>
      <c r="H1424" s="8" t="s">
        <v>1857</v>
      </c>
      <c r="I1424" s="7" t="s">
        <v>25</v>
      </c>
      <c r="J1424" s="13">
        <v>20</v>
      </c>
    </row>
    <row r="1425" spans="1:10" ht="91" x14ac:dyDescent="0.2">
      <c r="A1425" s="7" t="s">
        <v>2031</v>
      </c>
      <c r="B1425" s="8" t="s">
        <v>1851</v>
      </c>
      <c r="C1425" s="8" t="s">
        <v>1852</v>
      </c>
      <c r="D1425" s="6" t="s">
        <v>1849</v>
      </c>
      <c r="E1425" s="7" t="s">
        <v>1850</v>
      </c>
      <c r="F1425" s="7" t="s">
        <v>865</v>
      </c>
      <c r="G1425" s="8" t="s">
        <v>1858</v>
      </c>
      <c r="H1425" s="8" t="s">
        <v>1859</v>
      </c>
      <c r="I1425" s="7" t="s">
        <v>25</v>
      </c>
      <c r="J1425" s="13">
        <v>15</v>
      </c>
    </row>
    <row r="1426" spans="1:10" ht="117" x14ac:dyDescent="0.2">
      <c r="A1426" s="7" t="s">
        <v>2031</v>
      </c>
      <c r="B1426" s="8" t="s">
        <v>1851</v>
      </c>
      <c r="C1426" s="8" t="s">
        <v>1852</v>
      </c>
      <c r="D1426" s="6" t="s">
        <v>1849</v>
      </c>
      <c r="E1426" s="7" t="s">
        <v>1850</v>
      </c>
      <c r="F1426" s="7" t="s">
        <v>865</v>
      </c>
      <c r="G1426" s="8" t="s">
        <v>1860</v>
      </c>
      <c r="H1426" s="8" t="s">
        <v>3007</v>
      </c>
      <c r="I1426" s="7" t="s">
        <v>25</v>
      </c>
      <c r="J1426" s="13">
        <v>20</v>
      </c>
    </row>
    <row r="1427" spans="1:10" ht="78" x14ac:dyDescent="0.2">
      <c r="A1427" s="7" t="s">
        <v>2031</v>
      </c>
      <c r="B1427" s="8" t="s">
        <v>1851</v>
      </c>
      <c r="C1427" s="8" t="s">
        <v>1852</v>
      </c>
      <c r="D1427" s="6" t="s">
        <v>1849</v>
      </c>
      <c r="E1427" s="7" t="s">
        <v>1850</v>
      </c>
      <c r="F1427" s="7" t="s">
        <v>865</v>
      </c>
      <c r="G1427" s="8" t="s">
        <v>1861</v>
      </c>
      <c r="H1427" s="8" t="s">
        <v>3008</v>
      </c>
      <c r="I1427" s="7" t="s">
        <v>25</v>
      </c>
      <c r="J1427" s="13">
        <v>20</v>
      </c>
    </row>
    <row r="1428" spans="1:10" ht="52" x14ac:dyDescent="0.2">
      <c r="A1428" s="7" t="s">
        <v>2031</v>
      </c>
      <c r="B1428" s="8" t="s">
        <v>1851</v>
      </c>
      <c r="C1428" s="8" t="s">
        <v>2590</v>
      </c>
      <c r="D1428" s="6" t="s">
        <v>2588</v>
      </c>
      <c r="E1428" s="7" t="s">
        <v>2589</v>
      </c>
      <c r="F1428" s="7" t="s">
        <v>1850</v>
      </c>
      <c r="G1428" s="8" t="s">
        <v>1853</v>
      </c>
      <c r="H1428" s="8" t="s">
        <v>2591</v>
      </c>
      <c r="I1428" s="7" t="s">
        <v>25</v>
      </c>
      <c r="J1428" s="15">
        <v>15</v>
      </c>
    </row>
    <row r="1429" spans="1:10" ht="117" x14ac:dyDescent="0.2">
      <c r="A1429" s="7" t="s">
        <v>2031</v>
      </c>
      <c r="B1429" s="8" t="s">
        <v>1851</v>
      </c>
      <c r="C1429" s="8" t="s">
        <v>2590</v>
      </c>
      <c r="D1429" s="6" t="s">
        <v>2588</v>
      </c>
      <c r="E1429" s="7" t="s">
        <v>2589</v>
      </c>
      <c r="F1429" s="7" t="s">
        <v>1850</v>
      </c>
      <c r="G1429" s="8" t="s">
        <v>1860</v>
      </c>
      <c r="H1429" s="8" t="s">
        <v>2592</v>
      </c>
      <c r="I1429" s="7" t="s">
        <v>25</v>
      </c>
      <c r="J1429" s="15">
        <v>20</v>
      </c>
    </row>
    <row r="1430" spans="1:10" ht="65" x14ac:dyDescent="0.2">
      <c r="A1430" s="7" t="s">
        <v>2031</v>
      </c>
      <c r="B1430" s="8" t="s">
        <v>1851</v>
      </c>
      <c r="C1430" s="8" t="s">
        <v>2590</v>
      </c>
      <c r="D1430" s="6" t="s">
        <v>2588</v>
      </c>
      <c r="E1430" s="7" t="s">
        <v>2589</v>
      </c>
      <c r="F1430" s="7" t="s">
        <v>1850</v>
      </c>
      <c r="G1430" s="8" t="s">
        <v>1861</v>
      </c>
      <c r="H1430" s="8" t="s">
        <v>2593</v>
      </c>
      <c r="I1430" s="7" t="s">
        <v>25</v>
      </c>
      <c r="J1430" s="15">
        <v>20</v>
      </c>
    </row>
    <row r="1431" spans="1:10" ht="52" x14ac:dyDescent="0.2">
      <c r="A1431" s="7" t="s">
        <v>2031</v>
      </c>
      <c r="B1431" s="8" t="s">
        <v>1851</v>
      </c>
      <c r="C1431" s="8" t="s">
        <v>2590</v>
      </c>
      <c r="D1431" s="6" t="s">
        <v>2588</v>
      </c>
      <c r="E1431" s="7" t="s">
        <v>2589</v>
      </c>
      <c r="F1431" s="7" t="s">
        <v>1850</v>
      </c>
      <c r="G1431" s="8" t="s">
        <v>2594</v>
      </c>
      <c r="H1431" s="8" t="s">
        <v>2595</v>
      </c>
      <c r="I1431" s="7" t="s">
        <v>17</v>
      </c>
      <c r="J1431" s="15">
        <v>10</v>
      </c>
    </row>
    <row r="1432" spans="1:10" ht="78" x14ac:dyDescent="0.2">
      <c r="A1432" s="7" t="s">
        <v>2031</v>
      </c>
      <c r="B1432" s="8" t="s">
        <v>1851</v>
      </c>
      <c r="C1432" s="8" t="s">
        <v>2590</v>
      </c>
      <c r="D1432" s="6" t="s">
        <v>2588</v>
      </c>
      <c r="E1432" s="7" t="s">
        <v>2589</v>
      </c>
      <c r="F1432" s="7" t="s">
        <v>1850</v>
      </c>
      <c r="G1432" s="8" t="s">
        <v>1858</v>
      </c>
      <c r="H1432" s="8" t="s">
        <v>2596</v>
      </c>
      <c r="I1432" s="7" t="s">
        <v>25</v>
      </c>
      <c r="J1432" s="15">
        <v>15</v>
      </c>
    </row>
    <row r="1433" spans="1:10" ht="91" x14ac:dyDescent="0.2">
      <c r="A1433" s="7" t="s">
        <v>2031</v>
      </c>
      <c r="B1433" s="8" t="s">
        <v>1851</v>
      </c>
      <c r="C1433" s="8" t="s">
        <v>2590</v>
      </c>
      <c r="D1433" s="6" t="s">
        <v>2588</v>
      </c>
      <c r="E1433" s="7" t="s">
        <v>2589</v>
      </c>
      <c r="F1433" s="7" t="s">
        <v>1850</v>
      </c>
      <c r="G1433" s="8" t="s">
        <v>1856</v>
      </c>
      <c r="H1433" s="8" t="s">
        <v>2597</v>
      </c>
      <c r="I1433" s="7" t="s">
        <v>25</v>
      </c>
      <c r="J1433" s="15">
        <v>20</v>
      </c>
    </row>
    <row r="1434" spans="1:10" ht="78" x14ac:dyDescent="0.2">
      <c r="A1434" s="7" t="s">
        <v>2031</v>
      </c>
      <c r="B1434" s="8" t="s">
        <v>1060</v>
      </c>
      <c r="C1434" s="8" t="s">
        <v>1945</v>
      </c>
      <c r="D1434" s="6" t="s">
        <v>1062</v>
      </c>
      <c r="E1434" s="7" t="s">
        <v>1063</v>
      </c>
      <c r="F1434" s="7" t="s">
        <v>865</v>
      </c>
      <c r="G1434" s="8" t="s">
        <v>1946</v>
      </c>
      <c r="H1434" s="8" t="s">
        <v>1947</v>
      </c>
      <c r="I1434" s="7" t="s">
        <v>25</v>
      </c>
      <c r="J1434" s="13">
        <v>20</v>
      </c>
    </row>
    <row r="1435" spans="1:10" ht="91" x14ac:dyDescent="0.2">
      <c r="A1435" s="7" t="s">
        <v>2031</v>
      </c>
      <c r="B1435" s="8" t="s">
        <v>1060</v>
      </c>
      <c r="C1435" s="8" t="s">
        <v>1945</v>
      </c>
      <c r="D1435" s="6" t="s">
        <v>1062</v>
      </c>
      <c r="E1435" s="7" t="s">
        <v>1063</v>
      </c>
      <c r="F1435" s="7" t="s">
        <v>865</v>
      </c>
      <c r="G1435" s="8" t="s">
        <v>1948</v>
      </c>
      <c r="H1435" s="8" t="s">
        <v>3015</v>
      </c>
      <c r="I1435" s="7" t="s">
        <v>25</v>
      </c>
      <c r="J1435" s="13">
        <v>5</v>
      </c>
    </row>
    <row r="1436" spans="1:10" ht="78" x14ac:dyDescent="0.2">
      <c r="A1436" s="7" t="s">
        <v>2031</v>
      </c>
      <c r="B1436" s="8" t="s">
        <v>1060</v>
      </c>
      <c r="C1436" s="8" t="s">
        <v>1945</v>
      </c>
      <c r="D1436" s="6" t="s">
        <v>1062</v>
      </c>
      <c r="E1436" s="7" t="s">
        <v>1063</v>
      </c>
      <c r="F1436" s="7" t="s">
        <v>865</v>
      </c>
      <c r="G1436" s="8" t="s">
        <v>1949</v>
      </c>
      <c r="H1436" s="8" t="s">
        <v>3016</v>
      </c>
      <c r="I1436" s="7" t="s">
        <v>25</v>
      </c>
      <c r="J1436" s="13">
        <v>15</v>
      </c>
    </row>
    <row r="1437" spans="1:10" ht="143" x14ac:dyDescent="0.2">
      <c r="A1437" s="7" t="s">
        <v>2031</v>
      </c>
      <c r="B1437" s="8" t="s">
        <v>1060</v>
      </c>
      <c r="C1437" s="8" t="s">
        <v>1945</v>
      </c>
      <c r="D1437" s="6" t="s">
        <v>1062</v>
      </c>
      <c r="E1437" s="7" t="s">
        <v>1063</v>
      </c>
      <c r="F1437" s="7" t="s">
        <v>865</v>
      </c>
      <c r="G1437" s="8" t="s">
        <v>1950</v>
      </c>
      <c r="H1437" s="8" t="s">
        <v>3442</v>
      </c>
      <c r="I1437" s="7" t="s">
        <v>25</v>
      </c>
      <c r="J1437" s="13">
        <v>10</v>
      </c>
    </row>
    <row r="1438" spans="1:10" ht="78" x14ac:dyDescent="0.2">
      <c r="A1438" s="7" t="s">
        <v>2031</v>
      </c>
      <c r="B1438" s="8" t="s">
        <v>1060</v>
      </c>
      <c r="C1438" s="8" t="s">
        <v>1945</v>
      </c>
      <c r="D1438" s="6" t="s">
        <v>1062</v>
      </c>
      <c r="E1438" s="7" t="s">
        <v>1063</v>
      </c>
      <c r="F1438" s="7" t="s">
        <v>865</v>
      </c>
      <c r="G1438" s="8" t="s">
        <v>379</v>
      </c>
      <c r="H1438" s="8" t="s">
        <v>1951</v>
      </c>
      <c r="I1438" s="7" t="s">
        <v>25</v>
      </c>
      <c r="J1438" s="13">
        <v>10</v>
      </c>
    </row>
    <row r="1439" spans="1:10" ht="117" x14ac:dyDescent="0.2">
      <c r="A1439" s="7" t="s">
        <v>2031</v>
      </c>
      <c r="B1439" s="8" t="s">
        <v>1060</v>
      </c>
      <c r="C1439" s="8" t="s">
        <v>1945</v>
      </c>
      <c r="D1439" s="6" t="s">
        <v>1062</v>
      </c>
      <c r="E1439" s="7" t="s">
        <v>1063</v>
      </c>
      <c r="F1439" s="7" t="s">
        <v>865</v>
      </c>
      <c r="G1439" s="8" t="s">
        <v>1952</v>
      </c>
      <c r="H1439" s="8" t="s">
        <v>3017</v>
      </c>
      <c r="I1439" s="7" t="s">
        <v>25</v>
      </c>
      <c r="J1439" s="13">
        <v>20</v>
      </c>
    </row>
    <row r="1440" spans="1:10" ht="117" x14ac:dyDescent="0.2">
      <c r="A1440" s="7" t="s">
        <v>2031</v>
      </c>
      <c r="B1440" s="8" t="s">
        <v>1060</v>
      </c>
      <c r="C1440" s="8" t="s">
        <v>1945</v>
      </c>
      <c r="D1440" s="6" t="s">
        <v>1062</v>
      </c>
      <c r="E1440" s="7" t="s">
        <v>1063</v>
      </c>
      <c r="F1440" s="7" t="s">
        <v>865</v>
      </c>
      <c r="G1440" s="8" t="s">
        <v>1078</v>
      </c>
      <c r="H1440" s="8" t="s">
        <v>3018</v>
      </c>
      <c r="I1440" s="7" t="s">
        <v>25</v>
      </c>
      <c r="J1440" s="13">
        <v>20</v>
      </c>
    </row>
    <row r="1441" spans="1:10" ht="169" x14ac:dyDescent="0.2">
      <c r="A1441" s="7" t="s">
        <v>2031</v>
      </c>
      <c r="B1441" s="8" t="s">
        <v>1060</v>
      </c>
      <c r="C1441" s="8" t="s">
        <v>1061</v>
      </c>
      <c r="D1441" s="6" t="s">
        <v>1058</v>
      </c>
      <c r="E1441" s="7" t="s">
        <v>1059</v>
      </c>
      <c r="F1441" s="7" t="s">
        <v>1063</v>
      </c>
      <c r="G1441" s="8" t="s">
        <v>1064</v>
      </c>
      <c r="H1441" s="8" t="s">
        <v>1065</v>
      </c>
      <c r="I1441" s="7" t="s">
        <v>25</v>
      </c>
      <c r="J1441" s="15">
        <v>20</v>
      </c>
    </row>
    <row r="1442" spans="1:10" ht="104" x14ac:dyDescent="0.2">
      <c r="A1442" s="7" t="s">
        <v>2031</v>
      </c>
      <c r="B1442" s="8" t="s">
        <v>1060</v>
      </c>
      <c r="C1442" s="8" t="s">
        <v>1061</v>
      </c>
      <c r="D1442" s="6" t="s">
        <v>1058</v>
      </c>
      <c r="E1442" s="7" t="s">
        <v>1059</v>
      </c>
      <c r="F1442" s="7" t="s">
        <v>1063</v>
      </c>
      <c r="G1442" s="8" t="s">
        <v>1066</v>
      </c>
      <c r="H1442" s="8" t="s">
        <v>1067</v>
      </c>
      <c r="I1442" s="7" t="s">
        <v>17</v>
      </c>
      <c r="J1442" s="15">
        <v>10</v>
      </c>
    </row>
    <row r="1443" spans="1:10" ht="169" x14ac:dyDescent="0.2">
      <c r="A1443" s="7" t="s">
        <v>2031</v>
      </c>
      <c r="B1443" s="8" t="s">
        <v>1060</v>
      </c>
      <c r="C1443" s="8" t="s">
        <v>1061</v>
      </c>
      <c r="D1443" s="6" t="s">
        <v>1058</v>
      </c>
      <c r="E1443" s="7" t="s">
        <v>1059</v>
      </c>
      <c r="F1443" s="7" t="s">
        <v>1063</v>
      </c>
      <c r="G1443" s="8" t="s">
        <v>1068</v>
      </c>
      <c r="H1443" s="8" t="s">
        <v>1069</v>
      </c>
      <c r="I1443" s="7" t="s">
        <v>17</v>
      </c>
      <c r="J1443" s="15">
        <v>10</v>
      </c>
    </row>
    <row r="1444" spans="1:10" ht="104" x14ac:dyDescent="0.2">
      <c r="A1444" s="7" t="s">
        <v>2031</v>
      </c>
      <c r="B1444" s="8" t="s">
        <v>1060</v>
      </c>
      <c r="C1444" s="8" t="s">
        <v>1061</v>
      </c>
      <c r="D1444" s="6" t="s">
        <v>1058</v>
      </c>
      <c r="E1444" s="7" t="s">
        <v>1059</v>
      </c>
      <c r="F1444" s="7" t="s">
        <v>1063</v>
      </c>
      <c r="G1444" s="8" t="s">
        <v>1070</v>
      </c>
      <c r="H1444" s="8" t="s">
        <v>1071</v>
      </c>
      <c r="I1444" s="7" t="s">
        <v>17</v>
      </c>
      <c r="J1444" s="15">
        <v>10</v>
      </c>
    </row>
    <row r="1445" spans="1:10" ht="156" x14ac:dyDescent="0.2">
      <c r="A1445" s="7" t="s">
        <v>2031</v>
      </c>
      <c r="B1445" s="8" t="s">
        <v>1060</v>
      </c>
      <c r="C1445" s="8" t="s">
        <v>1061</v>
      </c>
      <c r="D1445" s="6" t="s">
        <v>1058</v>
      </c>
      <c r="E1445" s="7" t="s">
        <v>1059</v>
      </c>
      <c r="F1445" s="7" t="s">
        <v>1063</v>
      </c>
      <c r="G1445" s="8" t="s">
        <v>1072</v>
      </c>
      <c r="H1445" s="8" t="s">
        <v>1073</v>
      </c>
      <c r="I1445" s="7" t="s">
        <v>17</v>
      </c>
      <c r="J1445" s="15">
        <v>10</v>
      </c>
    </row>
    <row r="1446" spans="1:10" ht="143" x14ac:dyDescent="0.2">
      <c r="A1446" s="7" t="s">
        <v>2031</v>
      </c>
      <c r="B1446" s="8" t="s">
        <v>1060</v>
      </c>
      <c r="C1446" s="8" t="s">
        <v>1061</v>
      </c>
      <c r="D1446" s="6" t="s">
        <v>1058</v>
      </c>
      <c r="E1446" s="7" t="s">
        <v>1059</v>
      </c>
      <c r="F1446" s="7" t="s">
        <v>1063</v>
      </c>
      <c r="G1446" s="8" t="s">
        <v>1074</v>
      </c>
      <c r="H1446" s="8" t="s">
        <v>1075</v>
      </c>
      <c r="I1446" s="7" t="s">
        <v>17</v>
      </c>
      <c r="J1446" s="15">
        <v>10</v>
      </c>
    </row>
    <row r="1447" spans="1:10" ht="130" x14ac:dyDescent="0.2">
      <c r="A1447" s="7" t="s">
        <v>2031</v>
      </c>
      <c r="B1447" s="8" t="s">
        <v>1060</v>
      </c>
      <c r="C1447" s="8" t="s">
        <v>1061</v>
      </c>
      <c r="D1447" s="6" t="s">
        <v>1058</v>
      </c>
      <c r="E1447" s="7" t="s">
        <v>1059</v>
      </c>
      <c r="F1447" s="7" t="s">
        <v>1063</v>
      </c>
      <c r="G1447" s="8" t="s">
        <v>1076</v>
      </c>
      <c r="H1447" s="8" t="s">
        <v>1077</v>
      </c>
      <c r="I1447" s="7" t="s">
        <v>17</v>
      </c>
      <c r="J1447" s="15">
        <v>10</v>
      </c>
    </row>
    <row r="1448" spans="1:10" ht="143" x14ac:dyDescent="0.2">
      <c r="A1448" s="7" t="s">
        <v>2031</v>
      </c>
      <c r="B1448" s="8" t="s">
        <v>1060</v>
      </c>
      <c r="C1448" s="8" t="s">
        <v>1061</v>
      </c>
      <c r="D1448" s="6" t="s">
        <v>1058</v>
      </c>
      <c r="E1448" s="7" t="s">
        <v>1059</v>
      </c>
      <c r="F1448" s="7" t="s">
        <v>1063</v>
      </c>
      <c r="G1448" s="8" t="s">
        <v>1078</v>
      </c>
      <c r="H1448" s="8" t="s">
        <v>1079</v>
      </c>
      <c r="I1448" s="7" t="s">
        <v>25</v>
      </c>
      <c r="J1448" s="15">
        <v>20</v>
      </c>
    </row>
    <row r="1449" spans="1:10" ht="182" x14ac:dyDescent="0.2">
      <c r="A1449" s="7" t="s">
        <v>2031</v>
      </c>
      <c r="B1449" s="8" t="s">
        <v>1060</v>
      </c>
      <c r="C1449" s="8" t="s">
        <v>1784</v>
      </c>
      <c r="D1449" s="6" t="s">
        <v>1782</v>
      </c>
      <c r="E1449" s="7" t="s">
        <v>1783</v>
      </c>
      <c r="F1449" s="7" t="s">
        <v>1063</v>
      </c>
      <c r="G1449" s="8" t="s">
        <v>1785</v>
      </c>
      <c r="H1449" s="8" t="s">
        <v>1786</v>
      </c>
      <c r="I1449" s="7" t="s">
        <v>17</v>
      </c>
      <c r="J1449" s="15">
        <v>10</v>
      </c>
    </row>
    <row r="1450" spans="1:10" ht="117" x14ac:dyDescent="0.2">
      <c r="A1450" s="7" t="s">
        <v>2031</v>
      </c>
      <c r="B1450" s="8" t="s">
        <v>1060</v>
      </c>
      <c r="C1450" s="8" t="s">
        <v>1784</v>
      </c>
      <c r="D1450" s="6" t="s">
        <v>1782</v>
      </c>
      <c r="E1450" s="7" t="s">
        <v>1783</v>
      </c>
      <c r="F1450" s="7" t="s">
        <v>1063</v>
      </c>
      <c r="G1450" s="8" t="s">
        <v>1787</v>
      </c>
      <c r="H1450" s="8" t="s">
        <v>1788</v>
      </c>
      <c r="I1450" s="7" t="s">
        <v>17</v>
      </c>
      <c r="J1450" s="15">
        <v>10</v>
      </c>
    </row>
    <row r="1451" spans="1:10" ht="115.75" customHeight="1" x14ac:dyDescent="0.2">
      <c r="A1451" s="7" t="s">
        <v>2031</v>
      </c>
      <c r="B1451" s="8" t="s">
        <v>1060</v>
      </c>
      <c r="C1451" s="8" t="s">
        <v>1784</v>
      </c>
      <c r="D1451" s="6" t="s">
        <v>1782</v>
      </c>
      <c r="E1451" s="7" t="s">
        <v>1783</v>
      </c>
      <c r="F1451" s="7" t="s">
        <v>1063</v>
      </c>
      <c r="G1451" s="8" t="s">
        <v>1789</v>
      </c>
      <c r="H1451" s="8" t="s">
        <v>1790</v>
      </c>
      <c r="I1451" s="7" t="s">
        <v>17</v>
      </c>
      <c r="J1451" s="15">
        <v>10</v>
      </c>
    </row>
    <row r="1452" spans="1:10" ht="100.75" customHeight="1" x14ac:dyDescent="0.2">
      <c r="A1452" s="7" t="s">
        <v>2031</v>
      </c>
      <c r="B1452" s="8" t="s">
        <v>1060</v>
      </c>
      <c r="C1452" s="8" t="s">
        <v>1784</v>
      </c>
      <c r="D1452" s="6" t="s">
        <v>1782</v>
      </c>
      <c r="E1452" s="7" t="s">
        <v>1783</v>
      </c>
      <c r="F1452" s="7" t="s">
        <v>1063</v>
      </c>
      <c r="G1452" s="8" t="s">
        <v>1791</v>
      </c>
      <c r="H1452" s="8" t="s">
        <v>1792</v>
      </c>
      <c r="I1452" s="7" t="s">
        <v>17</v>
      </c>
      <c r="J1452" s="15">
        <v>10</v>
      </c>
    </row>
    <row r="1453" spans="1:10" ht="123" customHeight="1" x14ac:dyDescent="0.2">
      <c r="A1453" s="7" t="s">
        <v>2031</v>
      </c>
      <c r="B1453" s="8" t="s">
        <v>1060</v>
      </c>
      <c r="C1453" s="8" t="s">
        <v>1784</v>
      </c>
      <c r="D1453" s="6" t="s">
        <v>1782</v>
      </c>
      <c r="E1453" s="7" t="s">
        <v>1783</v>
      </c>
      <c r="F1453" s="7" t="s">
        <v>1063</v>
      </c>
      <c r="G1453" s="8" t="s">
        <v>1793</v>
      </c>
      <c r="H1453" s="8" t="s">
        <v>1794</v>
      </c>
      <c r="I1453" s="7" t="s">
        <v>17</v>
      </c>
      <c r="J1453" s="15">
        <v>10</v>
      </c>
    </row>
    <row r="1454" spans="1:10" ht="111" customHeight="1" x14ac:dyDescent="0.2">
      <c r="A1454" s="7" t="s">
        <v>2031</v>
      </c>
      <c r="B1454" s="8" t="s">
        <v>1060</v>
      </c>
      <c r="C1454" s="8" t="s">
        <v>1784</v>
      </c>
      <c r="D1454" s="6" t="s">
        <v>1782</v>
      </c>
      <c r="E1454" s="7" t="s">
        <v>1783</v>
      </c>
      <c r="F1454" s="7" t="s">
        <v>1063</v>
      </c>
      <c r="G1454" s="8" t="s">
        <v>1795</v>
      </c>
      <c r="H1454" s="8" t="s">
        <v>1796</v>
      </c>
      <c r="I1454" s="7" t="s">
        <v>17</v>
      </c>
      <c r="J1454" s="15">
        <v>10</v>
      </c>
    </row>
    <row r="1455" spans="1:10" ht="182" x14ac:dyDescent="0.2">
      <c r="A1455" s="7" t="s">
        <v>2031</v>
      </c>
      <c r="B1455" s="8" t="s">
        <v>1060</v>
      </c>
      <c r="C1455" s="8" t="s">
        <v>1784</v>
      </c>
      <c r="D1455" s="6" t="s">
        <v>1782</v>
      </c>
      <c r="E1455" s="7" t="s">
        <v>1783</v>
      </c>
      <c r="F1455" s="7" t="s">
        <v>1063</v>
      </c>
      <c r="G1455" s="8" t="s">
        <v>1797</v>
      </c>
      <c r="H1455" s="8" t="s">
        <v>1798</v>
      </c>
      <c r="I1455" s="7" t="s">
        <v>17</v>
      </c>
      <c r="J1455" s="15">
        <v>20</v>
      </c>
    </row>
    <row r="1456" spans="1:10" ht="182" x14ac:dyDescent="0.2">
      <c r="A1456" s="7" t="s">
        <v>2031</v>
      </c>
      <c r="B1456" s="8" t="s">
        <v>1060</v>
      </c>
      <c r="C1456" s="8" t="s">
        <v>1784</v>
      </c>
      <c r="D1456" s="6" t="s">
        <v>1782</v>
      </c>
      <c r="E1456" s="7" t="s">
        <v>1783</v>
      </c>
      <c r="F1456" s="7" t="s">
        <v>1063</v>
      </c>
      <c r="G1456" s="8" t="s">
        <v>1064</v>
      </c>
      <c r="H1456" s="8" t="s">
        <v>1799</v>
      </c>
      <c r="I1456" s="7" t="s">
        <v>25</v>
      </c>
      <c r="J1456" s="15">
        <v>20</v>
      </c>
    </row>
    <row r="1457" spans="1:10" ht="52" x14ac:dyDescent="0.2">
      <c r="A1457" s="7" t="s">
        <v>2031</v>
      </c>
      <c r="B1457" s="8" t="s">
        <v>1060</v>
      </c>
      <c r="C1457" s="8" t="s">
        <v>1784</v>
      </c>
      <c r="D1457" s="6" t="s">
        <v>2622</v>
      </c>
      <c r="E1457" s="7" t="s">
        <v>2623</v>
      </c>
      <c r="F1457" s="7" t="s">
        <v>1063</v>
      </c>
      <c r="G1457" s="8" t="s">
        <v>1066</v>
      </c>
      <c r="H1457" s="8" t="s">
        <v>2624</v>
      </c>
      <c r="I1457" s="7" t="s">
        <v>17</v>
      </c>
      <c r="J1457" s="15">
        <v>10</v>
      </c>
    </row>
    <row r="1458" spans="1:10" ht="65" x14ac:dyDescent="0.2">
      <c r="A1458" s="7" t="s">
        <v>2031</v>
      </c>
      <c r="B1458" s="8" t="s">
        <v>1060</v>
      </c>
      <c r="C1458" s="8" t="s">
        <v>1784</v>
      </c>
      <c r="D1458" s="6" t="s">
        <v>2622</v>
      </c>
      <c r="E1458" s="7" t="s">
        <v>2623</v>
      </c>
      <c r="F1458" s="7" t="s">
        <v>1063</v>
      </c>
      <c r="G1458" s="8" t="s">
        <v>868</v>
      </c>
      <c r="H1458" s="8" t="s">
        <v>2625</v>
      </c>
      <c r="I1458" s="7" t="s">
        <v>25</v>
      </c>
      <c r="J1458" s="15">
        <v>20</v>
      </c>
    </row>
    <row r="1459" spans="1:10" ht="156" x14ac:dyDescent="0.2">
      <c r="A1459" s="7" t="s">
        <v>2031</v>
      </c>
      <c r="B1459" s="8" t="s">
        <v>1060</v>
      </c>
      <c r="C1459" s="8" t="s">
        <v>1784</v>
      </c>
      <c r="D1459" s="6" t="s">
        <v>2622</v>
      </c>
      <c r="E1459" s="7" t="s">
        <v>2623</v>
      </c>
      <c r="F1459" s="7" t="s">
        <v>1063</v>
      </c>
      <c r="G1459" s="8" t="s">
        <v>2626</v>
      </c>
      <c r="H1459" s="8" t="s">
        <v>2627</v>
      </c>
      <c r="I1459" s="7" t="s">
        <v>17</v>
      </c>
      <c r="J1459" s="15">
        <v>10</v>
      </c>
    </row>
    <row r="1460" spans="1:10" ht="169" x14ac:dyDescent="0.2">
      <c r="A1460" s="7" t="s">
        <v>2031</v>
      </c>
      <c r="B1460" s="8" t="s">
        <v>1060</v>
      </c>
      <c r="C1460" s="8" t="s">
        <v>1784</v>
      </c>
      <c r="D1460" s="6" t="s">
        <v>2622</v>
      </c>
      <c r="E1460" s="7" t="s">
        <v>2623</v>
      </c>
      <c r="F1460" s="7" t="s">
        <v>1063</v>
      </c>
      <c r="G1460" s="8" t="s">
        <v>1064</v>
      </c>
      <c r="H1460" s="8" t="s">
        <v>2628</v>
      </c>
      <c r="I1460" s="7" t="s">
        <v>25</v>
      </c>
      <c r="J1460" s="15">
        <v>20</v>
      </c>
    </row>
    <row r="1461" spans="1:10" ht="292.75" customHeight="1" x14ac:dyDescent="0.2">
      <c r="A1461" s="7" t="s">
        <v>2031</v>
      </c>
      <c r="B1461" s="8" t="s">
        <v>1060</v>
      </c>
      <c r="C1461" s="8" t="s">
        <v>1784</v>
      </c>
      <c r="D1461" s="6" t="s">
        <v>2622</v>
      </c>
      <c r="E1461" s="7" t="s">
        <v>2623</v>
      </c>
      <c r="F1461" s="7" t="s">
        <v>1063</v>
      </c>
      <c r="G1461" s="8" t="s">
        <v>1795</v>
      </c>
      <c r="H1461" s="8" t="s">
        <v>2629</v>
      </c>
      <c r="I1461" s="7" t="s">
        <v>17</v>
      </c>
      <c r="J1461" s="15">
        <v>20</v>
      </c>
    </row>
    <row r="1462" spans="1:10" ht="256.75" customHeight="1" x14ac:dyDescent="0.2">
      <c r="A1462" s="7" t="s">
        <v>2031</v>
      </c>
      <c r="B1462" s="8" t="s">
        <v>1060</v>
      </c>
      <c r="C1462" s="8" t="s">
        <v>1784</v>
      </c>
      <c r="D1462" s="6" t="s">
        <v>2622</v>
      </c>
      <c r="E1462" s="7" t="s">
        <v>2623</v>
      </c>
      <c r="F1462" s="7" t="s">
        <v>1063</v>
      </c>
      <c r="G1462" s="8" t="s">
        <v>2630</v>
      </c>
      <c r="H1462" s="8" t="s">
        <v>2631</v>
      </c>
      <c r="I1462" s="7" t="s">
        <v>17</v>
      </c>
      <c r="J1462" s="15">
        <v>10</v>
      </c>
    </row>
    <row r="1463" spans="1:10" ht="168" customHeight="1" x14ac:dyDescent="0.2">
      <c r="A1463" s="7" t="s">
        <v>2031</v>
      </c>
      <c r="B1463" s="8" t="s">
        <v>1060</v>
      </c>
      <c r="C1463" s="8" t="s">
        <v>1784</v>
      </c>
      <c r="D1463" s="6" t="s">
        <v>2622</v>
      </c>
      <c r="E1463" s="7" t="s">
        <v>2623</v>
      </c>
      <c r="F1463" s="7" t="s">
        <v>1063</v>
      </c>
      <c r="G1463" s="8" t="s">
        <v>2632</v>
      </c>
      <c r="H1463" s="8" t="s">
        <v>2633</v>
      </c>
      <c r="I1463" s="7" t="s">
        <v>17</v>
      </c>
      <c r="J1463" s="15">
        <v>10</v>
      </c>
    </row>
    <row r="1464" spans="1:10" ht="275.5" customHeight="1" x14ac:dyDescent="0.2">
      <c r="A1464" s="7" t="s">
        <v>751</v>
      </c>
      <c r="B1464" s="8" t="s">
        <v>1240</v>
      </c>
      <c r="C1464" s="8" t="s">
        <v>2791</v>
      </c>
      <c r="D1464" s="6" t="s">
        <v>1242</v>
      </c>
      <c r="E1464" s="7" t="s">
        <v>1243</v>
      </c>
      <c r="F1464" s="7" t="s">
        <v>295</v>
      </c>
      <c r="G1464" s="8" t="s">
        <v>2792</v>
      </c>
      <c r="H1464" s="8" t="s">
        <v>3347</v>
      </c>
      <c r="I1464" s="7" t="s">
        <v>17</v>
      </c>
      <c r="J1464" s="13">
        <v>15</v>
      </c>
    </row>
    <row r="1465" spans="1:10" ht="243.5" customHeight="1" x14ac:dyDescent="0.2">
      <c r="A1465" s="7" t="s">
        <v>751</v>
      </c>
      <c r="B1465" s="8" t="s">
        <v>1240</v>
      </c>
      <c r="C1465" s="8" t="s">
        <v>2791</v>
      </c>
      <c r="D1465" s="6" t="s">
        <v>1242</v>
      </c>
      <c r="E1465" s="7" t="s">
        <v>1243</v>
      </c>
      <c r="F1465" s="7" t="s">
        <v>295</v>
      </c>
      <c r="G1465" s="8" t="s">
        <v>2793</v>
      </c>
      <c r="H1465" s="8" t="s">
        <v>3348</v>
      </c>
      <c r="I1465" s="7" t="s">
        <v>17</v>
      </c>
      <c r="J1465" s="13">
        <v>10</v>
      </c>
    </row>
    <row r="1466" spans="1:10" ht="224.5" customHeight="1" x14ac:dyDescent="0.2">
      <c r="A1466" s="7" t="s">
        <v>751</v>
      </c>
      <c r="B1466" s="8" t="s">
        <v>1240</v>
      </c>
      <c r="C1466" s="8" t="s">
        <v>2791</v>
      </c>
      <c r="D1466" s="6" t="s">
        <v>1242</v>
      </c>
      <c r="E1466" s="7" t="s">
        <v>1243</v>
      </c>
      <c r="F1466" s="7" t="s">
        <v>295</v>
      </c>
      <c r="G1466" s="8" t="s">
        <v>2794</v>
      </c>
      <c r="H1466" s="8" t="s">
        <v>3349</v>
      </c>
      <c r="I1466" s="7" t="s">
        <v>25</v>
      </c>
      <c r="J1466" s="13">
        <v>15</v>
      </c>
    </row>
    <row r="1467" spans="1:10" ht="221" x14ac:dyDescent="0.2">
      <c r="A1467" s="7" t="s">
        <v>751</v>
      </c>
      <c r="B1467" s="8" t="s">
        <v>1240</v>
      </c>
      <c r="C1467" s="8" t="s">
        <v>2791</v>
      </c>
      <c r="D1467" s="6" t="s">
        <v>1242</v>
      </c>
      <c r="E1467" s="7" t="s">
        <v>1243</v>
      </c>
      <c r="F1467" s="7" t="s">
        <v>295</v>
      </c>
      <c r="G1467" s="8" t="s">
        <v>2795</v>
      </c>
      <c r="H1467" s="8" t="s">
        <v>3351</v>
      </c>
      <c r="I1467" s="7" t="s">
        <v>17</v>
      </c>
      <c r="J1467" s="13">
        <v>15</v>
      </c>
    </row>
    <row r="1468" spans="1:10" ht="221" x14ac:dyDescent="0.2">
      <c r="A1468" s="7" t="s">
        <v>751</v>
      </c>
      <c r="B1468" s="8" t="s">
        <v>1240</v>
      </c>
      <c r="C1468" s="8" t="s">
        <v>2791</v>
      </c>
      <c r="D1468" s="6" t="s">
        <v>1242</v>
      </c>
      <c r="E1468" s="7" t="s">
        <v>1243</v>
      </c>
      <c r="F1468" s="7" t="s">
        <v>295</v>
      </c>
      <c r="G1468" s="8" t="s">
        <v>2796</v>
      </c>
      <c r="H1468" s="8" t="s">
        <v>3352</v>
      </c>
      <c r="I1468" s="7" t="s">
        <v>17</v>
      </c>
      <c r="J1468" s="13">
        <v>15</v>
      </c>
    </row>
    <row r="1469" spans="1:10" ht="308" x14ac:dyDescent="0.2">
      <c r="A1469" s="7" t="s">
        <v>751</v>
      </c>
      <c r="B1469" s="8" t="s">
        <v>1240</v>
      </c>
      <c r="C1469" s="8" t="s">
        <v>2791</v>
      </c>
      <c r="D1469" s="6" t="s">
        <v>1242</v>
      </c>
      <c r="E1469" s="7" t="s">
        <v>1243</v>
      </c>
      <c r="F1469" s="7" t="s">
        <v>295</v>
      </c>
      <c r="G1469" s="8" t="s">
        <v>2797</v>
      </c>
      <c r="H1469" s="8" t="s">
        <v>3353</v>
      </c>
      <c r="I1469" s="7" t="s">
        <v>25</v>
      </c>
      <c r="J1469" s="13">
        <v>30</v>
      </c>
    </row>
    <row r="1470" spans="1:10" ht="52" x14ac:dyDescent="0.2">
      <c r="A1470" s="7" t="s">
        <v>751</v>
      </c>
      <c r="B1470" s="8" t="s">
        <v>1240</v>
      </c>
      <c r="C1470" s="8" t="s">
        <v>2679</v>
      </c>
      <c r="D1470" s="6" t="s">
        <v>2677</v>
      </c>
      <c r="E1470" s="7" t="s">
        <v>2678</v>
      </c>
      <c r="F1470" s="7" t="s">
        <v>1243</v>
      </c>
      <c r="G1470" s="8" t="s">
        <v>1244</v>
      </c>
      <c r="H1470" s="8" t="s">
        <v>2680</v>
      </c>
      <c r="I1470" s="7" t="s">
        <v>17</v>
      </c>
      <c r="J1470" s="15">
        <v>10</v>
      </c>
    </row>
    <row r="1471" spans="1:10" ht="78" x14ac:dyDescent="0.2">
      <c r="A1471" s="7" t="s">
        <v>751</v>
      </c>
      <c r="B1471" s="8" t="s">
        <v>1240</v>
      </c>
      <c r="C1471" s="8" t="s">
        <v>2679</v>
      </c>
      <c r="D1471" s="6" t="s">
        <v>2677</v>
      </c>
      <c r="E1471" s="7" t="s">
        <v>2678</v>
      </c>
      <c r="F1471" s="7" t="s">
        <v>1243</v>
      </c>
      <c r="G1471" s="8" t="s">
        <v>1252</v>
      </c>
      <c r="H1471" s="8" t="s">
        <v>2681</v>
      </c>
      <c r="I1471" s="7" t="s">
        <v>25</v>
      </c>
      <c r="J1471" s="15">
        <v>30</v>
      </c>
    </row>
    <row r="1472" spans="1:10" ht="91" x14ac:dyDescent="0.2">
      <c r="A1472" s="7" t="s">
        <v>751</v>
      </c>
      <c r="B1472" s="8" t="s">
        <v>1240</v>
      </c>
      <c r="C1472" s="8" t="s">
        <v>2679</v>
      </c>
      <c r="D1472" s="6" t="s">
        <v>2677</v>
      </c>
      <c r="E1472" s="7" t="s">
        <v>2678</v>
      </c>
      <c r="F1472" s="7" t="s">
        <v>1243</v>
      </c>
      <c r="G1472" s="8" t="s">
        <v>1246</v>
      </c>
      <c r="H1472" s="8" t="s">
        <v>2682</v>
      </c>
      <c r="I1472" s="7" t="s">
        <v>25</v>
      </c>
      <c r="J1472" s="15">
        <v>15</v>
      </c>
    </row>
    <row r="1473" spans="1:10" ht="169" x14ac:dyDescent="0.2">
      <c r="A1473" s="7" t="s">
        <v>751</v>
      </c>
      <c r="B1473" s="8" t="s">
        <v>1240</v>
      </c>
      <c r="C1473" s="8" t="s">
        <v>2679</v>
      </c>
      <c r="D1473" s="6" t="s">
        <v>2677</v>
      </c>
      <c r="E1473" s="7" t="s">
        <v>2678</v>
      </c>
      <c r="F1473" s="7" t="s">
        <v>1243</v>
      </c>
      <c r="G1473" s="8" t="s">
        <v>2683</v>
      </c>
      <c r="H1473" s="8" t="s">
        <v>2684</v>
      </c>
      <c r="I1473" s="7" t="s">
        <v>17</v>
      </c>
      <c r="J1473" s="15">
        <v>15</v>
      </c>
    </row>
    <row r="1474" spans="1:10" ht="208" x14ac:dyDescent="0.2">
      <c r="A1474" s="7" t="s">
        <v>751</v>
      </c>
      <c r="B1474" s="8" t="s">
        <v>1240</v>
      </c>
      <c r="C1474" s="8" t="s">
        <v>2679</v>
      </c>
      <c r="D1474" s="6" t="s">
        <v>2677</v>
      </c>
      <c r="E1474" s="7" t="s">
        <v>2678</v>
      </c>
      <c r="F1474" s="7" t="s">
        <v>1243</v>
      </c>
      <c r="G1474" s="8" t="s">
        <v>2685</v>
      </c>
      <c r="H1474" s="8" t="s">
        <v>2686</v>
      </c>
      <c r="I1474" s="7" t="s">
        <v>17</v>
      </c>
      <c r="J1474" s="15">
        <v>15</v>
      </c>
    </row>
    <row r="1475" spans="1:10" ht="78" x14ac:dyDescent="0.2">
      <c r="A1475" s="7" t="s">
        <v>751</v>
      </c>
      <c r="B1475" s="8" t="s">
        <v>1240</v>
      </c>
      <c r="C1475" s="8" t="s">
        <v>2679</v>
      </c>
      <c r="D1475" s="6" t="s">
        <v>2677</v>
      </c>
      <c r="E1475" s="7" t="s">
        <v>2678</v>
      </c>
      <c r="F1475" s="7" t="s">
        <v>1243</v>
      </c>
      <c r="G1475" s="8" t="s">
        <v>2687</v>
      </c>
      <c r="H1475" s="8" t="s">
        <v>2688</v>
      </c>
      <c r="I1475" s="7" t="s">
        <v>17</v>
      </c>
      <c r="J1475" s="15">
        <v>15</v>
      </c>
    </row>
    <row r="1476" spans="1:10" ht="91" x14ac:dyDescent="0.2">
      <c r="A1476" s="7" t="s">
        <v>751</v>
      </c>
      <c r="B1476" s="8" t="s">
        <v>1240</v>
      </c>
      <c r="C1476" s="8" t="s">
        <v>1582</v>
      </c>
      <c r="D1476" s="6" t="s">
        <v>1580</v>
      </c>
      <c r="E1476" s="7" t="s">
        <v>1581</v>
      </c>
      <c r="F1476" s="7" t="s">
        <v>1243</v>
      </c>
      <c r="G1476" s="8" t="s">
        <v>1256</v>
      </c>
      <c r="H1476" s="8" t="s">
        <v>1583</v>
      </c>
      <c r="I1476" s="7" t="s">
        <v>17</v>
      </c>
      <c r="J1476" s="15">
        <v>10</v>
      </c>
    </row>
    <row r="1477" spans="1:10" ht="130" x14ac:dyDescent="0.2">
      <c r="A1477" s="7" t="s">
        <v>751</v>
      </c>
      <c r="B1477" s="8" t="s">
        <v>1240</v>
      </c>
      <c r="C1477" s="8" t="s">
        <v>1582</v>
      </c>
      <c r="D1477" s="6" t="s">
        <v>1580</v>
      </c>
      <c r="E1477" s="7" t="s">
        <v>1581</v>
      </c>
      <c r="F1477" s="7" t="s">
        <v>1243</v>
      </c>
      <c r="G1477" s="8" t="s">
        <v>1252</v>
      </c>
      <c r="H1477" s="8" t="s">
        <v>1584</v>
      </c>
      <c r="I1477" s="7" t="s">
        <v>25</v>
      </c>
      <c r="J1477" s="15">
        <v>30</v>
      </c>
    </row>
    <row r="1478" spans="1:10" ht="143" x14ac:dyDescent="0.2">
      <c r="A1478" s="7" t="s">
        <v>751</v>
      </c>
      <c r="B1478" s="8" t="s">
        <v>1240</v>
      </c>
      <c r="C1478" s="8" t="s">
        <v>1582</v>
      </c>
      <c r="D1478" s="6" t="s">
        <v>1580</v>
      </c>
      <c r="E1478" s="7" t="s">
        <v>1581</v>
      </c>
      <c r="F1478" s="7" t="s">
        <v>1243</v>
      </c>
      <c r="G1478" s="8" t="s">
        <v>1250</v>
      </c>
      <c r="H1478" s="8" t="s">
        <v>1585</v>
      </c>
      <c r="I1478" s="7" t="s">
        <v>17</v>
      </c>
      <c r="J1478" s="15">
        <v>15</v>
      </c>
    </row>
    <row r="1479" spans="1:10" ht="104" x14ac:dyDescent="0.2">
      <c r="A1479" s="7" t="s">
        <v>751</v>
      </c>
      <c r="B1479" s="8" t="s">
        <v>1240</v>
      </c>
      <c r="C1479" s="8" t="s">
        <v>1582</v>
      </c>
      <c r="D1479" s="6" t="s">
        <v>1580</v>
      </c>
      <c r="E1479" s="7" t="s">
        <v>1581</v>
      </c>
      <c r="F1479" s="7" t="s">
        <v>1243</v>
      </c>
      <c r="G1479" s="8" t="s">
        <v>1254</v>
      </c>
      <c r="H1479" s="8" t="s">
        <v>1586</v>
      </c>
      <c r="I1479" s="7" t="s">
        <v>17</v>
      </c>
      <c r="J1479" s="15">
        <v>10</v>
      </c>
    </row>
    <row r="1480" spans="1:10" ht="78" x14ac:dyDescent="0.2">
      <c r="A1480" s="7" t="s">
        <v>751</v>
      </c>
      <c r="B1480" s="8" t="s">
        <v>1240</v>
      </c>
      <c r="C1480" s="8" t="s">
        <v>1582</v>
      </c>
      <c r="D1480" s="6" t="s">
        <v>1580</v>
      </c>
      <c r="E1480" s="7" t="s">
        <v>1581</v>
      </c>
      <c r="F1480" s="7" t="s">
        <v>1243</v>
      </c>
      <c r="G1480" s="8" t="s">
        <v>1248</v>
      </c>
      <c r="H1480" s="8" t="s">
        <v>1587</v>
      </c>
      <c r="I1480" s="7" t="s">
        <v>17</v>
      </c>
      <c r="J1480" s="15">
        <v>10</v>
      </c>
    </row>
    <row r="1481" spans="1:10" ht="143" x14ac:dyDescent="0.2">
      <c r="A1481" s="7" t="s">
        <v>751</v>
      </c>
      <c r="B1481" s="8" t="s">
        <v>1240</v>
      </c>
      <c r="C1481" s="8" t="s">
        <v>1582</v>
      </c>
      <c r="D1481" s="6" t="s">
        <v>1580</v>
      </c>
      <c r="E1481" s="7" t="s">
        <v>1581</v>
      </c>
      <c r="F1481" s="7" t="s">
        <v>1243</v>
      </c>
      <c r="G1481" s="8" t="s">
        <v>1246</v>
      </c>
      <c r="H1481" s="8" t="s">
        <v>1588</v>
      </c>
      <c r="I1481" s="7" t="s">
        <v>25</v>
      </c>
      <c r="J1481" s="15">
        <v>20</v>
      </c>
    </row>
    <row r="1482" spans="1:10" ht="91" x14ac:dyDescent="0.2">
      <c r="A1482" s="7" t="s">
        <v>751</v>
      </c>
      <c r="B1482" s="8" t="s">
        <v>1240</v>
      </c>
      <c r="C1482" s="8" t="s">
        <v>1582</v>
      </c>
      <c r="D1482" s="6" t="s">
        <v>1580</v>
      </c>
      <c r="E1482" s="7" t="s">
        <v>1581</v>
      </c>
      <c r="F1482" s="7" t="s">
        <v>1243</v>
      </c>
      <c r="G1482" s="8" t="s">
        <v>1244</v>
      </c>
      <c r="H1482" s="8" t="s">
        <v>1589</v>
      </c>
      <c r="I1482" s="7" t="s">
        <v>17</v>
      </c>
      <c r="J1482" s="15">
        <v>5</v>
      </c>
    </row>
    <row r="1483" spans="1:10" ht="91" x14ac:dyDescent="0.2">
      <c r="A1483" s="7" t="s">
        <v>751</v>
      </c>
      <c r="B1483" s="8" t="s">
        <v>1240</v>
      </c>
      <c r="C1483" s="8" t="s">
        <v>1241</v>
      </c>
      <c r="D1483" s="6" t="s">
        <v>1238</v>
      </c>
      <c r="E1483" s="7" t="s">
        <v>1239</v>
      </c>
      <c r="F1483" s="7" t="s">
        <v>1243</v>
      </c>
      <c r="G1483" s="8" t="s">
        <v>1244</v>
      </c>
      <c r="H1483" s="8" t="s">
        <v>1245</v>
      </c>
      <c r="I1483" s="7" t="s">
        <v>17</v>
      </c>
      <c r="J1483" s="15">
        <v>5</v>
      </c>
    </row>
    <row r="1484" spans="1:10" ht="143" x14ac:dyDescent="0.2">
      <c r="A1484" s="7" t="s">
        <v>751</v>
      </c>
      <c r="B1484" s="8" t="s">
        <v>1240</v>
      </c>
      <c r="C1484" s="8" t="s">
        <v>1241</v>
      </c>
      <c r="D1484" s="6" t="s">
        <v>1238</v>
      </c>
      <c r="E1484" s="7" t="s">
        <v>1239</v>
      </c>
      <c r="F1484" s="7" t="s">
        <v>1243</v>
      </c>
      <c r="G1484" s="8" t="s">
        <v>1246</v>
      </c>
      <c r="H1484" s="8" t="s">
        <v>1247</v>
      </c>
      <c r="I1484" s="7" t="s">
        <v>25</v>
      </c>
      <c r="J1484" s="15">
        <v>20</v>
      </c>
    </row>
    <row r="1485" spans="1:10" ht="91" x14ac:dyDescent="0.2">
      <c r="A1485" s="7" t="s">
        <v>751</v>
      </c>
      <c r="B1485" s="8" t="s">
        <v>1240</v>
      </c>
      <c r="C1485" s="8" t="s">
        <v>1241</v>
      </c>
      <c r="D1485" s="6" t="s">
        <v>1238</v>
      </c>
      <c r="E1485" s="7" t="s">
        <v>1239</v>
      </c>
      <c r="F1485" s="7" t="s">
        <v>1243</v>
      </c>
      <c r="G1485" s="8" t="s">
        <v>1248</v>
      </c>
      <c r="H1485" s="8" t="s">
        <v>1249</v>
      </c>
      <c r="I1485" s="7" t="s">
        <v>17</v>
      </c>
      <c r="J1485" s="15">
        <v>10</v>
      </c>
    </row>
    <row r="1486" spans="1:10" ht="143" x14ac:dyDescent="0.2">
      <c r="A1486" s="7" t="s">
        <v>751</v>
      </c>
      <c r="B1486" s="8" t="s">
        <v>1240</v>
      </c>
      <c r="C1486" s="8" t="s">
        <v>1241</v>
      </c>
      <c r="D1486" s="6" t="s">
        <v>1238</v>
      </c>
      <c r="E1486" s="7" t="s">
        <v>1239</v>
      </c>
      <c r="F1486" s="7" t="s">
        <v>1243</v>
      </c>
      <c r="G1486" s="8" t="s">
        <v>1250</v>
      </c>
      <c r="H1486" s="8" t="s">
        <v>1251</v>
      </c>
      <c r="I1486" s="7" t="s">
        <v>17</v>
      </c>
      <c r="J1486" s="15">
        <v>15</v>
      </c>
    </row>
    <row r="1487" spans="1:10" ht="143" x14ac:dyDescent="0.2">
      <c r="A1487" s="7" t="s">
        <v>751</v>
      </c>
      <c r="B1487" s="8" t="s">
        <v>1240</v>
      </c>
      <c r="C1487" s="8" t="s">
        <v>1241</v>
      </c>
      <c r="D1487" s="6" t="s">
        <v>1238</v>
      </c>
      <c r="E1487" s="7" t="s">
        <v>1239</v>
      </c>
      <c r="F1487" s="7" t="s">
        <v>1243</v>
      </c>
      <c r="G1487" s="8" t="s">
        <v>1252</v>
      </c>
      <c r="H1487" s="8" t="s">
        <v>1253</v>
      </c>
      <c r="I1487" s="7" t="s">
        <v>25</v>
      </c>
      <c r="J1487" s="15">
        <v>30</v>
      </c>
    </row>
    <row r="1488" spans="1:10" ht="104" x14ac:dyDescent="0.2">
      <c r="A1488" s="7" t="s">
        <v>751</v>
      </c>
      <c r="B1488" s="8" t="s">
        <v>1240</v>
      </c>
      <c r="C1488" s="8" t="s">
        <v>1241</v>
      </c>
      <c r="D1488" s="6" t="s">
        <v>1238</v>
      </c>
      <c r="E1488" s="7" t="s">
        <v>1239</v>
      </c>
      <c r="F1488" s="7" t="s">
        <v>1243</v>
      </c>
      <c r="G1488" s="8" t="s">
        <v>1254</v>
      </c>
      <c r="H1488" s="8" t="s">
        <v>1255</v>
      </c>
      <c r="I1488" s="7" t="s">
        <v>17</v>
      </c>
      <c r="J1488" s="15">
        <v>10</v>
      </c>
    </row>
    <row r="1489" spans="1:10" ht="91" x14ac:dyDescent="0.2">
      <c r="A1489" s="7" t="s">
        <v>751</v>
      </c>
      <c r="B1489" s="8" t="s">
        <v>1240</v>
      </c>
      <c r="C1489" s="8" t="s">
        <v>1241</v>
      </c>
      <c r="D1489" s="6" t="s">
        <v>1238</v>
      </c>
      <c r="E1489" s="7" t="s">
        <v>1239</v>
      </c>
      <c r="F1489" s="7" t="s">
        <v>1243</v>
      </c>
      <c r="G1489" s="8" t="s">
        <v>1256</v>
      </c>
      <c r="H1489" s="8" t="s">
        <v>1257</v>
      </c>
      <c r="I1489" s="7" t="s">
        <v>17</v>
      </c>
      <c r="J1489" s="15">
        <v>10</v>
      </c>
    </row>
    <row r="1490" spans="1:10" ht="143" x14ac:dyDescent="0.2">
      <c r="A1490" s="7" t="s">
        <v>751</v>
      </c>
      <c r="B1490" s="8" t="s">
        <v>1240</v>
      </c>
      <c r="C1490" s="8" t="s">
        <v>1241</v>
      </c>
      <c r="D1490" s="6" t="s">
        <v>1600</v>
      </c>
      <c r="E1490" s="7" t="s">
        <v>1601</v>
      </c>
      <c r="F1490" s="7" t="s">
        <v>1243</v>
      </c>
      <c r="G1490" s="8" t="s">
        <v>1252</v>
      </c>
      <c r="H1490" s="8" t="s">
        <v>1602</v>
      </c>
      <c r="I1490" s="7" t="s">
        <v>25</v>
      </c>
      <c r="J1490" s="15">
        <v>30</v>
      </c>
    </row>
    <row r="1491" spans="1:10" ht="104" x14ac:dyDescent="0.2">
      <c r="A1491" s="7" t="s">
        <v>751</v>
      </c>
      <c r="B1491" s="8" t="s">
        <v>1240</v>
      </c>
      <c r="C1491" s="8" t="s">
        <v>1241</v>
      </c>
      <c r="D1491" s="6" t="s">
        <v>1600</v>
      </c>
      <c r="E1491" s="7" t="s">
        <v>1601</v>
      </c>
      <c r="F1491" s="7" t="s">
        <v>1243</v>
      </c>
      <c r="G1491" s="8" t="s">
        <v>1254</v>
      </c>
      <c r="H1491" s="8" t="s">
        <v>1603</v>
      </c>
      <c r="I1491" s="7" t="s">
        <v>17</v>
      </c>
      <c r="J1491" s="15">
        <v>10</v>
      </c>
    </row>
    <row r="1492" spans="1:10" ht="143" x14ac:dyDescent="0.2">
      <c r="A1492" s="7" t="s">
        <v>751</v>
      </c>
      <c r="B1492" s="8" t="s">
        <v>1240</v>
      </c>
      <c r="C1492" s="8" t="s">
        <v>1241</v>
      </c>
      <c r="D1492" s="6" t="s">
        <v>1600</v>
      </c>
      <c r="E1492" s="7" t="s">
        <v>1601</v>
      </c>
      <c r="F1492" s="7" t="s">
        <v>1243</v>
      </c>
      <c r="G1492" s="8" t="s">
        <v>1246</v>
      </c>
      <c r="H1492" s="8" t="s">
        <v>1604</v>
      </c>
      <c r="I1492" s="7" t="s">
        <v>25</v>
      </c>
      <c r="J1492" s="15">
        <v>20</v>
      </c>
    </row>
    <row r="1493" spans="1:10" ht="91" x14ac:dyDescent="0.2">
      <c r="A1493" s="7" t="s">
        <v>751</v>
      </c>
      <c r="B1493" s="8" t="s">
        <v>1240</v>
      </c>
      <c r="C1493" s="8" t="s">
        <v>1241</v>
      </c>
      <c r="D1493" s="6" t="s">
        <v>1600</v>
      </c>
      <c r="E1493" s="7" t="s">
        <v>1601</v>
      </c>
      <c r="F1493" s="7" t="s">
        <v>1243</v>
      </c>
      <c r="G1493" s="8" t="s">
        <v>1256</v>
      </c>
      <c r="H1493" s="8" t="s">
        <v>1605</v>
      </c>
      <c r="I1493" s="7" t="s">
        <v>17</v>
      </c>
      <c r="J1493" s="15">
        <v>10</v>
      </c>
    </row>
    <row r="1494" spans="1:10" ht="91" x14ac:dyDescent="0.2">
      <c r="A1494" s="7" t="s">
        <v>751</v>
      </c>
      <c r="B1494" s="8" t="s">
        <v>1240</v>
      </c>
      <c r="C1494" s="8" t="s">
        <v>1241</v>
      </c>
      <c r="D1494" s="6" t="s">
        <v>1600</v>
      </c>
      <c r="E1494" s="7" t="s">
        <v>1601</v>
      </c>
      <c r="F1494" s="7" t="s">
        <v>1243</v>
      </c>
      <c r="G1494" s="8" t="s">
        <v>1244</v>
      </c>
      <c r="H1494" s="8" t="s">
        <v>1606</v>
      </c>
      <c r="I1494" s="7" t="s">
        <v>17</v>
      </c>
      <c r="J1494" s="15">
        <v>5</v>
      </c>
    </row>
    <row r="1495" spans="1:10" ht="91" x14ac:dyDescent="0.2">
      <c r="A1495" s="7" t="s">
        <v>751</v>
      </c>
      <c r="B1495" s="8" t="s">
        <v>1240</v>
      </c>
      <c r="C1495" s="8" t="s">
        <v>1241</v>
      </c>
      <c r="D1495" s="6" t="s">
        <v>1600</v>
      </c>
      <c r="E1495" s="7" t="s">
        <v>1601</v>
      </c>
      <c r="F1495" s="7" t="s">
        <v>1243</v>
      </c>
      <c r="G1495" s="8" t="s">
        <v>1248</v>
      </c>
      <c r="H1495" s="8" t="s">
        <v>1607</v>
      </c>
      <c r="I1495" s="7" t="s">
        <v>17</v>
      </c>
      <c r="J1495" s="15">
        <v>10</v>
      </c>
    </row>
    <row r="1496" spans="1:10" ht="156" x14ac:dyDescent="0.2">
      <c r="A1496" s="7" t="s">
        <v>751</v>
      </c>
      <c r="B1496" s="8" t="s">
        <v>1240</v>
      </c>
      <c r="C1496" s="8" t="s">
        <v>1241</v>
      </c>
      <c r="D1496" s="6" t="s">
        <v>1600</v>
      </c>
      <c r="E1496" s="7" t="s">
        <v>1601</v>
      </c>
      <c r="F1496" s="7" t="s">
        <v>1243</v>
      </c>
      <c r="G1496" s="8" t="s">
        <v>1250</v>
      </c>
      <c r="H1496" s="8" t="s">
        <v>1608</v>
      </c>
      <c r="I1496" s="7" t="s">
        <v>17</v>
      </c>
      <c r="J1496" s="15">
        <v>15</v>
      </c>
    </row>
    <row r="1497" spans="1:10" ht="91" x14ac:dyDescent="0.2">
      <c r="A1497" s="7" t="s">
        <v>751</v>
      </c>
      <c r="B1497" s="8" t="s">
        <v>1240</v>
      </c>
      <c r="C1497" s="8" t="s">
        <v>2839</v>
      </c>
      <c r="D1497" s="6" t="s">
        <v>2837</v>
      </c>
      <c r="E1497" s="7" t="s">
        <v>2838</v>
      </c>
      <c r="F1497" s="7" t="s">
        <v>1243</v>
      </c>
      <c r="G1497" s="8" t="s">
        <v>1256</v>
      </c>
      <c r="H1497" s="8" t="s">
        <v>2840</v>
      </c>
      <c r="I1497" s="7" t="s">
        <v>17</v>
      </c>
      <c r="J1497" s="15">
        <v>10</v>
      </c>
    </row>
    <row r="1498" spans="1:10" ht="104" x14ac:dyDescent="0.2">
      <c r="A1498" s="7" t="s">
        <v>751</v>
      </c>
      <c r="B1498" s="8" t="s">
        <v>1240</v>
      </c>
      <c r="C1498" s="8" t="s">
        <v>2839</v>
      </c>
      <c r="D1498" s="6" t="s">
        <v>2837</v>
      </c>
      <c r="E1498" s="7" t="s">
        <v>2838</v>
      </c>
      <c r="F1498" s="7" t="s">
        <v>1243</v>
      </c>
      <c r="G1498" s="8" t="s">
        <v>1254</v>
      </c>
      <c r="H1498" s="8" t="s">
        <v>2841</v>
      </c>
      <c r="I1498" s="7" t="s">
        <v>17</v>
      </c>
      <c r="J1498" s="15">
        <v>10</v>
      </c>
    </row>
    <row r="1499" spans="1:10" ht="156" x14ac:dyDescent="0.2">
      <c r="A1499" s="7" t="s">
        <v>751</v>
      </c>
      <c r="B1499" s="8" t="s">
        <v>1240</v>
      </c>
      <c r="C1499" s="8" t="s">
        <v>2839</v>
      </c>
      <c r="D1499" s="6" t="s">
        <v>2837</v>
      </c>
      <c r="E1499" s="7" t="s">
        <v>2838</v>
      </c>
      <c r="F1499" s="7" t="s">
        <v>1243</v>
      </c>
      <c r="G1499" s="8" t="s">
        <v>2842</v>
      </c>
      <c r="H1499" s="8" t="s">
        <v>2843</v>
      </c>
      <c r="I1499" s="7" t="s">
        <v>17</v>
      </c>
      <c r="J1499" s="15">
        <v>10</v>
      </c>
    </row>
    <row r="1500" spans="1:10" ht="78" x14ac:dyDescent="0.2">
      <c r="A1500" s="7" t="s">
        <v>751</v>
      </c>
      <c r="B1500" s="8" t="s">
        <v>1240</v>
      </c>
      <c r="C1500" s="8" t="s">
        <v>2839</v>
      </c>
      <c r="D1500" s="6" t="s">
        <v>2837</v>
      </c>
      <c r="E1500" s="7" t="s">
        <v>2838</v>
      </c>
      <c r="F1500" s="7" t="s">
        <v>1243</v>
      </c>
      <c r="G1500" s="8" t="s">
        <v>2844</v>
      </c>
      <c r="H1500" s="8" t="s">
        <v>2845</v>
      </c>
      <c r="I1500" s="7" t="s">
        <v>17</v>
      </c>
      <c r="J1500" s="15">
        <v>5</v>
      </c>
    </row>
    <row r="1501" spans="1:10" ht="143" x14ac:dyDescent="0.2">
      <c r="A1501" s="7" t="s">
        <v>751</v>
      </c>
      <c r="B1501" s="8" t="s">
        <v>1240</v>
      </c>
      <c r="C1501" s="8" t="s">
        <v>2839</v>
      </c>
      <c r="D1501" s="6" t="s">
        <v>2837</v>
      </c>
      <c r="E1501" s="7" t="s">
        <v>2838</v>
      </c>
      <c r="F1501" s="7" t="s">
        <v>1243</v>
      </c>
      <c r="G1501" s="8" t="s">
        <v>1250</v>
      </c>
      <c r="H1501" s="8" t="s">
        <v>2846</v>
      </c>
      <c r="I1501" s="7" t="s">
        <v>17</v>
      </c>
      <c r="J1501" s="15">
        <v>15</v>
      </c>
    </row>
    <row r="1502" spans="1:10" ht="143" x14ac:dyDescent="0.2">
      <c r="A1502" s="7" t="s">
        <v>751</v>
      </c>
      <c r="B1502" s="8" t="s">
        <v>1240</v>
      </c>
      <c r="C1502" s="8" t="s">
        <v>2839</v>
      </c>
      <c r="D1502" s="6" t="s">
        <v>2837</v>
      </c>
      <c r="E1502" s="7" t="s">
        <v>2838</v>
      </c>
      <c r="F1502" s="7" t="s">
        <v>1243</v>
      </c>
      <c r="G1502" s="8" t="s">
        <v>1246</v>
      </c>
      <c r="H1502" s="8" t="s">
        <v>2847</v>
      </c>
      <c r="I1502" s="7" t="s">
        <v>25</v>
      </c>
      <c r="J1502" s="15">
        <v>20</v>
      </c>
    </row>
    <row r="1503" spans="1:10" ht="117" x14ac:dyDescent="0.2">
      <c r="A1503" s="7" t="s">
        <v>751</v>
      </c>
      <c r="B1503" s="8" t="s">
        <v>1240</v>
      </c>
      <c r="C1503" s="8" t="s">
        <v>2839</v>
      </c>
      <c r="D1503" s="6" t="s">
        <v>2837</v>
      </c>
      <c r="E1503" s="7" t="s">
        <v>2838</v>
      </c>
      <c r="F1503" s="7" t="s">
        <v>1243</v>
      </c>
      <c r="G1503" s="8" t="s">
        <v>2848</v>
      </c>
      <c r="H1503" s="8" t="s">
        <v>2849</v>
      </c>
      <c r="I1503" s="7" t="s">
        <v>25</v>
      </c>
      <c r="J1503" s="15">
        <v>30</v>
      </c>
    </row>
    <row r="1504" spans="1:10" ht="260" x14ac:dyDescent="0.2">
      <c r="A1504" s="7" t="s">
        <v>751</v>
      </c>
      <c r="B1504" s="8" t="s">
        <v>894</v>
      </c>
      <c r="C1504" s="8" t="s">
        <v>2419</v>
      </c>
      <c r="D1504" s="6" t="s">
        <v>978</v>
      </c>
      <c r="E1504" s="7" t="s">
        <v>979</v>
      </c>
      <c r="F1504" s="7" t="s">
        <v>295</v>
      </c>
      <c r="G1504" s="8" t="s">
        <v>983</v>
      </c>
      <c r="H1504" s="8" t="s">
        <v>3388</v>
      </c>
      <c r="I1504" s="7" t="s">
        <v>25</v>
      </c>
      <c r="J1504" s="13">
        <v>10</v>
      </c>
    </row>
    <row r="1505" spans="1:10" ht="272" x14ac:dyDescent="0.2">
      <c r="A1505" s="7" t="s">
        <v>751</v>
      </c>
      <c r="B1505" s="8" t="s">
        <v>894</v>
      </c>
      <c r="C1505" s="8" t="s">
        <v>2419</v>
      </c>
      <c r="D1505" s="6" t="s">
        <v>978</v>
      </c>
      <c r="E1505" s="7" t="s">
        <v>979</v>
      </c>
      <c r="F1505" s="7" t="s">
        <v>295</v>
      </c>
      <c r="G1505" s="8" t="s">
        <v>904</v>
      </c>
      <c r="H1505" s="8" t="s">
        <v>3389</v>
      </c>
      <c r="I1505" s="7" t="s">
        <v>25</v>
      </c>
      <c r="J1505" s="13">
        <v>10</v>
      </c>
    </row>
    <row r="1506" spans="1:10" ht="208" x14ac:dyDescent="0.2">
      <c r="A1506" s="7" t="s">
        <v>751</v>
      </c>
      <c r="B1506" s="8" t="s">
        <v>894</v>
      </c>
      <c r="C1506" s="8" t="s">
        <v>2419</v>
      </c>
      <c r="D1506" s="6" t="s">
        <v>978</v>
      </c>
      <c r="E1506" s="7" t="s">
        <v>979</v>
      </c>
      <c r="F1506" s="7" t="s">
        <v>295</v>
      </c>
      <c r="G1506" s="8" t="s">
        <v>985</v>
      </c>
      <c r="H1506" s="8" t="s">
        <v>3390</v>
      </c>
      <c r="I1506" s="7" t="s">
        <v>25</v>
      </c>
      <c r="J1506" s="13">
        <v>15</v>
      </c>
    </row>
    <row r="1507" spans="1:10" ht="130" x14ac:dyDescent="0.2">
      <c r="A1507" s="7" t="s">
        <v>751</v>
      </c>
      <c r="B1507" s="8" t="s">
        <v>894</v>
      </c>
      <c r="C1507" s="8" t="s">
        <v>2419</v>
      </c>
      <c r="D1507" s="6" t="s">
        <v>978</v>
      </c>
      <c r="E1507" s="7" t="s">
        <v>979</v>
      </c>
      <c r="F1507" s="7" t="s">
        <v>295</v>
      </c>
      <c r="G1507" s="8" t="s">
        <v>902</v>
      </c>
      <c r="H1507" s="8" t="s">
        <v>3391</v>
      </c>
      <c r="I1507" s="7" t="s">
        <v>25</v>
      </c>
      <c r="J1507" s="13">
        <v>40</v>
      </c>
    </row>
    <row r="1508" spans="1:10" ht="234" x14ac:dyDescent="0.2">
      <c r="A1508" s="7" t="s">
        <v>751</v>
      </c>
      <c r="B1508" s="8" t="s">
        <v>894</v>
      </c>
      <c r="C1508" s="8" t="s">
        <v>2419</v>
      </c>
      <c r="D1508" s="6" t="s">
        <v>978</v>
      </c>
      <c r="E1508" s="7" t="s">
        <v>979</v>
      </c>
      <c r="F1508" s="7" t="s">
        <v>295</v>
      </c>
      <c r="G1508" s="8" t="s">
        <v>980</v>
      </c>
      <c r="H1508" s="8" t="s">
        <v>3392</v>
      </c>
      <c r="I1508" s="7" t="s">
        <v>25</v>
      </c>
      <c r="J1508" s="13">
        <v>15</v>
      </c>
    </row>
    <row r="1509" spans="1:10" ht="195" x14ac:dyDescent="0.2">
      <c r="A1509" s="7" t="s">
        <v>751</v>
      </c>
      <c r="B1509" s="8" t="s">
        <v>894</v>
      </c>
      <c r="C1509" s="8" t="s">
        <v>2419</v>
      </c>
      <c r="D1509" s="6" t="s">
        <v>978</v>
      </c>
      <c r="E1509" s="7" t="s">
        <v>979</v>
      </c>
      <c r="F1509" s="7" t="s">
        <v>295</v>
      </c>
      <c r="G1509" s="8" t="s">
        <v>989</v>
      </c>
      <c r="H1509" s="8" t="s">
        <v>3393</v>
      </c>
      <c r="I1509" s="7" t="s">
        <v>25</v>
      </c>
      <c r="J1509" s="13">
        <v>10</v>
      </c>
    </row>
    <row r="1510" spans="1:10" ht="65" x14ac:dyDescent="0.2">
      <c r="A1510" s="7" t="s">
        <v>751</v>
      </c>
      <c r="B1510" s="8" t="s">
        <v>894</v>
      </c>
      <c r="C1510" s="8" t="s">
        <v>895</v>
      </c>
      <c r="D1510" s="6" t="s">
        <v>892</v>
      </c>
      <c r="E1510" s="7" t="s">
        <v>893</v>
      </c>
      <c r="F1510" s="7" t="s">
        <v>897</v>
      </c>
      <c r="G1510" s="8" t="s">
        <v>898</v>
      </c>
      <c r="H1510" s="8" t="s">
        <v>899</v>
      </c>
      <c r="I1510" s="7" t="s">
        <v>17</v>
      </c>
      <c r="J1510" s="15">
        <v>20</v>
      </c>
    </row>
    <row r="1511" spans="1:10" ht="65" x14ac:dyDescent="0.2">
      <c r="A1511" s="7" t="s">
        <v>751</v>
      </c>
      <c r="B1511" s="8" t="s">
        <v>894</v>
      </c>
      <c r="C1511" s="8" t="s">
        <v>895</v>
      </c>
      <c r="D1511" s="6" t="s">
        <v>892</v>
      </c>
      <c r="E1511" s="7" t="s">
        <v>893</v>
      </c>
      <c r="F1511" s="7" t="s">
        <v>897</v>
      </c>
      <c r="G1511" s="8" t="s">
        <v>900</v>
      </c>
      <c r="H1511" s="8" t="s">
        <v>901</v>
      </c>
      <c r="I1511" s="7" t="s">
        <v>17</v>
      </c>
      <c r="J1511" s="15">
        <v>20</v>
      </c>
    </row>
    <row r="1512" spans="1:10" ht="104" x14ac:dyDescent="0.2">
      <c r="A1512" s="7" t="s">
        <v>751</v>
      </c>
      <c r="B1512" s="8" t="s">
        <v>894</v>
      </c>
      <c r="C1512" s="8" t="s">
        <v>895</v>
      </c>
      <c r="D1512" s="6" t="s">
        <v>892</v>
      </c>
      <c r="E1512" s="7" t="s">
        <v>893</v>
      </c>
      <c r="F1512" s="7" t="s">
        <v>897</v>
      </c>
      <c r="G1512" s="8" t="s">
        <v>902</v>
      </c>
      <c r="H1512" s="8" t="s">
        <v>903</v>
      </c>
      <c r="I1512" s="7" t="s">
        <v>25</v>
      </c>
      <c r="J1512" s="15">
        <v>20</v>
      </c>
    </row>
    <row r="1513" spans="1:10" ht="208" x14ac:dyDescent="0.2">
      <c r="A1513" s="7" t="s">
        <v>751</v>
      </c>
      <c r="B1513" s="8" t="s">
        <v>894</v>
      </c>
      <c r="C1513" s="8" t="s">
        <v>895</v>
      </c>
      <c r="D1513" s="6" t="s">
        <v>892</v>
      </c>
      <c r="E1513" s="7" t="s">
        <v>893</v>
      </c>
      <c r="F1513" s="7" t="s">
        <v>897</v>
      </c>
      <c r="G1513" s="8" t="s">
        <v>904</v>
      </c>
      <c r="H1513" s="8" t="s">
        <v>905</v>
      </c>
      <c r="I1513" s="7" t="s">
        <v>25</v>
      </c>
      <c r="J1513" s="15">
        <v>20</v>
      </c>
    </row>
    <row r="1514" spans="1:10" ht="65" x14ac:dyDescent="0.2">
      <c r="A1514" s="7" t="s">
        <v>751</v>
      </c>
      <c r="B1514" s="8" t="s">
        <v>894</v>
      </c>
      <c r="C1514" s="8" t="s">
        <v>895</v>
      </c>
      <c r="D1514" s="6" t="s">
        <v>892</v>
      </c>
      <c r="E1514" s="7" t="s">
        <v>893</v>
      </c>
      <c r="F1514" s="7" t="s">
        <v>897</v>
      </c>
      <c r="G1514" s="8" t="s">
        <v>906</v>
      </c>
      <c r="H1514" s="8" t="s">
        <v>907</v>
      </c>
      <c r="I1514" s="7" t="s">
        <v>25</v>
      </c>
      <c r="J1514" s="15">
        <v>20</v>
      </c>
    </row>
    <row r="1515" spans="1:10" ht="65" x14ac:dyDescent="0.2">
      <c r="A1515" s="7" t="s">
        <v>751</v>
      </c>
      <c r="B1515" s="8" t="s">
        <v>894</v>
      </c>
      <c r="C1515" s="8" t="s">
        <v>2729</v>
      </c>
      <c r="D1515" s="6" t="s">
        <v>2727</v>
      </c>
      <c r="E1515" s="7" t="s">
        <v>2728</v>
      </c>
      <c r="F1515" s="7" t="s">
        <v>2148</v>
      </c>
      <c r="G1515" s="8" t="s">
        <v>2730</v>
      </c>
      <c r="H1515" s="8" t="s">
        <v>2731</v>
      </c>
      <c r="I1515" s="7" t="s">
        <v>17</v>
      </c>
      <c r="J1515" s="15">
        <v>5</v>
      </c>
    </row>
    <row r="1516" spans="1:10" ht="169" x14ac:dyDescent="0.2">
      <c r="A1516" s="7" t="s">
        <v>751</v>
      </c>
      <c r="B1516" s="8" t="s">
        <v>894</v>
      </c>
      <c r="C1516" s="8" t="s">
        <v>2729</v>
      </c>
      <c r="D1516" s="6" t="s">
        <v>2727</v>
      </c>
      <c r="E1516" s="7" t="s">
        <v>2728</v>
      </c>
      <c r="F1516" s="7" t="s">
        <v>2148</v>
      </c>
      <c r="G1516" s="8" t="s">
        <v>2732</v>
      </c>
      <c r="H1516" s="8" t="s">
        <v>2733</v>
      </c>
      <c r="I1516" s="7" t="s">
        <v>25</v>
      </c>
      <c r="J1516" s="15">
        <v>20</v>
      </c>
    </row>
    <row r="1517" spans="1:10" ht="52" x14ac:dyDescent="0.2">
      <c r="A1517" s="7" t="s">
        <v>751</v>
      </c>
      <c r="B1517" s="8" t="s">
        <v>894</v>
      </c>
      <c r="C1517" s="8" t="s">
        <v>2729</v>
      </c>
      <c r="D1517" s="6" t="s">
        <v>2727</v>
      </c>
      <c r="E1517" s="7" t="s">
        <v>2728</v>
      </c>
      <c r="F1517" s="7" t="s">
        <v>2148</v>
      </c>
      <c r="G1517" s="8" t="s">
        <v>2734</v>
      </c>
      <c r="H1517" s="8" t="s">
        <v>2735</v>
      </c>
      <c r="I1517" s="7" t="s">
        <v>17</v>
      </c>
      <c r="J1517" s="15">
        <v>20</v>
      </c>
    </row>
    <row r="1518" spans="1:10" ht="195" x14ac:dyDescent="0.2">
      <c r="A1518" s="7" t="s">
        <v>751</v>
      </c>
      <c r="B1518" s="8" t="s">
        <v>894</v>
      </c>
      <c r="C1518" s="8" t="s">
        <v>2729</v>
      </c>
      <c r="D1518" s="6" t="s">
        <v>2727</v>
      </c>
      <c r="E1518" s="7" t="s">
        <v>2728</v>
      </c>
      <c r="F1518" s="7" t="s">
        <v>2148</v>
      </c>
      <c r="G1518" s="8" t="s">
        <v>2736</v>
      </c>
      <c r="H1518" s="8" t="s">
        <v>2737</v>
      </c>
      <c r="I1518" s="7" t="s">
        <v>25</v>
      </c>
      <c r="J1518" s="15">
        <v>20</v>
      </c>
    </row>
    <row r="1519" spans="1:10" ht="104" x14ac:dyDescent="0.2">
      <c r="A1519" s="7" t="s">
        <v>751</v>
      </c>
      <c r="B1519" s="8" t="s">
        <v>894</v>
      </c>
      <c r="C1519" s="8" t="s">
        <v>2729</v>
      </c>
      <c r="D1519" s="6" t="s">
        <v>2727</v>
      </c>
      <c r="E1519" s="7" t="s">
        <v>2728</v>
      </c>
      <c r="F1519" s="7" t="s">
        <v>2148</v>
      </c>
      <c r="G1519" s="8" t="s">
        <v>2738</v>
      </c>
      <c r="H1519" s="8" t="s">
        <v>2739</v>
      </c>
      <c r="I1519" s="7" t="s">
        <v>25</v>
      </c>
      <c r="J1519" s="15">
        <v>30</v>
      </c>
    </row>
    <row r="1520" spans="1:10" ht="104" x14ac:dyDescent="0.2">
      <c r="A1520" s="7" t="s">
        <v>751</v>
      </c>
      <c r="B1520" s="8" t="s">
        <v>894</v>
      </c>
      <c r="C1520" s="8" t="s">
        <v>2729</v>
      </c>
      <c r="D1520" s="6" t="s">
        <v>2727</v>
      </c>
      <c r="E1520" s="7" t="s">
        <v>2728</v>
      </c>
      <c r="F1520" s="7" t="s">
        <v>2148</v>
      </c>
      <c r="G1520" s="8" t="s">
        <v>2740</v>
      </c>
      <c r="H1520" s="8" t="s">
        <v>2741</v>
      </c>
      <c r="I1520" s="7" t="s">
        <v>17</v>
      </c>
      <c r="J1520" s="15">
        <v>5</v>
      </c>
    </row>
    <row r="1521" spans="1:10" ht="65" x14ac:dyDescent="0.2">
      <c r="A1521" s="7" t="s">
        <v>751</v>
      </c>
      <c r="B1521" s="8" t="s">
        <v>894</v>
      </c>
      <c r="C1521" s="8" t="s">
        <v>1823</v>
      </c>
      <c r="D1521" s="6" t="s">
        <v>1821</v>
      </c>
      <c r="E1521" s="7" t="s">
        <v>1822</v>
      </c>
      <c r="F1521" s="7" t="s">
        <v>897</v>
      </c>
      <c r="G1521" s="8" t="s">
        <v>906</v>
      </c>
      <c r="H1521" s="8" t="s">
        <v>907</v>
      </c>
      <c r="I1521" s="7" t="s">
        <v>25</v>
      </c>
      <c r="J1521" s="15">
        <v>20</v>
      </c>
    </row>
    <row r="1522" spans="1:10" ht="65" x14ac:dyDescent="0.2">
      <c r="A1522" s="7" t="s">
        <v>751</v>
      </c>
      <c r="B1522" s="8" t="s">
        <v>894</v>
      </c>
      <c r="C1522" s="8" t="s">
        <v>1823</v>
      </c>
      <c r="D1522" s="6" t="s">
        <v>1821</v>
      </c>
      <c r="E1522" s="7" t="s">
        <v>1822</v>
      </c>
      <c r="F1522" s="7" t="s">
        <v>897</v>
      </c>
      <c r="G1522" s="8" t="s">
        <v>900</v>
      </c>
      <c r="H1522" s="8" t="s">
        <v>1824</v>
      </c>
      <c r="I1522" s="7" t="s">
        <v>17</v>
      </c>
      <c r="J1522" s="15">
        <v>20</v>
      </c>
    </row>
    <row r="1523" spans="1:10" ht="104" x14ac:dyDescent="0.2">
      <c r="A1523" s="7" t="s">
        <v>751</v>
      </c>
      <c r="B1523" s="8" t="s">
        <v>894</v>
      </c>
      <c r="C1523" s="8" t="s">
        <v>1823</v>
      </c>
      <c r="D1523" s="6" t="s">
        <v>1821</v>
      </c>
      <c r="E1523" s="7" t="s">
        <v>1822</v>
      </c>
      <c r="F1523" s="7" t="s">
        <v>897</v>
      </c>
      <c r="G1523" s="8" t="s">
        <v>902</v>
      </c>
      <c r="H1523" s="8" t="s">
        <v>903</v>
      </c>
      <c r="I1523" s="7" t="s">
        <v>25</v>
      </c>
      <c r="J1523" s="15">
        <v>20</v>
      </c>
    </row>
    <row r="1524" spans="1:10" ht="39" x14ac:dyDescent="0.2">
      <c r="A1524" s="7" t="s">
        <v>751</v>
      </c>
      <c r="B1524" s="8" t="s">
        <v>894</v>
      </c>
      <c r="C1524" s="8" t="s">
        <v>1823</v>
      </c>
      <c r="D1524" s="6" t="s">
        <v>1821</v>
      </c>
      <c r="E1524" s="7" t="s">
        <v>1822</v>
      </c>
      <c r="F1524" s="7" t="s">
        <v>897</v>
      </c>
      <c r="G1524" s="8" t="s">
        <v>1825</v>
      </c>
      <c r="H1524" s="8" t="s">
        <v>1826</v>
      </c>
      <c r="I1524" s="7" t="s">
        <v>17</v>
      </c>
      <c r="J1524" s="15">
        <v>20</v>
      </c>
    </row>
    <row r="1525" spans="1:10" ht="195" x14ac:dyDescent="0.2">
      <c r="A1525" s="7" t="s">
        <v>751</v>
      </c>
      <c r="B1525" s="8" t="s">
        <v>894</v>
      </c>
      <c r="C1525" s="8" t="s">
        <v>1823</v>
      </c>
      <c r="D1525" s="6" t="s">
        <v>1821</v>
      </c>
      <c r="E1525" s="7" t="s">
        <v>1822</v>
      </c>
      <c r="F1525" s="7" t="s">
        <v>897</v>
      </c>
      <c r="G1525" s="8" t="s">
        <v>985</v>
      </c>
      <c r="H1525" s="8" t="s">
        <v>1827</v>
      </c>
      <c r="I1525" s="7" t="s">
        <v>25</v>
      </c>
      <c r="J1525" s="15">
        <v>20</v>
      </c>
    </row>
    <row r="1526" spans="1:10" ht="112.25" customHeight="1" x14ac:dyDescent="0.2">
      <c r="A1526" s="7" t="s">
        <v>751</v>
      </c>
      <c r="B1526" s="8" t="s">
        <v>894</v>
      </c>
      <c r="C1526" s="8" t="s">
        <v>1823</v>
      </c>
      <c r="D1526" s="6" t="s">
        <v>1906</v>
      </c>
      <c r="E1526" s="7" t="s">
        <v>1907</v>
      </c>
      <c r="F1526" s="7" t="s">
        <v>897</v>
      </c>
      <c r="G1526" s="8" t="s">
        <v>902</v>
      </c>
      <c r="H1526" s="8" t="s">
        <v>903</v>
      </c>
      <c r="I1526" s="7" t="s">
        <v>25</v>
      </c>
      <c r="J1526" s="15">
        <v>20</v>
      </c>
    </row>
    <row r="1527" spans="1:10" ht="98.5" customHeight="1" x14ac:dyDescent="0.2">
      <c r="A1527" s="7" t="s">
        <v>751</v>
      </c>
      <c r="B1527" s="8" t="s">
        <v>894</v>
      </c>
      <c r="C1527" s="8" t="s">
        <v>1823</v>
      </c>
      <c r="D1527" s="6" t="s">
        <v>1906</v>
      </c>
      <c r="E1527" s="7" t="s">
        <v>1907</v>
      </c>
      <c r="F1527" s="7" t="s">
        <v>897</v>
      </c>
      <c r="G1527" s="8" t="s">
        <v>980</v>
      </c>
      <c r="H1527" s="8" t="s">
        <v>1908</v>
      </c>
      <c r="I1527" s="7" t="s">
        <v>25</v>
      </c>
      <c r="J1527" s="15">
        <v>20</v>
      </c>
    </row>
    <row r="1528" spans="1:10" ht="91.75" customHeight="1" x14ac:dyDescent="0.2">
      <c r="A1528" s="7" t="s">
        <v>751</v>
      </c>
      <c r="B1528" s="8" t="s">
        <v>894</v>
      </c>
      <c r="C1528" s="8" t="s">
        <v>1823</v>
      </c>
      <c r="D1528" s="6" t="s">
        <v>1906</v>
      </c>
      <c r="E1528" s="7" t="s">
        <v>1907</v>
      </c>
      <c r="F1528" s="7" t="s">
        <v>897</v>
      </c>
      <c r="G1528" s="8" t="s">
        <v>989</v>
      </c>
      <c r="H1528" s="8" t="s">
        <v>1909</v>
      </c>
      <c r="I1528" s="7" t="s">
        <v>25</v>
      </c>
      <c r="J1528" s="15">
        <v>20</v>
      </c>
    </row>
    <row r="1529" spans="1:10" ht="164.5" customHeight="1" x14ac:dyDescent="0.2">
      <c r="A1529" s="7" t="s">
        <v>751</v>
      </c>
      <c r="B1529" s="8" t="s">
        <v>894</v>
      </c>
      <c r="C1529" s="8" t="s">
        <v>1823</v>
      </c>
      <c r="D1529" s="6" t="s">
        <v>1906</v>
      </c>
      <c r="E1529" s="7" t="s">
        <v>1907</v>
      </c>
      <c r="F1529" s="7" t="s">
        <v>897</v>
      </c>
      <c r="G1529" s="8" t="s">
        <v>1910</v>
      </c>
      <c r="H1529" s="8" t="s">
        <v>907</v>
      </c>
      <c r="I1529" s="7" t="s">
        <v>17</v>
      </c>
      <c r="J1529" s="15">
        <v>20</v>
      </c>
    </row>
    <row r="1530" spans="1:10" ht="118.25" customHeight="1" x14ac:dyDescent="0.2">
      <c r="A1530" s="7" t="s">
        <v>751</v>
      </c>
      <c r="B1530" s="8" t="s">
        <v>894</v>
      </c>
      <c r="C1530" s="8" t="s">
        <v>1823</v>
      </c>
      <c r="D1530" s="6" t="s">
        <v>1906</v>
      </c>
      <c r="E1530" s="7" t="s">
        <v>1907</v>
      </c>
      <c r="F1530" s="7" t="s">
        <v>897</v>
      </c>
      <c r="G1530" s="8" t="s">
        <v>1911</v>
      </c>
      <c r="H1530" s="8" t="s">
        <v>1912</v>
      </c>
      <c r="I1530" s="7" t="s">
        <v>17</v>
      </c>
      <c r="J1530" s="15">
        <v>20</v>
      </c>
    </row>
    <row r="1531" spans="1:10" ht="143.5" customHeight="1" x14ac:dyDescent="0.2">
      <c r="A1531" s="7" t="s">
        <v>751</v>
      </c>
      <c r="B1531" s="8" t="s">
        <v>894</v>
      </c>
      <c r="C1531" s="8" t="s">
        <v>2862</v>
      </c>
      <c r="D1531" s="6" t="s">
        <v>2860</v>
      </c>
      <c r="E1531" s="7" t="s">
        <v>2861</v>
      </c>
      <c r="F1531" s="7" t="s">
        <v>2148</v>
      </c>
      <c r="G1531" s="8" t="s">
        <v>2152</v>
      </c>
      <c r="H1531" s="8" t="s">
        <v>2863</v>
      </c>
      <c r="I1531" s="7" t="s">
        <v>17</v>
      </c>
      <c r="J1531" s="15">
        <v>10</v>
      </c>
    </row>
    <row r="1532" spans="1:10" ht="129" customHeight="1" x14ac:dyDescent="0.2">
      <c r="A1532" s="7" t="s">
        <v>751</v>
      </c>
      <c r="B1532" s="8" t="s">
        <v>894</v>
      </c>
      <c r="C1532" s="8" t="s">
        <v>2862</v>
      </c>
      <c r="D1532" s="6" t="s">
        <v>2860</v>
      </c>
      <c r="E1532" s="7" t="s">
        <v>2861</v>
      </c>
      <c r="F1532" s="7" t="s">
        <v>2148</v>
      </c>
      <c r="G1532" s="8" t="s">
        <v>989</v>
      </c>
      <c r="H1532" s="8" t="s">
        <v>990</v>
      </c>
      <c r="I1532" s="7" t="s">
        <v>25</v>
      </c>
      <c r="J1532" s="15">
        <v>20</v>
      </c>
    </row>
    <row r="1533" spans="1:10" ht="65" x14ac:dyDescent="0.2">
      <c r="A1533" s="7" t="s">
        <v>751</v>
      </c>
      <c r="B1533" s="8" t="s">
        <v>894</v>
      </c>
      <c r="C1533" s="8" t="s">
        <v>2862</v>
      </c>
      <c r="D1533" s="6" t="s">
        <v>2860</v>
      </c>
      <c r="E1533" s="7" t="s">
        <v>2861</v>
      </c>
      <c r="F1533" s="7" t="s">
        <v>2148</v>
      </c>
      <c r="G1533" s="8" t="s">
        <v>2864</v>
      </c>
      <c r="H1533" s="8" t="s">
        <v>2865</v>
      </c>
      <c r="I1533" s="7" t="s">
        <v>17</v>
      </c>
      <c r="J1533" s="15">
        <v>5</v>
      </c>
    </row>
    <row r="1534" spans="1:10" ht="104" x14ac:dyDescent="0.2">
      <c r="A1534" s="7" t="s">
        <v>751</v>
      </c>
      <c r="B1534" s="8" t="s">
        <v>894</v>
      </c>
      <c r="C1534" s="8" t="s">
        <v>2862</v>
      </c>
      <c r="D1534" s="6" t="s">
        <v>2860</v>
      </c>
      <c r="E1534" s="7" t="s">
        <v>2861</v>
      </c>
      <c r="F1534" s="7" t="s">
        <v>2148</v>
      </c>
      <c r="G1534" s="8" t="s">
        <v>902</v>
      </c>
      <c r="H1534" s="8" t="s">
        <v>2151</v>
      </c>
      <c r="I1534" s="7" t="s">
        <v>25</v>
      </c>
      <c r="J1534" s="15">
        <v>30</v>
      </c>
    </row>
    <row r="1535" spans="1:10" ht="182" x14ac:dyDescent="0.2">
      <c r="A1535" s="7" t="s">
        <v>751</v>
      </c>
      <c r="B1535" s="8" t="s">
        <v>894</v>
      </c>
      <c r="C1535" s="8" t="s">
        <v>2862</v>
      </c>
      <c r="D1535" s="6" t="s">
        <v>2860</v>
      </c>
      <c r="E1535" s="7" t="s">
        <v>2861</v>
      </c>
      <c r="F1535" s="7" t="s">
        <v>2148</v>
      </c>
      <c r="G1535" s="8" t="s">
        <v>985</v>
      </c>
      <c r="H1535" s="8" t="s">
        <v>2866</v>
      </c>
      <c r="I1535" s="7" t="s">
        <v>25</v>
      </c>
      <c r="J1535" s="15">
        <v>20</v>
      </c>
    </row>
    <row r="1536" spans="1:10" ht="78" x14ac:dyDescent="0.2">
      <c r="A1536" s="7" t="s">
        <v>751</v>
      </c>
      <c r="B1536" s="8" t="s">
        <v>894</v>
      </c>
      <c r="C1536" s="8" t="s">
        <v>2862</v>
      </c>
      <c r="D1536" s="6" t="s">
        <v>2860</v>
      </c>
      <c r="E1536" s="7" t="s">
        <v>2861</v>
      </c>
      <c r="F1536" s="7" t="s">
        <v>2148</v>
      </c>
      <c r="G1536" s="8" t="s">
        <v>2867</v>
      </c>
      <c r="H1536" s="8" t="s">
        <v>2868</v>
      </c>
      <c r="I1536" s="7" t="s">
        <v>17</v>
      </c>
      <c r="J1536" s="15">
        <v>15</v>
      </c>
    </row>
    <row r="1537" spans="1:10" ht="52" x14ac:dyDescent="0.2">
      <c r="A1537" s="7" t="s">
        <v>751</v>
      </c>
      <c r="B1537" s="8" t="s">
        <v>894</v>
      </c>
      <c r="C1537" s="8" t="s">
        <v>2359</v>
      </c>
      <c r="D1537" s="6" t="s">
        <v>2357</v>
      </c>
      <c r="E1537" s="7" t="s">
        <v>2358</v>
      </c>
      <c r="F1537" s="7" t="s">
        <v>897</v>
      </c>
      <c r="G1537" s="8" t="s">
        <v>2360</v>
      </c>
      <c r="H1537" s="8" t="s">
        <v>2361</v>
      </c>
      <c r="I1537" s="7" t="s">
        <v>17</v>
      </c>
      <c r="J1537" s="15">
        <v>20</v>
      </c>
    </row>
    <row r="1538" spans="1:10" ht="52" x14ac:dyDescent="0.2">
      <c r="A1538" s="7" t="s">
        <v>751</v>
      </c>
      <c r="B1538" s="8" t="s">
        <v>894</v>
      </c>
      <c r="C1538" s="8" t="s">
        <v>2359</v>
      </c>
      <c r="D1538" s="6" t="s">
        <v>2357</v>
      </c>
      <c r="E1538" s="7" t="s">
        <v>2358</v>
      </c>
      <c r="F1538" s="7" t="s">
        <v>897</v>
      </c>
      <c r="G1538" s="8" t="s">
        <v>2362</v>
      </c>
      <c r="H1538" s="8" t="s">
        <v>2363</v>
      </c>
      <c r="I1538" s="7" t="s">
        <v>17</v>
      </c>
      <c r="J1538" s="15">
        <v>20</v>
      </c>
    </row>
    <row r="1539" spans="1:10" ht="65" x14ac:dyDescent="0.2">
      <c r="A1539" s="7" t="s">
        <v>751</v>
      </c>
      <c r="B1539" s="8" t="s">
        <v>894</v>
      </c>
      <c r="C1539" s="8" t="s">
        <v>2359</v>
      </c>
      <c r="D1539" s="6" t="s">
        <v>2357</v>
      </c>
      <c r="E1539" s="7" t="s">
        <v>2358</v>
      </c>
      <c r="F1539" s="7" t="s">
        <v>897</v>
      </c>
      <c r="G1539" s="8" t="s">
        <v>2364</v>
      </c>
      <c r="H1539" s="8" t="s">
        <v>907</v>
      </c>
      <c r="I1539" s="7" t="s">
        <v>25</v>
      </c>
      <c r="J1539" s="15">
        <v>20</v>
      </c>
    </row>
    <row r="1540" spans="1:10" ht="104" x14ac:dyDescent="0.2">
      <c r="A1540" s="7" t="s">
        <v>751</v>
      </c>
      <c r="B1540" s="8" t="s">
        <v>894</v>
      </c>
      <c r="C1540" s="8" t="s">
        <v>2359</v>
      </c>
      <c r="D1540" s="6" t="s">
        <v>2357</v>
      </c>
      <c r="E1540" s="7" t="s">
        <v>2358</v>
      </c>
      <c r="F1540" s="7" t="s">
        <v>897</v>
      </c>
      <c r="G1540" s="8" t="s">
        <v>902</v>
      </c>
      <c r="H1540" s="8" t="s">
        <v>2365</v>
      </c>
      <c r="I1540" s="7" t="s">
        <v>25</v>
      </c>
      <c r="J1540" s="15">
        <v>20</v>
      </c>
    </row>
    <row r="1541" spans="1:10" ht="195" x14ac:dyDescent="0.2">
      <c r="A1541" s="7" t="s">
        <v>751</v>
      </c>
      <c r="B1541" s="8" t="s">
        <v>894</v>
      </c>
      <c r="C1541" s="8" t="s">
        <v>2359</v>
      </c>
      <c r="D1541" s="6" t="s">
        <v>2357</v>
      </c>
      <c r="E1541" s="7" t="s">
        <v>2358</v>
      </c>
      <c r="F1541" s="7" t="s">
        <v>897</v>
      </c>
      <c r="G1541" s="8" t="s">
        <v>983</v>
      </c>
      <c r="H1541" s="8" t="s">
        <v>2366</v>
      </c>
      <c r="I1541" s="7" t="s">
        <v>25</v>
      </c>
      <c r="J1541" s="15">
        <v>20</v>
      </c>
    </row>
    <row r="1542" spans="1:10" ht="195" x14ac:dyDescent="0.2">
      <c r="A1542" s="7" t="s">
        <v>751</v>
      </c>
      <c r="B1542" s="8" t="s">
        <v>894</v>
      </c>
      <c r="C1542" s="8" t="s">
        <v>977</v>
      </c>
      <c r="D1542" s="6" t="s">
        <v>896</v>
      </c>
      <c r="E1542" s="7" t="s">
        <v>897</v>
      </c>
      <c r="F1542" s="7" t="s">
        <v>979</v>
      </c>
      <c r="G1542" s="8" t="s">
        <v>980</v>
      </c>
      <c r="H1542" s="8" t="s">
        <v>981</v>
      </c>
      <c r="I1542" s="7" t="s">
        <v>25</v>
      </c>
      <c r="J1542" s="15">
        <v>15</v>
      </c>
    </row>
    <row r="1543" spans="1:10" ht="104" x14ac:dyDescent="0.2">
      <c r="A1543" s="7" t="s">
        <v>751</v>
      </c>
      <c r="B1543" s="8" t="s">
        <v>894</v>
      </c>
      <c r="C1543" s="8" t="s">
        <v>977</v>
      </c>
      <c r="D1543" s="6" t="s">
        <v>896</v>
      </c>
      <c r="E1543" s="7" t="s">
        <v>897</v>
      </c>
      <c r="F1543" s="7" t="s">
        <v>979</v>
      </c>
      <c r="G1543" s="8" t="s">
        <v>902</v>
      </c>
      <c r="H1543" s="8" t="s">
        <v>982</v>
      </c>
      <c r="I1543" s="7" t="s">
        <v>25</v>
      </c>
      <c r="J1543" s="15">
        <v>40</v>
      </c>
    </row>
    <row r="1544" spans="1:10" ht="195" x14ac:dyDescent="0.2">
      <c r="A1544" s="7" t="s">
        <v>751</v>
      </c>
      <c r="B1544" s="8" t="s">
        <v>894</v>
      </c>
      <c r="C1544" s="8" t="s">
        <v>977</v>
      </c>
      <c r="D1544" s="6" t="s">
        <v>896</v>
      </c>
      <c r="E1544" s="7" t="s">
        <v>897</v>
      </c>
      <c r="F1544" s="7" t="s">
        <v>979</v>
      </c>
      <c r="G1544" s="8" t="s">
        <v>983</v>
      </c>
      <c r="H1544" s="8" t="s">
        <v>984</v>
      </c>
      <c r="I1544" s="7" t="s">
        <v>25</v>
      </c>
      <c r="J1544" s="15">
        <v>15</v>
      </c>
    </row>
    <row r="1545" spans="1:10" ht="169" x14ac:dyDescent="0.2">
      <c r="A1545" s="7" t="s">
        <v>751</v>
      </c>
      <c r="B1545" s="8" t="s">
        <v>894</v>
      </c>
      <c r="C1545" s="8" t="s">
        <v>977</v>
      </c>
      <c r="D1545" s="6" t="s">
        <v>896</v>
      </c>
      <c r="E1545" s="7" t="s">
        <v>897</v>
      </c>
      <c r="F1545" s="7" t="s">
        <v>979</v>
      </c>
      <c r="G1545" s="8" t="s">
        <v>985</v>
      </c>
      <c r="H1545" s="8" t="s">
        <v>986</v>
      </c>
      <c r="I1545" s="7" t="s">
        <v>25</v>
      </c>
      <c r="J1545" s="15">
        <v>10</v>
      </c>
    </row>
    <row r="1546" spans="1:10" ht="65" x14ac:dyDescent="0.2">
      <c r="A1546" s="7" t="s">
        <v>751</v>
      </c>
      <c r="B1546" s="8" t="s">
        <v>894</v>
      </c>
      <c r="C1546" s="8" t="s">
        <v>977</v>
      </c>
      <c r="D1546" s="6" t="s">
        <v>896</v>
      </c>
      <c r="E1546" s="7" t="s">
        <v>897</v>
      </c>
      <c r="F1546" s="7" t="s">
        <v>979</v>
      </c>
      <c r="G1546" s="8" t="s">
        <v>987</v>
      </c>
      <c r="H1546" s="8" t="s">
        <v>988</v>
      </c>
      <c r="I1546" s="7" t="s">
        <v>17</v>
      </c>
      <c r="J1546" s="15">
        <v>10</v>
      </c>
    </row>
    <row r="1547" spans="1:10" ht="169" x14ac:dyDescent="0.2">
      <c r="A1547" s="7" t="s">
        <v>751</v>
      </c>
      <c r="B1547" s="8" t="s">
        <v>894</v>
      </c>
      <c r="C1547" s="8" t="s">
        <v>977</v>
      </c>
      <c r="D1547" s="6" t="s">
        <v>896</v>
      </c>
      <c r="E1547" s="7" t="s">
        <v>897</v>
      </c>
      <c r="F1547" s="7" t="s">
        <v>979</v>
      </c>
      <c r="G1547" s="8" t="s">
        <v>989</v>
      </c>
      <c r="H1547" s="8" t="s">
        <v>990</v>
      </c>
      <c r="I1547" s="7" t="s">
        <v>25</v>
      </c>
      <c r="J1547" s="15">
        <v>10</v>
      </c>
    </row>
    <row r="1548" spans="1:10" ht="182" x14ac:dyDescent="0.2">
      <c r="A1548" s="7" t="s">
        <v>751</v>
      </c>
      <c r="B1548" s="8" t="s">
        <v>894</v>
      </c>
      <c r="C1548" s="8" t="s">
        <v>2149</v>
      </c>
      <c r="D1548" s="6" t="s">
        <v>2147</v>
      </c>
      <c r="E1548" s="7" t="s">
        <v>2148</v>
      </c>
      <c r="F1548" s="7" t="s">
        <v>979</v>
      </c>
      <c r="G1548" s="8" t="s">
        <v>985</v>
      </c>
      <c r="H1548" s="8" t="s">
        <v>2150</v>
      </c>
      <c r="I1548" s="7" t="s">
        <v>25</v>
      </c>
      <c r="J1548" s="15">
        <v>15</v>
      </c>
    </row>
    <row r="1549" spans="1:10" ht="104" x14ac:dyDescent="0.2">
      <c r="A1549" s="7" t="s">
        <v>751</v>
      </c>
      <c r="B1549" s="8" t="s">
        <v>894</v>
      </c>
      <c r="C1549" s="8" t="s">
        <v>2149</v>
      </c>
      <c r="D1549" s="6" t="s">
        <v>2147</v>
      </c>
      <c r="E1549" s="7" t="s">
        <v>2148</v>
      </c>
      <c r="F1549" s="7" t="s">
        <v>979</v>
      </c>
      <c r="G1549" s="8" t="s">
        <v>902</v>
      </c>
      <c r="H1549" s="8" t="s">
        <v>2151</v>
      </c>
      <c r="I1549" s="7" t="s">
        <v>25</v>
      </c>
      <c r="J1549" s="15">
        <v>40</v>
      </c>
    </row>
    <row r="1550" spans="1:10" ht="52" x14ac:dyDescent="0.2">
      <c r="A1550" s="7" t="s">
        <v>751</v>
      </c>
      <c r="B1550" s="8" t="s">
        <v>894</v>
      </c>
      <c r="C1550" s="8" t="s">
        <v>2149</v>
      </c>
      <c r="D1550" s="6" t="s">
        <v>2147</v>
      </c>
      <c r="E1550" s="7" t="s">
        <v>2148</v>
      </c>
      <c r="F1550" s="7" t="s">
        <v>979</v>
      </c>
      <c r="G1550" s="8" t="s">
        <v>2152</v>
      </c>
      <c r="H1550" s="8" t="s">
        <v>2153</v>
      </c>
      <c r="I1550" s="7" t="s">
        <v>17</v>
      </c>
      <c r="J1550" s="15">
        <v>5</v>
      </c>
    </row>
    <row r="1551" spans="1:10" ht="169" x14ac:dyDescent="0.2">
      <c r="A1551" s="7" t="s">
        <v>751</v>
      </c>
      <c r="B1551" s="8" t="s">
        <v>894</v>
      </c>
      <c r="C1551" s="8" t="s">
        <v>2149</v>
      </c>
      <c r="D1551" s="6" t="s">
        <v>2147</v>
      </c>
      <c r="E1551" s="7" t="s">
        <v>2148</v>
      </c>
      <c r="F1551" s="7" t="s">
        <v>979</v>
      </c>
      <c r="G1551" s="8" t="s">
        <v>989</v>
      </c>
      <c r="H1551" s="8" t="s">
        <v>990</v>
      </c>
      <c r="I1551" s="7" t="s">
        <v>25</v>
      </c>
      <c r="J1551" s="15">
        <v>10</v>
      </c>
    </row>
    <row r="1552" spans="1:10" ht="195" x14ac:dyDescent="0.2">
      <c r="A1552" s="7" t="s">
        <v>751</v>
      </c>
      <c r="B1552" s="8" t="s">
        <v>894</v>
      </c>
      <c r="C1552" s="8" t="s">
        <v>2149</v>
      </c>
      <c r="D1552" s="6" t="s">
        <v>2147</v>
      </c>
      <c r="E1552" s="7" t="s">
        <v>2148</v>
      </c>
      <c r="F1552" s="7" t="s">
        <v>979</v>
      </c>
      <c r="G1552" s="8" t="s">
        <v>980</v>
      </c>
      <c r="H1552" s="8" t="s">
        <v>2154</v>
      </c>
      <c r="I1552" s="7" t="s">
        <v>25</v>
      </c>
      <c r="J1552" s="15">
        <v>15</v>
      </c>
    </row>
    <row r="1553" spans="1:10" ht="208" x14ac:dyDescent="0.2">
      <c r="A1553" s="7" t="s">
        <v>751</v>
      </c>
      <c r="B1553" s="8" t="s">
        <v>894</v>
      </c>
      <c r="C1553" s="8" t="s">
        <v>2149</v>
      </c>
      <c r="D1553" s="6" t="s">
        <v>2147</v>
      </c>
      <c r="E1553" s="7" t="s">
        <v>2148</v>
      </c>
      <c r="F1553" s="7" t="s">
        <v>979</v>
      </c>
      <c r="G1553" s="8" t="s">
        <v>904</v>
      </c>
      <c r="H1553" s="8" t="s">
        <v>905</v>
      </c>
      <c r="I1553" s="7" t="s">
        <v>25</v>
      </c>
      <c r="J1553" s="15">
        <v>5</v>
      </c>
    </row>
    <row r="1554" spans="1:10" ht="195" x14ac:dyDescent="0.2">
      <c r="A1554" s="7" t="s">
        <v>751</v>
      </c>
      <c r="B1554" s="8" t="s">
        <v>894</v>
      </c>
      <c r="C1554" s="8" t="s">
        <v>2149</v>
      </c>
      <c r="D1554" s="6" t="s">
        <v>2147</v>
      </c>
      <c r="E1554" s="7" t="s">
        <v>2148</v>
      </c>
      <c r="F1554" s="7" t="s">
        <v>979</v>
      </c>
      <c r="G1554" s="8" t="s">
        <v>983</v>
      </c>
      <c r="H1554" s="8" t="s">
        <v>2155</v>
      </c>
      <c r="I1554" s="7" t="s">
        <v>25</v>
      </c>
      <c r="J1554" s="15">
        <v>10</v>
      </c>
    </row>
    <row r="1555" spans="1:10" ht="284" x14ac:dyDescent="0.2">
      <c r="A1555" s="7" t="s">
        <v>751</v>
      </c>
      <c r="B1555" s="8" t="s">
        <v>292</v>
      </c>
      <c r="C1555" s="8" t="s">
        <v>293</v>
      </c>
      <c r="D1555" s="6" t="s">
        <v>290</v>
      </c>
      <c r="E1555" s="7" t="s">
        <v>291</v>
      </c>
      <c r="F1555" s="7" t="s">
        <v>295</v>
      </c>
      <c r="G1555" s="8" t="s">
        <v>296</v>
      </c>
      <c r="H1555" s="8" t="s">
        <v>3009</v>
      </c>
      <c r="I1555" s="7" t="s">
        <v>25</v>
      </c>
      <c r="J1555" s="13">
        <v>25</v>
      </c>
    </row>
    <row r="1556" spans="1:10" ht="247" x14ac:dyDescent="0.2">
      <c r="A1556" s="7" t="s">
        <v>751</v>
      </c>
      <c r="B1556" s="8" t="s">
        <v>292</v>
      </c>
      <c r="C1556" s="8" t="s">
        <v>293</v>
      </c>
      <c r="D1556" s="6" t="s">
        <v>290</v>
      </c>
      <c r="E1556" s="7" t="s">
        <v>291</v>
      </c>
      <c r="F1556" s="7" t="s">
        <v>295</v>
      </c>
      <c r="G1556" s="8" t="s">
        <v>297</v>
      </c>
      <c r="H1556" s="8" t="s">
        <v>3010</v>
      </c>
      <c r="I1556" s="7" t="s">
        <v>25</v>
      </c>
      <c r="J1556" s="13">
        <v>25</v>
      </c>
    </row>
    <row r="1557" spans="1:10" ht="156" x14ac:dyDescent="0.2">
      <c r="A1557" s="7" t="s">
        <v>751</v>
      </c>
      <c r="B1557" s="8" t="s">
        <v>292</v>
      </c>
      <c r="C1557" s="8" t="s">
        <v>293</v>
      </c>
      <c r="D1557" s="6" t="s">
        <v>290</v>
      </c>
      <c r="E1557" s="7" t="s">
        <v>291</v>
      </c>
      <c r="F1557" s="7" t="s">
        <v>295</v>
      </c>
      <c r="G1557" s="8" t="s">
        <v>298</v>
      </c>
      <c r="H1557" s="8" t="s">
        <v>3011</v>
      </c>
      <c r="I1557" s="7" t="s">
        <v>25</v>
      </c>
      <c r="J1557" s="13">
        <v>10</v>
      </c>
    </row>
    <row r="1558" spans="1:10" ht="247" x14ac:dyDescent="0.2">
      <c r="A1558" s="7" t="s">
        <v>751</v>
      </c>
      <c r="B1558" s="8" t="s">
        <v>292</v>
      </c>
      <c r="C1558" s="8" t="s">
        <v>293</v>
      </c>
      <c r="D1558" s="6" t="s">
        <v>290</v>
      </c>
      <c r="E1558" s="7" t="s">
        <v>291</v>
      </c>
      <c r="F1558" s="7" t="s">
        <v>295</v>
      </c>
      <c r="G1558" s="8" t="s">
        <v>299</v>
      </c>
      <c r="H1558" s="8" t="s">
        <v>3012</v>
      </c>
      <c r="I1558" s="7" t="s">
        <v>25</v>
      </c>
      <c r="J1558" s="13">
        <v>10</v>
      </c>
    </row>
    <row r="1559" spans="1:10" ht="221" x14ac:dyDescent="0.2">
      <c r="A1559" s="7" t="s">
        <v>751</v>
      </c>
      <c r="B1559" s="8" t="s">
        <v>292</v>
      </c>
      <c r="C1559" s="8" t="s">
        <v>293</v>
      </c>
      <c r="D1559" s="6" t="s">
        <v>290</v>
      </c>
      <c r="E1559" s="7" t="s">
        <v>291</v>
      </c>
      <c r="F1559" s="7" t="s">
        <v>295</v>
      </c>
      <c r="G1559" s="8" t="s">
        <v>300</v>
      </c>
      <c r="H1559" s="8" t="s">
        <v>3013</v>
      </c>
      <c r="I1559" s="7" t="s">
        <v>25</v>
      </c>
      <c r="J1559" s="13">
        <v>10</v>
      </c>
    </row>
    <row r="1560" spans="1:10" ht="208" x14ac:dyDescent="0.2">
      <c r="A1560" s="7" t="s">
        <v>751</v>
      </c>
      <c r="B1560" s="8" t="s">
        <v>292</v>
      </c>
      <c r="C1560" s="8" t="s">
        <v>293</v>
      </c>
      <c r="D1560" s="6" t="s">
        <v>290</v>
      </c>
      <c r="E1560" s="7" t="s">
        <v>291</v>
      </c>
      <c r="F1560" s="7" t="s">
        <v>295</v>
      </c>
      <c r="G1560" s="8" t="s">
        <v>301</v>
      </c>
      <c r="H1560" s="8" t="s">
        <v>3014</v>
      </c>
      <c r="I1560" s="7" t="s">
        <v>25</v>
      </c>
      <c r="J1560" s="13">
        <v>20</v>
      </c>
    </row>
    <row r="1561" spans="1:10" ht="52" x14ac:dyDescent="0.2">
      <c r="A1561" s="7" t="s">
        <v>751</v>
      </c>
      <c r="B1561" s="8" t="s">
        <v>292</v>
      </c>
      <c r="C1561" s="8" t="s">
        <v>1931</v>
      </c>
      <c r="D1561" s="6" t="s">
        <v>1929</v>
      </c>
      <c r="E1561" s="7" t="s">
        <v>1930</v>
      </c>
      <c r="F1561" s="7" t="s">
        <v>1933</v>
      </c>
      <c r="G1561" s="8" t="s">
        <v>1934</v>
      </c>
      <c r="H1561" s="8" t="s">
        <v>1935</v>
      </c>
      <c r="I1561" s="7" t="s">
        <v>17</v>
      </c>
      <c r="J1561" s="15">
        <v>20</v>
      </c>
    </row>
    <row r="1562" spans="1:10" ht="284" x14ac:dyDescent="0.2">
      <c r="A1562" s="7" t="s">
        <v>751</v>
      </c>
      <c r="B1562" s="8" t="s">
        <v>292</v>
      </c>
      <c r="C1562" s="8" t="s">
        <v>1931</v>
      </c>
      <c r="D1562" s="6" t="s">
        <v>1929</v>
      </c>
      <c r="E1562" s="7" t="s">
        <v>1930</v>
      </c>
      <c r="F1562" s="7" t="s">
        <v>1933</v>
      </c>
      <c r="G1562" s="8" t="s">
        <v>1936</v>
      </c>
      <c r="H1562" s="8" t="s">
        <v>1937</v>
      </c>
      <c r="I1562" s="7" t="s">
        <v>25</v>
      </c>
      <c r="J1562" s="15">
        <v>15</v>
      </c>
    </row>
    <row r="1563" spans="1:10" ht="156" x14ac:dyDescent="0.2">
      <c r="A1563" s="7" t="s">
        <v>751</v>
      </c>
      <c r="B1563" s="8" t="s">
        <v>292</v>
      </c>
      <c r="C1563" s="8" t="s">
        <v>1931</v>
      </c>
      <c r="D1563" s="6" t="s">
        <v>1929</v>
      </c>
      <c r="E1563" s="7" t="s">
        <v>1930</v>
      </c>
      <c r="F1563" s="7" t="s">
        <v>1933</v>
      </c>
      <c r="G1563" s="8" t="s">
        <v>1938</v>
      </c>
      <c r="H1563" s="8" t="s">
        <v>1939</v>
      </c>
      <c r="I1563" s="7" t="s">
        <v>25</v>
      </c>
      <c r="J1563" s="15">
        <v>10</v>
      </c>
    </row>
    <row r="1564" spans="1:10" ht="65" x14ac:dyDescent="0.2">
      <c r="A1564" s="7" t="s">
        <v>751</v>
      </c>
      <c r="B1564" s="8" t="s">
        <v>292</v>
      </c>
      <c r="C1564" s="8" t="s">
        <v>1931</v>
      </c>
      <c r="D1564" s="6" t="s">
        <v>1929</v>
      </c>
      <c r="E1564" s="7" t="s">
        <v>1930</v>
      </c>
      <c r="F1564" s="7" t="s">
        <v>1933</v>
      </c>
      <c r="G1564" s="8" t="s">
        <v>1940</v>
      </c>
      <c r="H1564" s="8" t="s">
        <v>1941</v>
      </c>
      <c r="I1564" s="7" t="s">
        <v>17</v>
      </c>
      <c r="J1564" s="15">
        <v>20</v>
      </c>
    </row>
    <row r="1565" spans="1:10" ht="117" x14ac:dyDescent="0.2">
      <c r="A1565" s="7" t="s">
        <v>751</v>
      </c>
      <c r="B1565" s="8" t="s">
        <v>292</v>
      </c>
      <c r="C1565" s="8" t="s">
        <v>1931</v>
      </c>
      <c r="D1565" s="6" t="s">
        <v>1929</v>
      </c>
      <c r="E1565" s="7" t="s">
        <v>1930</v>
      </c>
      <c r="F1565" s="7" t="s">
        <v>1933</v>
      </c>
      <c r="G1565" s="8" t="s">
        <v>1942</v>
      </c>
      <c r="H1565" s="8" t="s">
        <v>1943</v>
      </c>
      <c r="I1565" s="7" t="s">
        <v>17</v>
      </c>
      <c r="J1565" s="15">
        <v>25</v>
      </c>
    </row>
    <row r="1566" spans="1:10" ht="208" x14ac:dyDescent="0.2">
      <c r="A1566" s="7" t="s">
        <v>751</v>
      </c>
      <c r="B1566" s="8" t="s">
        <v>292</v>
      </c>
      <c r="C1566" s="8" t="s">
        <v>1931</v>
      </c>
      <c r="D1566" s="6" t="s">
        <v>1929</v>
      </c>
      <c r="E1566" s="7" t="s">
        <v>1930</v>
      </c>
      <c r="F1566" s="7" t="s">
        <v>1933</v>
      </c>
      <c r="G1566" s="8" t="s">
        <v>301</v>
      </c>
      <c r="H1566" s="8" t="s">
        <v>1944</v>
      </c>
      <c r="I1566" s="7" t="s">
        <v>25</v>
      </c>
      <c r="J1566" s="15">
        <v>10</v>
      </c>
    </row>
    <row r="1567" spans="1:10" ht="65" x14ac:dyDescent="0.2">
      <c r="A1567" s="7" t="s">
        <v>751</v>
      </c>
      <c r="B1567" s="8" t="s">
        <v>292</v>
      </c>
      <c r="C1567" s="8" t="s">
        <v>2329</v>
      </c>
      <c r="D1567" s="6" t="s">
        <v>2327</v>
      </c>
      <c r="E1567" s="7" t="s">
        <v>2328</v>
      </c>
      <c r="F1567" s="7" t="s">
        <v>897</v>
      </c>
      <c r="G1567" s="8" t="s">
        <v>2330</v>
      </c>
      <c r="H1567" s="8" t="s">
        <v>2331</v>
      </c>
      <c r="I1567" s="7" t="s">
        <v>17</v>
      </c>
      <c r="J1567" s="15">
        <v>20</v>
      </c>
    </row>
    <row r="1568" spans="1:10" ht="195" x14ac:dyDescent="0.2">
      <c r="A1568" s="7" t="s">
        <v>751</v>
      </c>
      <c r="B1568" s="8" t="s">
        <v>292</v>
      </c>
      <c r="C1568" s="8" t="s">
        <v>2329</v>
      </c>
      <c r="D1568" s="6" t="s">
        <v>2327</v>
      </c>
      <c r="E1568" s="7" t="s">
        <v>2328</v>
      </c>
      <c r="F1568" s="7" t="s">
        <v>897</v>
      </c>
      <c r="G1568" s="8" t="s">
        <v>980</v>
      </c>
      <c r="H1568" s="8" t="s">
        <v>2332</v>
      </c>
      <c r="I1568" s="7" t="s">
        <v>25</v>
      </c>
      <c r="J1568" s="15">
        <v>20</v>
      </c>
    </row>
    <row r="1569" spans="1:10" ht="104" x14ac:dyDescent="0.2">
      <c r="A1569" s="7" t="s">
        <v>751</v>
      </c>
      <c r="B1569" s="8" t="s">
        <v>292</v>
      </c>
      <c r="C1569" s="8" t="s">
        <v>2329</v>
      </c>
      <c r="D1569" s="6" t="s">
        <v>2327</v>
      </c>
      <c r="E1569" s="7" t="s">
        <v>2328</v>
      </c>
      <c r="F1569" s="7" t="s">
        <v>897</v>
      </c>
      <c r="G1569" s="8" t="s">
        <v>2333</v>
      </c>
      <c r="H1569" s="8" t="s">
        <v>2334</v>
      </c>
      <c r="I1569" s="7" t="s">
        <v>17</v>
      </c>
      <c r="J1569" s="15">
        <v>20</v>
      </c>
    </row>
    <row r="1570" spans="1:10" ht="91" x14ac:dyDescent="0.2">
      <c r="A1570" s="7" t="s">
        <v>751</v>
      </c>
      <c r="B1570" s="8" t="s">
        <v>292</v>
      </c>
      <c r="C1570" s="8" t="s">
        <v>2329</v>
      </c>
      <c r="D1570" s="6" t="s">
        <v>2327</v>
      </c>
      <c r="E1570" s="7" t="s">
        <v>2328</v>
      </c>
      <c r="F1570" s="7" t="s">
        <v>897</v>
      </c>
      <c r="G1570" s="8" t="s">
        <v>902</v>
      </c>
      <c r="H1570" s="8" t="s">
        <v>2335</v>
      </c>
      <c r="I1570" s="7" t="s">
        <v>25</v>
      </c>
      <c r="J1570" s="15">
        <v>20</v>
      </c>
    </row>
    <row r="1571" spans="1:10" ht="182" x14ac:dyDescent="0.2">
      <c r="A1571" s="7" t="s">
        <v>751</v>
      </c>
      <c r="B1571" s="8" t="s">
        <v>292</v>
      </c>
      <c r="C1571" s="8" t="s">
        <v>2329</v>
      </c>
      <c r="D1571" s="6" t="s">
        <v>2327</v>
      </c>
      <c r="E1571" s="7" t="s">
        <v>2328</v>
      </c>
      <c r="F1571" s="7" t="s">
        <v>897</v>
      </c>
      <c r="G1571" s="8" t="s">
        <v>989</v>
      </c>
      <c r="H1571" s="8" t="s">
        <v>2336</v>
      </c>
      <c r="I1571" s="7" t="s">
        <v>25</v>
      </c>
      <c r="J1571" s="15">
        <v>20</v>
      </c>
    </row>
    <row r="1572" spans="1:10" ht="247" x14ac:dyDescent="0.2">
      <c r="A1572" s="7" t="s">
        <v>751</v>
      </c>
      <c r="B1572" s="8" t="s">
        <v>292</v>
      </c>
      <c r="C1572" s="8" t="s">
        <v>760</v>
      </c>
      <c r="D1572" s="6" t="s">
        <v>758</v>
      </c>
      <c r="E1572" s="7" t="s">
        <v>759</v>
      </c>
      <c r="F1572" s="7" t="s">
        <v>762</v>
      </c>
      <c r="G1572" s="8" t="s">
        <v>763</v>
      </c>
      <c r="H1572" s="8" t="s">
        <v>764</v>
      </c>
      <c r="I1572" s="7" t="s">
        <v>25</v>
      </c>
      <c r="J1572" s="15">
        <v>10</v>
      </c>
    </row>
    <row r="1573" spans="1:10" ht="320" x14ac:dyDescent="0.2">
      <c r="A1573" s="7" t="s">
        <v>751</v>
      </c>
      <c r="B1573" s="8" t="s">
        <v>292</v>
      </c>
      <c r="C1573" s="8" t="s">
        <v>760</v>
      </c>
      <c r="D1573" s="6" t="s">
        <v>758</v>
      </c>
      <c r="E1573" s="7" t="s">
        <v>759</v>
      </c>
      <c r="F1573" s="7" t="s">
        <v>762</v>
      </c>
      <c r="G1573" s="8" t="s">
        <v>299</v>
      </c>
      <c r="H1573" s="8" t="s">
        <v>765</v>
      </c>
      <c r="I1573" s="7" t="s">
        <v>25</v>
      </c>
      <c r="J1573" s="15">
        <v>20</v>
      </c>
    </row>
    <row r="1574" spans="1:10" ht="169" x14ac:dyDescent="0.2">
      <c r="A1574" s="7" t="s">
        <v>751</v>
      </c>
      <c r="B1574" s="8" t="s">
        <v>292</v>
      </c>
      <c r="C1574" s="8" t="s">
        <v>760</v>
      </c>
      <c r="D1574" s="6" t="s">
        <v>758</v>
      </c>
      <c r="E1574" s="7" t="s">
        <v>759</v>
      </c>
      <c r="F1574" s="7" t="s">
        <v>762</v>
      </c>
      <c r="G1574" s="8" t="s">
        <v>766</v>
      </c>
      <c r="H1574" s="8" t="s">
        <v>767</v>
      </c>
      <c r="I1574" s="7" t="s">
        <v>17</v>
      </c>
      <c r="J1574" s="15">
        <v>15</v>
      </c>
    </row>
    <row r="1575" spans="1:10" ht="284" x14ac:dyDescent="0.2">
      <c r="A1575" s="7" t="s">
        <v>751</v>
      </c>
      <c r="B1575" s="8" t="s">
        <v>292</v>
      </c>
      <c r="C1575" s="8" t="s">
        <v>760</v>
      </c>
      <c r="D1575" s="6" t="s">
        <v>758</v>
      </c>
      <c r="E1575" s="7" t="s">
        <v>759</v>
      </c>
      <c r="F1575" s="7" t="s">
        <v>762</v>
      </c>
      <c r="G1575" s="8" t="s">
        <v>768</v>
      </c>
      <c r="H1575" s="8" t="s">
        <v>769</v>
      </c>
      <c r="I1575" s="7" t="s">
        <v>25</v>
      </c>
      <c r="J1575" s="15">
        <v>20</v>
      </c>
    </row>
    <row r="1576" spans="1:10" ht="284" x14ac:dyDescent="0.2">
      <c r="A1576" s="7" t="s">
        <v>751</v>
      </c>
      <c r="B1576" s="8" t="s">
        <v>292</v>
      </c>
      <c r="C1576" s="8" t="s">
        <v>760</v>
      </c>
      <c r="D1576" s="6" t="s">
        <v>758</v>
      </c>
      <c r="E1576" s="7" t="s">
        <v>759</v>
      </c>
      <c r="F1576" s="7" t="s">
        <v>762</v>
      </c>
      <c r="G1576" s="8" t="s">
        <v>770</v>
      </c>
      <c r="H1576" s="8" t="s">
        <v>771</v>
      </c>
      <c r="I1576" s="7" t="s">
        <v>25</v>
      </c>
      <c r="J1576" s="15">
        <v>10</v>
      </c>
    </row>
    <row r="1577" spans="1:10" ht="221" x14ac:dyDescent="0.2">
      <c r="A1577" s="7" t="s">
        <v>751</v>
      </c>
      <c r="B1577" s="8" t="s">
        <v>292</v>
      </c>
      <c r="C1577" s="8" t="s">
        <v>760</v>
      </c>
      <c r="D1577" s="6" t="s">
        <v>758</v>
      </c>
      <c r="E1577" s="7" t="s">
        <v>759</v>
      </c>
      <c r="F1577" s="7" t="s">
        <v>762</v>
      </c>
      <c r="G1577" s="8" t="s">
        <v>772</v>
      </c>
      <c r="H1577" s="8" t="s">
        <v>773</v>
      </c>
      <c r="I1577" s="7" t="s">
        <v>17</v>
      </c>
      <c r="J1577" s="15">
        <v>15</v>
      </c>
    </row>
    <row r="1578" spans="1:10" ht="208" x14ac:dyDescent="0.2">
      <c r="A1578" s="7" t="s">
        <v>751</v>
      </c>
      <c r="B1578" s="8" t="s">
        <v>292</v>
      </c>
      <c r="C1578" s="8" t="s">
        <v>760</v>
      </c>
      <c r="D1578" s="6" t="s">
        <v>758</v>
      </c>
      <c r="E1578" s="7" t="s">
        <v>759</v>
      </c>
      <c r="F1578" s="7" t="s">
        <v>762</v>
      </c>
      <c r="G1578" s="8" t="s">
        <v>774</v>
      </c>
      <c r="H1578" s="8" t="s">
        <v>775</v>
      </c>
      <c r="I1578" s="7" t="s">
        <v>25</v>
      </c>
      <c r="J1578" s="15">
        <v>10</v>
      </c>
    </row>
    <row r="1579" spans="1:10" ht="91" x14ac:dyDescent="0.2">
      <c r="A1579" s="7" t="s">
        <v>751</v>
      </c>
      <c r="B1579" s="8" t="s">
        <v>292</v>
      </c>
      <c r="C1579" s="8" t="s">
        <v>2929</v>
      </c>
      <c r="D1579" s="6" t="s">
        <v>1653</v>
      </c>
      <c r="E1579" s="7" t="s">
        <v>1654</v>
      </c>
      <c r="F1579" s="7" t="s">
        <v>295</v>
      </c>
      <c r="G1579" s="8" t="s">
        <v>1656</v>
      </c>
      <c r="H1579" s="8" t="s">
        <v>1657</v>
      </c>
      <c r="I1579" s="7" t="s">
        <v>17</v>
      </c>
      <c r="J1579" s="15">
        <v>20</v>
      </c>
    </row>
    <row r="1580" spans="1:10" ht="130" x14ac:dyDescent="0.2">
      <c r="A1580" s="7" t="s">
        <v>751</v>
      </c>
      <c r="B1580" s="8" t="s">
        <v>292</v>
      </c>
      <c r="C1580" s="8" t="s">
        <v>2929</v>
      </c>
      <c r="D1580" s="6" t="s">
        <v>1653</v>
      </c>
      <c r="E1580" s="7" t="s">
        <v>1654</v>
      </c>
      <c r="F1580" s="7" t="s">
        <v>295</v>
      </c>
      <c r="G1580" s="8" t="s">
        <v>1658</v>
      </c>
      <c r="H1580" s="8" t="s">
        <v>1659</v>
      </c>
      <c r="I1580" s="7" t="s">
        <v>17</v>
      </c>
      <c r="J1580" s="15">
        <v>20</v>
      </c>
    </row>
    <row r="1581" spans="1:10" ht="117" x14ac:dyDescent="0.2">
      <c r="A1581" s="7" t="s">
        <v>751</v>
      </c>
      <c r="B1581" s="8" t="s">
        <v>292</v>
      </c>
      <c r="C1581" s="8" t="s">
        <v>2929</v>
      </c>
      <c r="D1581" s="6" t="s">
        <v>1653</v>
      </c>
      <c r="E1581" s="7" t="s">
        <v>1654</v>
      </c>
      <c r="F1581" s="7" t="s">
        <v>295</v>
      </c>
      <c r="G1581" s="8" t="s">
        <v>1660</v>
      </c>
      <c r="H1581" s="8" t="s">
        <v>1661</v>
      </c>
      <c r="I1581" s="7" t="s">
        <v>17</v>
      </c>
      <c r="J1581" s="15">
        <v>20</v>
      </c>
    </row>
    <row r="1582" spans="1:10" ht="104" x14ac:dyDescent="0.2">
      <c r="A1582" s="7" t="s">
        <v>751</v>
      </c>
      <c r="B1582" s="8" t="s">
        <v>292</v>
      </c>
      <c r="C1582" s="8" t="s">
        <v>2929</v>
      </c>
      <c r="D1582" s="6" t="s">
        <v>1653</v>
      </c>
      <c r="E1582" s="7" t="s">
        <v>1654</v>
      </c>
      <c r="F1582" s="7" t="s">
        <v>295</v>
      </c>
      <c r="G1582" s="8" t="s">
        <v>1662</v>
      </c>
      <c r="H1582" s="8" t="s">
        <v>1663</v>
      </c>
      <c r="I1582" s="7" t="s">
        <v>17</v>
      </c>
      <c r="J1582" s="15">
        <v>20</v>
      </c>
    </row>
    <row r="1583" spans="1:10" ht="104" x14ac:dyDescent="0.2">
      <c r="A1583" s="7" t="s">
        <v>751</v>
      </c>
      <c r="B1583" s="8" t="s">
        <v>292</v>
      </c>
      <c r="C1583" s="8" t="s">
        <v>2929</v>
      </c>
      <c r="D1583" s="6" t="s">
        <v>1653</v>
      </c>
      <c r="E1583" s="7" t="s">
        <v>1654</v>
      </c>
      <c r="F1583" s="7" t="s">
        <v>295</v>
      </c>
      <c r="G1583" s="8" t="s">
        <v>1664</v>
      </c>
      <c r="H1583" s="8" t="s">
        <v>1665</v>
      </c>
      <c r="I1583" s="7" t="s">
        <v>17</v>
      </c>
      <c r="J1583" s="15">
        <v>20</v>
      </c>
    </row>
    <row r="1584" spans="1:10" ht="65" x14ac:dyDescent="0.2">
      <c r="A1584" s="7" t="s">
        <v>751</v>
      </c>
      <c r="B1584" s="8" t="s">
        <v>292</v>
      </c>
      <c r="C1584" s="8" t="s">
        <v>2705</v>
      </c>
      <c r="D1584" s="6" t="s">
        <v>2703</v>
      </c>
      <c r="E1584" s="7" t="s">
        <v>2704</v>
      </c>
      <c r="F1584" s="7" t="s">
        <v>1933</v>
      </c>
      <c r="G1584" s="8" t="s">
        <v>1940</v>
      </c>
      <c r="H1584" s="8" t="s">
        <v>2706</v>
      </c>
      <c r="I1584" s="7" t="s">
        <v>17</v>
      </c>
      <c r="J1584" s="15">
        <v>20</v>
      </c>
    </row>
    <row r="1585" spans="1:10" ht="78" x14ac:dyDescent="0.2">
      <c r="A1585" s="7" t="s">
        <v>751</v>
      </c>
      <c r="B1585" s="8" t="s">
        <v>292</v>
      </c>
      <c r="C1585" s="8" t="s">
        <v>2705</v>
      </c>
      <c r="D1585" s="6" t="s">
        <v>2703</v>
      </c>
      <c r="E1585" s="7" t="s">
        <v>2704</v>
      </c>
      <c r="F1585" s="7" t="s">
        <v>1933</v>
      </c>
      <c r="G1585" s="8" t="s">
        <v>2707</v>
      </c>
      <c r="H1585" s="8" t="s">
        <v>2708</v>
      </c>
      <c r="I1585" s="7" t="s">
        <v>17</v>
      </c>
      <c r="J1585" s="15">
        <v>20</v>
      </c>
    </row>
    <row r="1586" spans="1:10" ht="78" x14ac:dyDescent="0.2">
      <c r="A1586" s="7" t="s">
        <v>751</v>
      </c>
      <c r="B1586" s="8" t="s">
        <v>292</v>
      </c>
      <c r="C1586" s="8" t="s">
        <v>2705</v>
      </c>
      <c r="D1586" s="6" t="s">
        <v>2703</v>
      </c>
      <c r="E1586" s="7" t="s">
        <v>2704</v>
      </c>
      <c r="F1586" s="7" t="s">
        <v>1933</v>
      </c>
      <c r="G1586" s="8" t="s">
        <v>2709</v>
      </c>
      <c r="H1586" s="8" t="s">
        <v>2710</v>
      </c>
      <c r="I1586" s="7" t="s">
        <v>17</v>
      </c>
      <c r="J1586" s="15">
        <v>25</v>
      </c>
    </row>
    <row r="1587" spans="1:10" ht="284" x14ac:dyDescent="0.2">
      <c r="A1587" s="7" t="s">
        <v>751</v>
      </c>
      <c r="B1587" s="8" t="s">
        <v>292</v>
      </c>
      <c r="C1587" s="8" t="s">
        <v>2705</v>
      </c>
      <c r="D1587" s="6" t="s">
        <v>2703</v>
      </c>
      <c r="E1587" s="7" t="s">
        <v>2704</v>
      </c>
      <c r="F1587" s="7" t="s">
        <v>1933</v>
      </c>
      <c r="G1587" s="8" t="s">
        <v>1936</v>
      </c>
      <c r="H1587" s="8" t="s">
        <v>1937</v>
      </c>
      <c r="I1587" s="7" t="s">
        <v>25</v>
      </c>
      <c r="J1587" s="15">
        <v>15</v>
      </c>
    </row>
    <row r="1588" spans="1:10" ht="156" x14ac:dyDescent="0.2">
      <c r="A1588" s="7" t="s">
        <v>751</v>
      </c>
      <c r="B1588" s="8" t="s">
        <v>292</v>
      </c>
      <c r="C1588" s="8" t="s">
        <v>2705</v>
      </c>
      <c r="D1588" s="6" t="s">
        <v>2703</v>
      </c>
      <c r="E1588" s="7" t="s">
        <v>2704</v>
      </c>
      <c r="F1588" s="7" t="s">
        <v>1933</v>
      </c>
      <c r="G1588" s="8" t="s">
        <v>1938</v>
      </c>
      <c r="H1588" s="8" t="s">
        <v>1939</v>
      </c>
      <c r="I1588" s="7" t="s">
        <v>25</v>
      </c>
      <c r="J1588" s="15">
        <v>10</v>
      </c>
    </row>
    <row r="1589" spans="1:10" ht="208" x14ac:dyDescent="0.2">
      <c r="A1589" s="7" t="s">
        <v>751</v>
      </c>
      <c r="B1589" s="8" t="s">
        <v>292</v>
      </c>
      <c r="C1589" s="8" t="s">
        <v>2705</v>
      </c>
      <c r="D1589" s="6" t="s">
        <v>2703</v>
      </c>
      <c r="E1589" s="7" t="s">
        <v>2704</v>
      </c>
      <c r="F1589" s="7" t="s">
        <v>1933</v>
      </c>
      <c r="G1589" s="8" t="s">
        <v>301</v>
      </c>
      <c r="H1589" s="8" t="s">
        <v>1944</v>
      </c>
      <c r="I1589" s="7" t="s">
        <v>25</v>
      </c>
      <c r="J1589" s="15">
        <v>10</v>
      </c>
    </row>
    <row r="1590" spans="1:10" ht="247" x14ac:dyDescent="0.2">
      <c r="A1590" s="7" t="s">
        <v>751</v>
      </c>
      <c r="B1590" s="8" t="s">
        <v>292</v>
      </c>
      <c r="C1590" s="8" t="s">
        <v>2781</v>
      </c>
      <c r="D1590" s="6" t="s">
        <v>2779</v>
      </c>
      <c r="E1590" s="7" t="s">
        <v>2780</v>
      </c>
      <c r="F1590" s="7" t="s">
        <v>762</v>
      </c>
      <c r="G1590" s="8" t="s">
        <v>300</v>
      </c>
      <c r="H1590" s="8" t="s">
        <v>2782</v>
      </c>
      <c r="I1590" s="7" t="s">
        <v>25</v>
      </c>
      <c r="J1590" s="15">
        <v>10</v>
      </c>
    </row>
    <row r="1591" spans="1:10" ht="208" x14ac:dyDescent="0.2">
      <c r="A1591" s="7" t="s">
        <v>751</v>
      </c>
      <c r="B1591" s="8" t="s">
        <v>292</v>
      </c>
      <c r="C1591" s="8" t="s">
        <v>2781</v>
      </c>
      <c r="D1591" s="6" t="s">
        <v>2779</v>
      </c>
      <c r="E1591" s="7" t="s">
        <v>2780</v>
      </c>
      <c r="F1591" s="7" t="s">
        <v>762</v>
      </c>
      <c r="G1591" s="8" t="s">
        <v>2783</v>
      </c>
      <c r="H1591" s="8" t="s">
        <v>2784</v>
      </c>
      <c r="I1591" s="7" t="s">
        <v>17</v>
      </c>
      <c r="J1591" s="15">
        <v>15</v>
      </c>
    </row>
    <row r="1592" spans="1:10" ht="208" x14ac:dyDescent="0.2">
      <c r="A1592" s="7" t="s">
        <v>751</v>
      </c>
      <c r="B1592" s="8" t="s">
        <v>292</v>
      </c>
      <c r="C1592" s="8" t="s">
        <v>2781</v>
      </c>
      <c r="D1592" s="6" t="s">
        <v>2779</v>
      </c>
      <c r="E1592" s="7" t="s">
        <v>2780</v>
      </c>
      <c r="F1592" s="7" t="s">
        <v>762</v>
      </c>
      <c r="G1592" s="8" t="s">
        <v>298</v>
      </c>
      <c r="H1592" s="8" t="s">
        <v>2785</v>
      </c>
      <c r="I1592" s="7" t="s">
        <v>25</v>
      </c>
      <c r="J1592" s="15">
        <v>10</v>
      </c>
    </row>
    <row r="1593" spans="1:10" ht="247" x14ac:dyDescent="0.2">
      <c r="A1593" s="7" t="s">
        <v>751</v>
      </c>
      <c r="B1593" s="8" t="s">
        <v>292</v>
      </c>
      <c r="C1593" s="8" t="s">
        <v>2781</v>
      </c>
      <c r="D1593" s="6" t="s">
        <v>2779</v>
      </c>
      <c r="E1593" s="7" t="s">
        <v>2780</v>
      </c>
      <c r="F1593" s="7" t="s">
        <v>762</v>
      </c>
      <c r="G1593" s="8" t="s">
        <v>2786</v>
      </c>
      <c r="H1593" s="8" t="s">
        <v>2787</v>
      </c>
      <c r="I1593" s="7" t="s">
        <v>17</v>
      </c>
      <c r="J1593" s="15">
        <v>15</v>
      </c>
    </row>
    <row r="1594" spans="1:10" ht="284" x14ac:dyDescent="0.2">
      <c r="A1594" s="7" t="s">
        <v>751</v>
      </c>
      <c r="B1594" s="8" t="s">
        <v>292</v>
      </c>
      <c r="C1594" s="8" t="s">
        <v>2781</v>
      </c>
      <c r="D1594" s="6" t="s">
        <v>2779</v>
      </c>
      <c r="E1594" s="7" t="s">
        <v>2780</v>
      </c>
      <c r="F1594" s="7" t="s">
        <v>762</v>
      </c>
      <c r="G1594" s="8" t="s">
        <v>297</v>
      </c>
      <c r="H1594" s="8" t="s">
        <v>2788</v>
      </c>
      <c r="I1594" s="7" t="s">
        <v>25</v>
      </c>
      <c r="J1594" s="15">
        <v>20</v>
      </c>
    </row>
    <row r="1595" spans="1:10" ht="284" x14ac:dyDescent="0.2">
      <c r="A1595" s="7" t="s">
        <v>751</v>
      </c>
      <c r="B1595" s="8" t="s">
        <v>292</v>
      </c>
      <c r="C1595" s="8" t="s">
        <v>2781</v>
      </c>
      <c r="D1595" s="6" t="s">
        <v>2779</v>
      </c>
      <c r="E1595" s="7" t="s">
        <v>2780</v>
      </c>
      <c r="F1595" s="7" t="s">
        <v>762</v>
      </c>
      <c r="G1595" s="8" t="s">
        <v>301</v>
      </c>
      <c r="H1595" s="8" t="s">
        <v>2789</v>
      </c>
      <c r="I1595" s="7" t="s">
        <v>25</v>
      </c>
      <c r="J1595" s="15">
        <v>10</v>
      </c>
    </row>
    <row r="1596" spans="1:10" ht="320" x14ac:dyDescent="0.2">
      <c r="A1596" s="7" t="s">
        <v>751</v>
      </c>
      <c r="B1596" s="8" t="s">
        <v>292</v>
      </c>
      <c r="C1596" s="8" t="s">
        <v>2781</v>
      </c>
      <c r="D1596" s="6" t="s">
        <v>2779</v>
      </c>
      <c r="E1596" s="7" t="s">
        <v>2780</v>
      </c>
      <c r="F1596" s="7" t="s">
        <v>762</v>
      </c>
      <c r="G1596" s="8" t="s">
        <v>299</v>
      </c>
      <c r="H1596" s="8" t="s">
        <v>2790</v>
      </c>
      <c r="I1596" s="7" t="s">
        <v>25</v>
      </c>
      <c r="J1596" s="15">
        <v>20</v>
      </c>
    </row>
    <row r="1597" spans="1:10" ht="308" x14ac:dyDescent="0.2">
      <c r="A1597" s="7" t="s">
        <v>751</v>
      </c>
      <c r="B1597" s="8" t="s">
        <v>292</v>
      </c>
      <c r="C1597" s="8" t="s">
        <v>1966</v>
      </c>
      <c r="D1597" s="6" t="s">
        <v>1932</v>
      </c>
      <c r="E1597" s="7" t="s">
        <v>1933</v>
      </c>
      <c r="F1597" s="7" t="s">
        <v>291</v>
      </c>
      <c r="G1597" s="8" t="s">
        <v>1967</v>
      </c>
      <c r="H1597" s="8" t="s">
        <v>1968</v>
      </c>
      <c r="I1597" s="7" t="s">
        <v>25</v>
      </c>
      <c r="J1597" s="15">
        <v>25</v>
      </c>
    </row>
    <row r="1598" spans="1:10" ht="247" x14ac:dyDescent="0.2">
      <c r="A1598" s="7" t="s">
        <v>751</v>
      </c>
      <c r="B1598" s="8" t="s">
        <v>292</v>
      </c>
      <c r="C1598" s="8" t="s">
        <v>1966</v>
      </c>
      <c r="D1598" s="6" t="s">
        <v>1932</v>
      </c>
      <c r="E1598" s="7" t="s">
        <v>1933</v>
      </c>
      <c r="F1598" s="7" t="s">
        <v>291</v>
      </c>
      <c r="G1598" s="8" t="s">
        <v>1969</v>
      </c>
      <c r="H1598" s="8" t="s">
        <v>1970</v>
      </c>
      <c r="I1598" s="7" t="s">
        <v>25</v>
      </c>
      <c r="J1598" s="15">
        <v>15</v>
      </c>
    </row>
    <row r="1599" spans="1:10" ht="221" x14ac:dyDescent="0.2">
      <c r="A1599" s="7" t="s">
        <v>751</v>
      </c>
      <c r="B1599" s="8" t="s">
        <v>292</v>
      </c>
      <c r="C1599" s="8" t="s">
        <v>1966</v>
      </c>
      <c r="D1599" s="6" t="s">
        <v>1932</v>
      </c>
      <c r="E1599" s="7" t="s">
        <v>1933</v>
      </c>
      <c r="F1599" s="7" t="s">
        <v>291</v>
      </c>
      <c r="G1599" s="8" t="s">
        <v>1971</v>
      </c>
      <c r="H1599" s="8" t="s">
        <v>1972</v>
      </c>
      <c r="I1599" s="7" t="s">
        <v>25</v>
      </c>
      <c r="J1599" s="15">
        <v>20</v>
      </c>
    </row>
    <row r="1600" spans="1:10" ht="65" x14ac:dyDescent="0.2">
      <c r="A1600" s="7" t="s">
        <v>751</v>
      </c>
      <c r="B1600" s="8" t="s">
        <v>292</v>
      </c>
      <c r="C1600" s="8" t="s">
        <v>1966</v>
      </c>
      <c r="D1600" s="6" t="s">
        <v>1932</v>
      </c>
      <c r="E1600" s="7" t="s">
        <v>1933</v>
      </c>
      <c r="F1600" s="7" t="s">
        <v>291</v>
      </c>
      <c r="G1600" s="8" t="s">
        <v>1973</v>
      </c>
      <c r="H1600" s="8" t="s">
        <v>1974</v>
      </c>
      <c r="I1600" s="7" t="s">
        <v>17</v>
      </c>
      <c r="J1600" s="15">
        <v>10</v>
      </c>
    </row>
    <row r="1601" spans="1:10" ht="78" x14ac:dyDescent="0.2">
      <c r="A1601" s="7" t="s">
        <v>751</v>
      </c>
      <c r="B1601" s="8" t="s">
        <v>292</v>
      </c>
      <c r="C1601" s="8" t="s">
        <v>1966</v>
      </c>
      <c r="D1601" s="6" t="s">
        <v>1932</v>
      </c>
      <c r="E1601" s="7" t="s">
        <v>1933</v>
      </c>
      <c r="F1601" s="7" t="s">
        <v>291</v>
      </c>
      <c r="G1601" s="8" t="s">
        <v>1975</v>
      </c>
      <c r="H1601" s="8" t="s">
        <v>1976</v>
      </c>
      <c r="I1601" s="7" t="s">
        <v>17</v>
      </c>
      <c r="J1601" s="15">
        <v>10</v>
      </c>
    </row>
    <row r="1602" spans="1:10" ht="119.5" customHeight="1" x14ac:dyDescent="0.2">
      <c r="A1602" s="7" t="s">
        <v>751</v>
      </c>
      <c r="B1602" s="8" t="s">
        <v>292</v>
      </c>
      <c r="C1602" s="8" t="s">
        <v>1966</v>
      </c>
      <c r="D1602" s="6" t="s">
        <v>1932</v>
      </c>
      <c r="E1602" s="7" t="s">
        <v>1933</v>
      </c>
      <c r="F1602" s="7" t="s">
        <v>291</v>
      </c>
      <c r="G1602" s="8" t="s">
        <v>1977</v>
      </c>
      <c r="H1602" s="8" t="s">
        <v>1978</v>
      </c>
      <c r="I1602" s="7" t="s">
        <v>25</v>
      </c>
      <c r="J1602" s="15">
        <v>20</v>
      </c>
    </row>
    <row r="1603" spans="1:10" ht="296" x14ac:dyDescent="0.2">
      <c r="A1603" s="7" t="s">
        <v>751</v>
      </c>
      <c r="B1603" s="8" t="s">
        <v>292</v>
      </c>
      <c r="C1603" s="8" t="s">
        <v>2409</v>
      </c>
      <c r="D1603" s="6" t="s">
        <v>761</v>
      </c>
      <c r="E1603" s="7" t="s">
        <v>762</v>
      </c>
      <c r="F1603" s="7" t="s">
        <v>291</v>
      </c>
      <c r="G1603" s="8" t="s">
        <v>297</v>
      </c>
      <c r="H1603" s="8" t="s">
        <v>2410</v>
      </c>
      <c r="I1603" s="7" t="s">
        <v>25</v>
      </c>
      <c r="J1603" s="15">
        <v>25</v>
      </c>
    </row>
    <row r="1604" spans="1:10" ht="342.5" customHeight="1" x14ac:dyDescent="0.2">
      <c r="A1604" s="7" t="s">
        <v>751</v>
      </c>
      <c r="B1604" s="8" t="s">
        <v>292</v>
      </c>
      <c r="C1604" s="8" t="s">
        <v>2409</v>
      </c>
      <c r="D1604" s="6" t="s">
        <v>761</v>
      </c>
      <c r="E1604" s="7" t="s">
        <v>762</v>
      </c>
      <c r="F1604" s="7" t="s">
        <v>291</v>
      </c>
      <c r="G1604" s="8" t="s">
        <v>301</v>
      </c>
      <c r="H1604" s="8" t="s">
        <v>2411</v>
      </c>
      <c r="I1604" s="7" t="s">
        <v>25</v>
      </c>
      <c r="J1604" s="15">
        <v>20</v>
      </c>
    </row>
    <row r="1605" spans="1:10" ht="260" x14ac:dyDescent="0.2">
      <c r="A1605" s="7" t="s">
        <v>751</v>
      </c>
      <c r="B1605" s="8" t="s">
        <v>292</v>
      </c>
      <c r="C1605" s="8" t="s">
        <v>2409</v>
      </c>
      <c r="D1605" s="6" t="s">
        <v>761</v>
      </c>
      <c r="E1605" s="7" t="s">
        <v>762</v>
      </c>
      <c r="F1605" s="7" t="s">
        <v>291</v>
      </c>
      <c r="G1605" s="8" t="s">
        <v>300</v>
      </c>
      <c r="H1605" s="8" t="s">
        <v>2412</v>
      </c>
      <c r="I1605" s="7" t="s">
        <v>25</v>
      </c>
      <c r="J1605" s="15">
        <v>15</v>
      </c>
    </row>
    <row r="1606" spans="1:10" ht="332" x14ac:dyDescent="0.2">
      <c r="A1606" s="7" t="s">
        <v>751</v>
      </c>
      <c r="B1606" s="8" t="s">
        <v>292</v>
      </c>
      <c r="C1606" s="8" t="s">
        <v>2409</v>
      </c>
      <c r="D1606" s="6" t="s">
        <v>761</v>
      </c>
      <c r="E1606" s="7" t="s">
        <v>762</v>
      </c>
      <c r="F1606" s="7" t="s">
        <v>291</v>
      </c>
      <c r="G1606" s="8" t="s">
        <v>2413</v>
      </c>
      <c r="H1606" s="8" t="s">
        <v>2414</v>
      </c>
      <c r="I1606" s="7" t="s">
        <v>25</v>
      </c>
      <c r="J1606" s="15">
        <v>15</v>
      </c>
    </row>
    <row r="1607" spans="1:10" ht="117" x14ac:dyDescent="0.2">
      <c r="A1607" s="7" t="s">
        <v>751</v>
      </c>
      <c r="B1607" s="8" t="s">
        <v>292</v>
      </c>
      <c r="C1607" s="8" t="s">
        <v>2409</v>
      </c>
      <c r="D1607" s="6" t="s">
        <v>761</v>
      </c>
      <c r="E1607" s="7" t="s">
        <v>762</v>
      </c>
      <c r="F1607" s="7" t="s">
        <v>291</v>
      </c>
      <c r="G1607" s="8" t="s">
        <v>2415</v>
      </c>
      <c r="H1607" s="8" t="s">
        <v>2416</v>
      </c>
      <c r="I1607" s="7" t="s">
        <v>17</v>
      </c>
      <c r="J1607" s="15">
        <v>10</v>
      </c>
    </row>
    <row r="1608" spans="1:10" ht="253.75" customHeight="1" x14ac:dyDescent="0.2">
      <c r="A1608" s="7" t="s">
        <v>751</v>
      </c>
      <c r="B1608" s="8" t="s">
        <v>292</v>
      </c>
      <c r="C1608" s="8" t="s">
        <v>2409</v>
      </c>
      <c r="D1608" s="6" t="s">
        <v>761</v>
      </c>
      <c r="E1608" s="7" t="s">
        <v>762</v>
      </c>
      <c r="F1608" s="7" t="s">
        <v>291</v>
      </c>
      <c r="G1608" s="8" t="s">
        <v>2417</v>
      </c>
      <c r="H1608" s="8" t="s">
        <v>2418</v>
      </c>
      <c r="I1608" s="7" t="s">
        <v>25</v>
      </c>
      <c r="J1608" s="15">
        <v>15</v>
      </c>
    </row>
  </sheetData>
  <autoFilter ref="A1:O1608" xr:uid="{00000000-0001-0000-0000-000000000000}"/>
  <sortState xmlns:xlrd2="http://schemas.microsoft.com/office/spreadsheetml/2017/richdata2" ref="A2:O1608">
    <sortCondition ref="A2:A1608"/>
    <sortCondition ref="B2:B1608"/>
    <sortCondition ref="C2:C1608"/>
  </sortState>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FB6F0-D024-4D59-840B-6AB6F92911A5}">
  <dimension ref="A1:M276"/>
  <sheetViews>
    <sheetView topLeftCell="A253" workbookViewId="0">
      <selection activeCell="A263" sqref="A263"/>
    </sheetView>
  </sheetViews>
  <sheetFormatPr baseColWidth="10" defaultColWidth="11.5" defaultRowHeight="12" x14ac:dyDescent="0.15"/>
  <cols>
    <col min="1" max="1" width="11" style="2" bestFit="1" customWidth="1"/>
    <col min="2" max="2" width="34.5" style="2" bestFit="1" customWidth="1"/>
    <col min="3" max="3" width="28.83203125" style="2" bestFit="1" customWidth="1"/>
    <col min="4" max="4" width="44.1640625" style="2" customWidth="1"/>
    <col min="5" max="5" width="65.83203125" style="2" bestFit="1" customWidth="1"/>
    <col min="6" max="6" width="14.6640625" style="2" bestFit="1" customWidth="1"/>
    <col min="7" max="7" width="33.5" style="2" bestFit="1" customWidth="1"/>
    <col min="8" max="8" width="11.5" style="17"/>
    <col min="9" max="9" width="16.1640625" style="17" bestFit="1" customWidth="1"/>
    <col min="10" max="16384" width="11.5" style="2"/>
  </cols>
  <sheetData>
    <row r="1" spans="1:13" ht="28.5" customHeight="1" x14ac:dyDescent="0.15">
      <c r="A1" s="1" t="s">
        <v>0</v>
      </c>
      <c r="B1" s="1" t="s">
        <v>1</v>
      </c>
      <c r="C1" s="1" t="s">
        <v>3023</v>
      </c>
      <c r="D1" s="1" t="s">
        <v>2928</v>
      </c>
      <c r="E1" s="1" t="s">
        <v>2</v>
      </c>
      <c r="F1" s="1" t="s">
        <v>3</v>
      </c>
      <c r="G1" s="1" t="s">
        <v>4</v>
      </c>
      <c r="H1" s="1" t="s">
        <v>3024</v>
      </c>
      <c r="I1" s="1" t="s">
        <v>3025</v>
      </c>
      <c r="J1" s="16"/>
      <c r="K1" s="16"/>
      <c r="L1" s="16"/>
      <c r="M1" s="16"/>
    </row>
    <row r="2" spans="1:13" x14ac:dyDescent="0.15">
      <c r="A2" s="9" t="s">
        <v>1505</v>
      </c>
      <c r="B2" s="9" t="s">
        <v>1506</v>
      </c>
      <c r="C2" s="9" t="s">
        <v>3059</v>
      </c>
      <c r="D2" s="9" t="s">
        <v>206</v>
      </c>
      <c r="E2" s="9" t="s">
        <v>1507</v>
      </c>
      <c r="F2" s="9" t="s">
        <v>454</v>
      </c>
      <c r="G2" s="9" t="s">
        <v>455</v>
      </c>
      <c r="H2" s="11" t="s">
        <v>3027</v>
      </c>
      <c r="I2" s="11" t="str">
        <f>+H2</f>
        <v>5</v>
      </c>
    </row>
    <row r="3" spans="1:13" x14ac:dyDescent="0.15">
      <c r="A3" s="9" t="s">
        <v>502</v>
      </c>
      <c r="B3" s="9" t="s">
        <v>503</v>
      </c>
      <c r="C3" s="9" t="s">
        <v>3070</v>
      </c>
      <c r="D3" s="9" t="s">
        <v>206</v>
      </c>
      <c r="E3" s="9" t="s">
        <v>504</v>
      </c>
      <c r="F3" s="9" t="s">
        <v>505</v>
      </c>
      <c r="G3" s="9" t="s">
        <v>506</v>
      </c>
      <c r="H3" s="11" t="s">
        <v>3027</v>
      </c>
      <c r="I3" s="11">
        <f t="shared" ref="I3:I66" si="0">+I2+H3</f>
        <v>10</v>
      </c>
    </row>
    <row r="4" spans="1:13" x14ac:dyDescent="0.15">
      <c r="A4" s="9" t="s">
        <v>466</v>
      </c>
      <c r="B4" s="9" t="s">
        <v>467</v>
      </c>
      <c r="C4" s="9" t="s">
        <v>3087</v>
      </c>
      <c r="D4" s="9" t="s">
        <v>206</v>
      </c>
      <c r="E4" s="9" t="s">
        <v>468</v>
      </c>
      <c r="F4" s="9" t="s">
        <v>261</v>
      </c>
      <c r="G4" s="9" t="s">
        <v>262</v>
      </c>
      <c r="H4" s="11" t="s">
        <v>3027</v>
      </c>
      <c r="I4" s="11">
        <f t="shared" si="0"/>
        <v>15</v>
      </c>
    </row>
    <row r="5" spans="1:13" x14ac:dyDescent="0.15">
      <c r="A5" s="9" t="s">
        <v>676</v>
      </c>
      <c r="B5" s="9" t="s">
        <v>677</v>
      </c>
      <c r="C5" s="9" t="s">
        <v>3161</v>
      </c>
      <c r="D5" s="9" t="s">
        <v>206</v>
      </c>
      <c r="E5" s="9" t="s">
        <v>2895</v>
      </c>
      <c r="F5" s="9" t="s">
        <v>261</v>
      </c>
      <c r="G5" s="9" t="s">
        <v>262</v>
      </c>
      <c r="H5" s="11" t="s">
        <v>3027</v>
      </c>
      <c r="I5" s="11">
        <f t="shared" si="0"/>
        <v>20</v>
      </c>
    </row>
    <row r="6" spans="1:13" x14ac:dyDescent="0.15">
      <c r="A6" s="9" t="s">
        <v>451</v>
      </c>
      <c r="B6" s="9" t="s">
        <v>452</v>
      </c>
      <c r="C6" s="9" t="s">
        <v>3167</v>
      </c>
      <c r="D6" s="9" t="s">
        <v>206</v>
      </c>
      <c r="E6" s="9" t="s">
        <v>453</v>
      </c>
      <c r="F6" s="9" t="s">
        <v>454</v>
      </c>
      <c r="G6" s="9" t="s">
        <v>455</v>
      </c>
      <c r="H6" s="11" t="s">
        <v>3027</v>
      </c>
      <c r="I6" s="11">
        <f t="shared" si="0"/>
        <v>25</v>
      </c>
    </row>
    <row r="7" spans="1:13" x14ac:dyDescent="0.15">
      <c r="A7" s="9" t="s">
        <v>1862</v>
      </c>
      <c r="B7" s="9" t="s">
        <v>1863</v>
      </c>
      <c r="C7" s="9" t="s">
        <v>3171</v>
      </c>
      <c r="D7" s="9" t="s">
        <v>206</v>
      </c>
      <c r="E7" s="9" t="s">
        <v>207</v>
      </c>
      <c r="F7" s="9" t="s">
        <v>208</v>
      </c>
      <c r="G7" s="9" t="s">
        <v>209</v>
      </c>
      <c r="H7" s="11" t="s">
        <v>3027</v>
      </c>
      <c r="I7" s="11">
        <f t="shared" si="0"/>
        <v>30</v>
      </c>
    </row>
    <row r="8" spans="1:13" x14ac:dyDescent="0.15">
      <c r="A8" s="9" t="s">
        <v>2920</v>
      </c>
      <c r="B8" s="9" t="s">
        <v>2921</v>
      </c>
      <c r="C8" s="9" t="s">
        <v>3198</v>
      </c>
      <c r="D8" s="9" t="s">
        <v>206</v>
      </c>
      <c r="E8" s="9" t="s">
        <v>2922</v>
      </c>
      <c r="F8" s="9" t="s">
        <v>208</v>
      </c>
      <c r="G8" s="9" t="s">
        <v>209</v>
      </c>
      <c r="H8" s="11" t="s">
        <v>3027</v>
      </c>
      <c r="I8" s="11">
        <f t="shared" si="0"/>
        <v>35</v>
      </c>
    </row>
    <row r="9" spans="1:13" x14ac:dyDescent="0.15">
      <c r="A9" s="9" t="s">
        <v>454</v>
      </c>
      <c r="B9" s="9" t="s">
        <v>455</v>
      </c>
      <c r="C9" s="9" t="s">
        <v>3200</v>
      </c>
      <c r="D9" s="9" t="s">
        <v>206</v>
      </c>
      <c r="E9" s="9" t="s">
        <v>812</v>
      </c>
      <c r="F9" s="9" t="s">
        <v>261</v>
      </c>
      <c r="G9" s="9" t="s">
        <v>262</v>
      </c>
      <c r="H9" s="11" t="s">
        <v>3027</v>
      </c>
      <c r="I9" s="11">
        <f t="shared" si="0"/>
        <v>40</v>
      </c>
    </row>
    <row r="10" spans="1:13" x14ac:dyDescent="0.15">
      <c r="A10" s="9" t="s">
        <v>570</v>
      </c>
      <c r="B10" s="9" t="s">
        <v>571</v>
      </c>
      <c r="C10" s="9" t="s">
        <v>3212</v>
      </c>
      <c r="D10" s="9" t="s">
        <v>206</v>
      </c>
      <c r="E10" s="9" t="s">
        <v>1643</v>
      </c>
      <c r="F10" s="9" t="s">
        <v>261</v>
      </c>
      <c r="G10" s="9" t="s">
        <v>262</v>
      </c>
      <c r="H10" s="11" t="s">
        <v>3027</v>
      </c>
      <c r="I10" s="11">
        <f t="shared" si="0"/>
        <v>45</v>
      </c>
    </row>
    <row r="11" spans="1:13" x14ac:dyDescent="0.15">
      <c r="A11" s="9" t="s">
        <v>340</v>
      </c>
      <c r="B11" s="9" t="s">
        <v>341</v>
      </c>
      <c r="C11" s="9" t="s">
        <v>3216</v>
      </c>
      <c r="D11" s="9" t="s">
        <v>206</v>
      </c>
      <c r="E11" s="9" t="s">
        <v>342</v>
      </c>
      <c r="F11" s="9" t="s">
        <v>343</v>
      </c>
      <c r="G11" s="9" t="s">
        <v>344</v>
      </c>
      <c r="H11" s="11" t="s">
        <v>3027</v>
      </c>
      <c r="I11" s="11">
        <f t="shared" si="0"/>
        <v>50</v>
      </c>
    </row>
    <row r="12" spans="1:13" x14ac:dyDescent="0.15">
      <c r="A12" s="9" t="s">
        <v>505</v>
      </c>
      <c r="B12" s="9" t="s">
        <v>506</v>
      </c>
      <c r="C12" s="9" t="s">
        <v>3230</v>
      </c>
      <c r="D12" s="9" t="s">
        <v>206</v>
      </c>
      <c r="E12" s="9" t="s">
        <v>847</v>
      </c>
      <c r="F12" s="9" t="s">
        <v>261</v>
      </c>
      <c r="G12" s="9" t="s">
        <v>262</v>
      </c>
      <c r="H12" s="11" t="s">
        <v>3027</v>
      </c>
      <c r="I12" s="11">
        <f t="shared" si="0"/>
        <v>55</v>
      </c>
    </row>
    <row r="13" spans="1:13" x14ac:dyDescent="0.15">
      <c r="A13" s="9" t="s">
        <v>2900</v>
      </c>
      <c r="B13" s="9" t="s">
        <v>2901</v>
      </c>
      <c r="C13" s="9" t="s">
        <v>3232</v>
      </c>
      <c r="D13" s="9" t="s">
        <v>206</v>
      </c>
      <c r="E13" s="9" t="s">
        <v>2238</v>
      </c>
      <c r="F13" s="9" t="s">
        <v>570</v>
      </c>
      <c r="G13" s="9" t="s">
        <v>571</v>
      </c>
      <c r="H13" s="11" t="s">
        <v>3027</v>
      </c>
      <c r="I13" s="11">
        <f t="shared" si="0"/>
        <v>60</v>
      </c>
    </row>
    <row r="14" spans="1:13" x14ac:dyDescent="0.15">
      <c r="A14" s="9" t="s">
        <v>343</v>
      </c>
      <c r="B14" s="9" t="s">
        <v>344</v>
      </c>
      <c r="C14" s="9" t="s">
        <v>3235</v>
      </c>
      <c r="D14" s="9" t="s">
        <v>206</v>
      </c>
      <c r="E14" s="9" t="s">
        <v>2760</v>
      </c>
      <c r="F14" s="9" t="s">
        <v>261</v>
      </c>
      <c r="G14" s="9" t="s">
        <v>262</v>
      </c>
      <c r="H14" s="11" t="s">
        <v>3027</v>
      </c>
      <c r="I14" s="11">
        <f t="shared" si="0"/>
        <v>65</v>
      </c>
    </row>
    <row r="15" spans="1:13" x14ac:dyDescent="0.15">
      <c r="A15" s="9" t="s">
        <v>945</v>
      </c>
      <c r="B15" s="9" t="s">
        <v>946</v>
      </c>
      <c r="C15" s="9" t="s">
        <v>3236</v>
      </c>
      <c r="D15" s="9" t="s">
        <v>206</v>
      </c>
      <c r="E15" s="9" t="s">
        <v>947</v>
      </c>
      <c r="F15" s="9" t="s">
        <v>570</v>
      </c>
      <c r="G15" s="9" t="s">
        <v>571</v>
      </c>
      <c r="H15" s="11" t="s">
        <v>3027</v>
      </c>
      <c r="I15" s="11">
        <f t="shared" si="0"/>
        <v>70</v>
      </c>
    </row>
    <row r="16" spans="1:13" x14ac:dyDescent="0.15">
      <c r="A16" s="9" t="s">
        <v>2616</v>
      </c>
      <c r="B16" s="9" t="s">
        <v>2617</v>
      </c>
      <c r="C16" s="9" t="s">
        <v>3240</v>
      </c>
      <c r="D16" s="9" t="s">
        <v>206</v>
      </c>
      <c r="E16" s="9" t="s">
        <v>2618</v>
      </c>
      <c r="F16" s="9" t="s">
        <v>570</v>
      </c>
      <c r="G16" s="9" t="s">
        <v>571</v>
      </c>
      <c r="H16" s="11" t="s">
        <v>3027</v>
      </c>
      <c r="I16" s="11">
        <f t="shared" si="0"/>
        <v>75</v>
      </c>
    </row>
    <row r="17" spans="1:9" x14ac:dyDescent="0.15">
      <c r="A17" s="9" t="s">
        <v>208</v>
      </c>
      <c r="B17" s="9" t="s">
        <v>209</v>
      </c>
      <c r="C17" s="9" t="s">
        <v>3243</v>
      </c>
      <c r="D17" s="9" t="s">
        <v>206</v>
      </c>
      <c r="E17" s="9" t="s">
        <v>2473</v>
      </c>
      <c r="F17" s="9" t="s">
        <v>261</v>
      </c>
      <c r="G17" s="9" t="s">
        <v>262</v>
      </c>
      <c r="H17" s="11" t="s">
        <v>3027</v>
      </c>
      <c r="I17" s="11">
        <f t="shared" si="0"/>
        <v>80</v>
      </c>
    </row>
    <row r="18" spans="1:9" x14ac:dyDescent="0.15">
      <c r="A18" s="9" t="s">
        <v>2388</v>
      </c>
      <c r="B18" s="9" t="s">
        <v>2389</v>
      </c>
      <c r="C18" s="9" t="s">
        <v>3244</v>
      </c>
      <c r="D18" s="9" t="s">
        <v>206</v>
      </c>
      <c r="E18" s="9" t="s">
        <v>2390</v>
      </c>
      <c r="F18" s="9" t="s">
        <v>676</v>
      </c>
      <c r="G18" s="9" t="s">
        <v>677</v>
      </c>
      <c r="H18" s="11" t="s">
        <v>3027</v>
      </c>
      <c r="I18" s="11">
        <f t="shared" si="0"/>
        <v>85</v>
      </c>
    </row>
    <row r="19" spans="1:9" x14ac:dyDescent="0.15">
      <c r="A19" s="9" t="s">
        <v>204</v>
      </c>
      <c r="B19" s="9" t="s">
        <v>205</v>
      </c>
      <c r="C19" s="9" t="s">
        <v>3245</v>
      </c>
      <c r="D19" s="9" t="s">
        <v>206</v>
      </c>
      <c r="E19" s="9" t="s">
        <v>207</v>
      </c>
      <c r="F19" s="9" t="s">
        <v>208</v>
      </c>
      <c r="G19" s="9" t="s">
        <v>209</v>
      </c>
      <c r="H19" s="11" t="s">
        <v>3027</v>
      </c>
      <c r="I19" s="11">
        <f t="shared" si="0"/>
        <v>90</v>
      </c>
    </row>
    <row r="20" spans="1:9" x14ac:dyDescent="0.15">
      <c r="A20" s="9" t="s">
        <v>2274</v>
      </c>
      <c r="B20" s="9" t="s">
        <v>2275</v>
      </c>
      <c r="C20" s="9" t="s">
        <v>3260</v>
      </c>
      <c r="D20" s="9" t="s">
        <v>206</v>
      </c>
      <c r="E20" s="9" t="s">
        <v>2276</v>
      </c>
      <c r="F20" s="9" t="s">
        <v>466</v>
      </c>
      <c r="G20" s="9" t="s">
        <v>467</v>
      </c>
      <c r="H20" s="11" t="s">
        <v>3027</v>
      </c>
      <c r="I20" s="11">
        <f t="shared" si="0"/>
        <v>95</v>
      </c>
    </row>
    <row r="21" spans="1:9" x14ac:dyDescent="0.15">
      <c r="A21" s="9" t="s">
        <v>673</v>
      </c>
      <c r="B21" s="9" t="s">
        <v>674</v>
      </c>
      <c r="C21" s="9" t="s">
        <v>3262</v>
      </c>
      <c r="D21" s="9" t="s">
        <v>206</v>
      </c>
      <c r="E21" s="9" t="s">
        <v>675</v>
      </c>
      <c r="F21" s="9" t="s">
        <v>676</v>
      </c>
      <c r="G21" s="9" t="s">
        <v>677</v>
      </c>
      <c r="H21" s="11" t="s">
        <v>3027</v>
      </c>
      <c r="I21" s="11">
        <f t="shared" si="0"/>
        <v>100</v>
      </c>
    </row>
    <row r="22" spans="1:9" x14ac:dyDescent="0.15">
      <c r="A22" s="9" t="s">
        <v>2869</v>
      </c>
      <c r="B22" s="9" t="s">
        <v>2870</v>
      </c>
      <c r="C22" s="9" t="s">
        <v>3272</v>
      </c>
      <c r="D22" s="9" t="s">
        <v>206</v>
      </c>
      <c r="E22" s="9" t="s">
        <v>2871</v>
      </c>
      <c r="F22" s="9" t="s">
        <v>676</v>
      </c>
      <c r="G22" s="9" t="s">
        <v>677</v>
      </c>
      <c r="H22" s="11" t="s">
        <v>3027</v>
      </c>
      <c r="I22" s="11">
        <f t="shared" si="0"/>
        <v>105</v>
      </c>
    </row>
    <row r="23" spans="1:9" x14ac:dyDescent="0.15">
      <c r="A23" s="9" t="s">
        <v>2236</v>
      </c>
      <c r="B23" s="9" t="s">
        <v>2237</v>
      </c>
      <c r="C23" s="9" t="s">
        <v>3277</v>
      </c>
      <c r="D23" s="9" t="s">
        <v>206</v>
      </c>
      <c r="E23" s="9" t="s">
        <v>2238</v>
      </c>
      <c r="F23" s="9" t="s">
        <v>570</v>
      </c>
      <c r="G23" s="9" t="s">
        <v>571</v>
      </c>
      <c r="H23" s="11" t="s">
        <v>3027</v>
      </c>
      <c r="I23" s="11">
        <f t="shared" si="0"/>
        <v>110</v>
      </c>
    </row>
    <row r="24" spans="1:9" x14ac:dyDescent="0.15">
      <c r="A24" s="9" t="s">
        <v>261</v>
      </c>
      <c r="B24" s="9" t="s">
        <v>262</v>
      </c>
      <c r="C24" s="9" t="s">
        <v>3285</v>
      </c>
      <c r="D24" s="9" t="s">
        <v>206</v>
      </c>
      <c r="E24" s="9" t="s">
        <v>263</v>
      </c>
      <c r="F24" s="9" t="s">
        <v>264</v>
      </c>
      <c r="G24" s="9" t="s">
        <v>265</v>
      </c>
      <c r="H24" s="11" t="s">
        <v>3036</v>
      </c>
      <c r="I24" s="11">
        <f t="shared" si="0"/>
        <v>114</v>
      </c>
    </row>
    <row r="25" spans="1:9" x14ac:dyDescent="0.15">
      <c r="A25" s="9" t="s">
        <v>567</v>
      </c>
      <c r="B25" s="9" t="s">
        <v>568</v>
      </c>
      <c r="C25" s="9" t="s">
        <v>3287</v>
      </c>
      <c r="D25" s="9" t="s">
        <v>206</v>
      </c>
      <c r="E25" s="9" t="s">
        <v>569</v>
      </c>
      <c r="F25" s="9" t="s">
        <v>570</v>
      </c>
      <c r="G25" s="9" t="s">
        <v>571</v>
      </c>
      <c r="H25" s="11" t="s">
        <v>3027</v>
      </c>
      <c r="I25" s="11">
        <f t="shared" si="0"/>
        <v>119</v>
      </c>
    </row>
    <row r="26" spans="1:9" x14ac:dyDescent="0.15">
      <c r="A26" s="9" t="s">
        <v>189</v>
      </c>
      <c r="B26" s="9" t="s">
        <v>190</v>
      </c>
      <c r="C26" s="9" t="s">
        <v>3043</v>
      </c>
      <c r="D26" s="9" t="s">
        <v>38</v>
      </c>
      <c r="E26" s="9" t="s">
        <v>191</v>
      </c>
      <c r="F26" s="9" t="s">
        <v>192</v>
      </c>
      <c r="G26" s="9" t="s">
        <v>193</v>
      </c>
      <c r="H26" s="11" t="s">
        <v>3027</v>
      </c>
      <c r="I26" s="11">
        <f t="shared" si="0"/>
        <v>124</v>
      </c>
    </row>
    <row r="27" spans="1:9" x14ac:dyDescent="0.15">
      <c r="A27" s="9" t="s">
        <v>1653</v>
      </c>
      <c r="B27" s="9" t="s">
        <v>1654</v>
      </c>
      <c r="C27" s="9" t="s">
        <v>3088</v>
      </c>
      <c r="D27" s="9" t="s">
        <v>38</v>
      </c>
      <c r="E27" s="9" t="s">
        <v>1655</v>
      </c>
      <c r="F27" s="9" t="s">
        <v>294</v>
      </c>
      <c r="G27" s="9" t="s">
        <v>295</v>
      </c>
      <c r="H27" s="11" t="s">
        <v>3027</v>
      </c>
      <c r="I27" s="11">
        <f t="shared" si="0"/>
        <v>129</v>
      </c>
    </row>
    <row r="28" spans="1:9" x14ac:dyDescent="0.15">
      <c r="A28" s="9" t="s">
        <v>514</v>
      </c>
      <c r="B28" s="9" t="s">
        <v>515</v>
      </c>
      <c r="C28" s="9" t="s">
        <v>3168</v>
      </c>
      <c r="D28" s="9" t="s">
        <v>38</v>
      </c>
      <c r="E28" s="9" t="s">
        <v>516</v>
      </c>
      <c r="F28" s="9" t="s">
        <v>40</v>
      </c>
      <c r="G28" s="9" t="s">
        <v>41</v>
      </c>
      <c r="H28" s="11" t="s">
        <v>3029</v>
      </c>
      <c r="I28" s="11">
        <f t="shared" si="0"/>
        <v>135</v>
      </c>
    </row>
    <row r="29" spans="1:9" x14ac:dyDescent="0.15">
      <c r="A29" s="9" t="s">
        <v>40</v>
      </c>
      <c r="B29" s="9" t="s">
        <v>41</v>
      </c>
      <c r="C29" s="9" t="s">
        <v>3219</v>
      </c>
      <c r="D29" s="9" t="s">
        <v>38</v>
      </c>
      <c r="E29" s="9" t="s">
        <v>975</v>
      </c>
      <c r="F29" s="9" t="s">
        <v>97</v>
      </c>
      <c r="G29" s="9" t="s">
        <v>98</v>
      </c>
      <c r="H29" s="11" t="s">
        <v>3029</v>
      </c>
      <c r="I29" s="11">
        <f t="shared" si="0"/>
        <v>141</v>
      </c>
    </row>
    <row r="30" spans="1:9" x14ac:dyDescent="0.15">
      <c r="A30" s="9" t="s">
        <v>192</v>
      </c>
      <c r="B30" s="9" t="s">
        <v>193</v>
      </c>
      <c r="C30" s="9" t="s">
        <v>3238</v>
      </c>
      <c r="D30" s="9" t="s">
        <v>38</v>
      </c>
      <c r="E30" s="9" t="s">
        <v>1979</v>
      </c>
      <c r="F30" s="9" t="s">
        <v>40</v>
      </c>
      <c r="G30" s="9" t="s">
        <v>41</v>
      </c>
      <c r="H30" s="11" t="s">
        <v>3027</v>
      </c>
      <c r="I30" s="11">
        <f t="shared" si="0"/>
        <v>146</v>
      </c>
    </row>
    <row r="31" spans="1:9" x14ac:dyDescent="0.15">
      <c r="A31" s="9" t="s">
        <v>2069</v>
      </c>
      <c r="B31" s="9" t="s">
        <v>2070</v>
      </c>
      <c r="C31" s="9" t="s">
        <v>3278</v>
      </c>
      <c r="D31" s="9" t="s">
        <v>38</v>
      </c>
      <c r="E31" s="9" t="s">
        <v>2071</v>
      </c>
      <c r="F31" s="9" t="s">
        <v>36</v>
      </c>
      <c r="G31" s="9" t="s">
        <v>37</v>
      </c>
      <c r="H31" s="11" t="s">
        <v>3027</v>
      </c>
      <c r="I31" s="11">
        <f t="shared" si="0"/>
        <v>151</v>
      </c>
    </row>
    <row r="32" spans="1:9" x14ac:dyDescent="0.15">
      <c r="A32" s="9" t="s">
        <v>1828</v>
      </c>
      <c r="B32" s="9" t="s">
        <v>1829</v>
      </c>
      <c r="C32" s="9" t="s">
        <v>3281</v>
      </c>
      <c r="D32" s="9" t="s">
        <v>38</v>
      </c>
      <c r="E32" s="9" t="s">
        <v>1830</v>
      </c>
      <c r="F32" s="9" t="s">
        <v>40</v>
      </c>
      <c r="G32" s="9" t="s">
        <v>41</v>
      </c>
      <c r="H32" s="11" t="s">
        <v>3027</v>
      </c>
      <c r="I32" s="11">
        <f t="shared" si="0"/>
        <v>156</v>
      </c>
    </row>
    <row r="33" spans="1:9" x14ac:dyDescent="0.15">
      <c r="A33" s="9" t="s">
        <v>36</v>
      </c>
      <c r="B33" s="9" t="s">
        <v>37</v>
      </c>
      <c r="C33" s="9" t="s">
        <v>3311</v>
      </c>
      <c r="D33" s="9" t="s">
        <v>38</v>
      </c>
      <c r="E33" s="9" t="s">
        <v>39</v>
      </c>
      <c r="F33" s="9" t="s">
        <v>40</v>
      </c>
      <c r="G33" s="9" t="s">
        <v>41</v>
      </c>
      <c r="H33" s="11" t="s">
        <v>3027</v>
      </c>
      <c r="I33" s="11">
        <f t="shared" si="0"/>
        <v>161</v>
      </c>
    </row>
    <row r="34" spans="1:9" x14ac:dyDescent="0.15">
      <c r="A34" s="9" t="s">
        <v>3039</v>
      </c>
      <c r="B34" s="9" t="s">
        <v>3040</v>
      </c>
      <c r="C34" s="9" t="s">
        <v>3041</v>
      </c>
      <c r="D34" s="9" t="s">
        <v>701</v>
      </c>
      <c r="E34" s="9" t="s">
        <v>702</v>
      </c>
      <c r="F34" s="9" t="s">
        <v>703</v>
      </c>
      <c r="G34" s="9" t="s">
        <v>704</v>
      </c>
      <c r="H34" s="11" t="s">
        <v>3042</v>
      </c>
      <c r="I34" s="11">
        <f t="shared" si="0"/>
        <v>161</v>
      </c>
    </row>
    <row r="35" spans="1:9" x14ac:dyDescent="0.15">
      <c r="A35" s="9" t="s">
        <v>1666</v>
      </c>
      <c r="B35" s="9" t="s">
        <v>1667</v>
      </c>
      <c r="C35" s="9" t="s">
        <v>3057</v>
      </c>
      <c r="D35" s="9" t="s">
        <v>701</v>
      </c>
      <c r="E35" s="9" t="s">
        <v>702</v>
      </c>
      <c r="F35" s="9" t="s">
        <v>703</v>
      </c>
      <c r="G35" s="9" t="s">
        <v>704</v>
      </c>
      <c r="H35" s="11" t="s">
        <v>3038</v>
      </c>
      <c r="I35" s="11">
        <f t="shared" si="0"/>
        <v>168</v>
      </c>
    </row>
    <row r="36" spans="1:9" x14ac:dyDescent="0.15">
      <c r="A36" s="9" t="s">
        <v>2434</v>
      </c>
      <c r="B36" s="9" t="s">
        <v>2435</v>
      </c>
      <c r="C36" s="9" t="s">
        <v>3129</v>
      </c>
      <c r="D36" s="9" t="s">
        <v>701</v>
      </c>
      <c r="E36" s="9" t="s">
        <v>702</v>
      </c>
      <c r="F36" s="9" t="s">
        <v>703</v>
      </c>
      <c r="G36" s="9" t="s">
        <v>704</v>
      </c>
      <c r="H36" s="11" t="s">
        <v>3038</v>
      </c>
      <c r="I36" s="11">
        <f t="shared" si="0"/>
        <v>175</v>
      </c>
    </row>
    <row r="37" spans="1:9" x14ac:dyDescent="0.15">
      <c r="A37" s="9" t="s">
        <v>2199</v>
      </c>
      <c r="B37" s="9" t="s">
        <v>2200</v>
      </c>
      <c r="C37" s="9" t="s">
        <v>3186</v>
      </c>
      <c r="D37" s="9" t="s">
        <v>701</v>
      </c>
      <c r="E37" s="9" t="s">
        <v>702</v>
      </c>
      <c r="F37" s="9" t="s">
        <v>703</v>
      </c>
      <c r="G37" s="9" t="s">
        <v>704</v>
      </c>
      <c r="H37" s="11" t="s">
        <v>3038</v>
      </c>
      <c r="I37" s="11">
        <f t="shared" si="0"/>
        <v>182</v>
      </c>
    </row>
    <row r="38" spans="1:9" x14ac:dyDescent="0.15">
      <c r="A38" s="9" t="s">
        <v>1099</v>
      </c>
      <c r="B38" s="9" t="s">
        <v>1100</v>
      </c>
      <c r="C38" s="9" t="s">
        <v>3197</v>
      </c>
      <c r="D38" s="9" t="s">
        <v>701</v>
      </c>
      <c r="E38" s="9" t="s">
        <v>1101</v>
      </c>
      <c r="F38" s="9" t="s">
        <v>703</v>
      </c>
      <c r="G38" s="9" t="s">
        <v>704</v>
      </c>
      <c r="H38" s="11" t="s">
        <v>3056</v>
      </c>
      <c r="I38" s="11">
        <f t="shared" si="0"/>
        <v>191</v>
      </c>
    </row>
    <row r="39" spans="1:9" x14ac:dyDescent="0.15">
      <c r="A39" s="9" t="s">
        <v>699</v>
      </c>
      <c r="B39" s="9" t="s">
        <v>700</v>
      </c>
      <c r="C39" s="9" t="s">
        <v>3221</v>
      </c>
      <c r="D39" s="9" t="s">
        <v>701</v>
      </c>
      <c r="E39" s="9" t="s">
        <v>702</v>
      </c>
      <c r="F39" s="9" t="s">
        <v>703</v>
      </c>
      <c r="G39" s="9" t="s">
        <v>704</v>
      </c>
      <c r="H39" s="11" t="s">
        <v>3032</v>
      </c>
      <c r="I39" s="11">
        <f t="shared" si="0"/>
        <v>199</v>
      </c>
    </row>
    <row r="40" spans="1:9" x14ac:dyDescent="0.15">
      <c r="A40" s="9" t="s">
        <v>703</v>
      </c>
      <c r="B40" s="9" t="s">
        <v>704</v>
      </c>
      <c r="C40" s="9" t="s">
        <v>3224</v>
      </c>
      <c r="D40" s="9" t="s">
        <v>701</v>
      </c>
      <c r="E40" s="9" t="s">
        <v>2290</v>
      </c>
      <c r="F40" s="9" t="s">
        <v>861</v>
      </c>
      <c r="G40" s="9" t="s">
        <v>862</v>
      </c>
      <c r="H40" s="11" t="s">
        <v>3038</v>
      </c>
      <c r="I40" s="11">
        <f t="shared" si="0"/>
        <v>206</v>
      </c>
    </row>
    <row r="41" spans="1:9" x14ac:dyDescent="0.15">
      <c r="A41" s="9" t="s">
        <v>2655</v>
      </c>
      <c r="B41" s="9" t="s">
        <v>2656</v>
      </c>
      <c r="C41" s="9" t="s">
        <v>3225</v>
      </c>
      <c r="D41" s="9" t="s">
        <v>701</v>
      </c>
      <c r="E41" s="9" t="s">
        <v>702</v>
      </c>
      <c r="F41" s="9" t="s">
        <v>703</v>
      </c>
      <c r="G41" s="9" t="s">
        <v>704</v>
      </c>
      <c r="H41" s="11" t="s">
        <v>3029</v>
      </c>
      <c r="I41" s="11">
        <f t="shared" si="0"/>
        <v>212</v>
      </c>
    </row>
    <row r="42" spans="1:9" x14ac:dyDescent="0.15">
      <c r="A42" s="9" t="s">
        <v>2101</v>
      </c>
      <c r="B42" s="9" t="s">
        <v>2102</v>
      </c>
      <c r="C42" s="9" t="s">
        <v>3255</v>
      </c>
      <c r="D42" s="9" t="s">
        <v>701</v>
      </c>
      <c r="E42" s="9" t="s">
        <v>2103</v>
      </c>
      <c r="F42" s="9" t="s">
        <v>703</v>
      </c>
      <c r="G42" s="9" t="s">
        <v>704</v>
      </c>
      <c r="H42" s="11" t="s">
        <v>3029</v>
      </c>
      <c r="I42" s="11">
        <f t="shared" si="0"/>
        <v>218</v>
      </c>
    </row>
    <row r="43" spans="1:9" x14ac:dyDescent="0.15">
      <c r="A43" s="9" t="s">
        <v>861</v>
      </c>
      <c r="B43" s="9" t="s">
        <v>862</v>
      </c>
      <c r="C43" s="9" t="s">
        <v>3257</v>
      </c>
      <c r="D43" s="9" t="s">
        <v>701</v>
      </c>
      <c r="E43" s="9" t="s">
        <v>863</v>
      </c>
      <c r="F43" s="9" t="s">
        <v>864</v>
      </c>
      <c r="G43" s="9" t="s">
        <v>865</v>
      </c>
      <c r="H43" s="11" t="s">
        <v>3038</v>
      </c>
      <c r="I43" s="11">
        <f t="shared" si="0"/>
        <v>225</v>
      </c>
    </row>
    <row r="44" spans="1:9" x14ac:dyDescent="0.15">
      <c r="A44" s="9" t="s">
        <v>1600</v>
      </c>
      <c r="B44" s="9" t="s">
        <v>1601</v>
      </c>
      <c r="C44" s="9" t="s">
        <v>3044</v>
      </c>
      <c r="D44" s="9" t="s">
        <v>1240</v>
      </c>
      <c r="E44" s="9" t="s">
        <v>1241</v>
      </c>
      <c r="F44" s="9" t="s">
        <v>1242</v>
      </c>
      <c r="G44" s="9" t="s">
        <v>1243</v>
      </c>
      <c r="H44" s="11" t="s">
        <v>3038</v>
      </c>
      <c r="I44" s="11">
        <f t="shared" si="0"/>
        <v>232</v>
      </c>
    </row>
    <row r="45" spans="1:9" x14ac:dyDescent="0.15">
      <c r="A45" s="9" t="s">
        <v>1238</v>
      </c>
      <c r="B45" s="9" t="s">
        <v>1239</v>
      </c>
      <c r="C45" s="9" t="s">
        <v>3060</v>
      </c>
      <c r="D45" s="9" t="s">
        <v>1240</v>
      </c>
      <c r="E45" s="9" t="s">
        <v>1241</v>
      </c>
      <c r="F45" s="9" t="s">
        <v>1242</v>
      </c>
      <c r="G45" s="9" t="s">
        <v>1243</v>
      </c>
      <c r="H45" s="11" t="s">
        <v>3038</v>
      </c>
      <c r="I45" s="11">
        <f t="shared" si="0"/>
        <v>239</v>
      </c>
    </row>
    <row r="46" spans="1:9" x14ac:dyDescent="0.15">
      <c r="A46" s="9" t="s">
        <v>1242</v>
      </c>
      <c r="B46" s="9" t="s">
        <v>1243</v>
      </c>
      <c r="C46" s="9" t="s">
        <v>3062</v>
      </c>
      <c r="D46" s="9" t="s">
        <v>1240</v>
      </c>
      <c r="E46" s="9" t="s">
        <v>2791</v>
      </c>
      <c r="F46" s="9" t="s">
        <v>294</v>
      </c>
      <c r="G46" s="9" t="s">
        <v>295</v>
      </c>
      <c r="H46" s="11" t="s">
        <v>3029</v>
      </c>
      <c r="I46" s="11">
        <f t="shared" si="0"/>
        <v>245</v>
      </c>
    </row>
    <row r="47" spans="1:9" x14ac:dyDescent="0.15">
      <c r="A47" s="9" t="s">
        <v>3090</v>
      </c>
      <c r="B47" s="9" t="s">
        <v>3091</v>
      </c>
      <c r="C47" s="9" t="s">
        <v>3092</v>
      </c>
      <c r="D47" s="9" t="s">
        <v>1240</v>
      </c>
      <c r="E47" s="9" t="s">
        <v>3093</v>
      </c>
      <c r="F47" s="9" t="s">
        <v>1242</v>
      </c>
      <c r="G47" s="9" t="s">
        <v>1243</v>
      </c>
      <c r="H47" s="11" t="s">
        <v>3042</v>
      </c>
      <c r="I47" s="11">
        <f t="shared" si="0"/>
        <v>245</v>
      </c>
    </row>
    <row r="48" spans="1:9" x14ac:dyDescent="0.15">
      <c r="A48" s="9" t="s">
        <v>2837</v>
      </c>
      <c r="B48" s="9" t="s">
        <v>2838</v>
      </c>
      <c r="C48" s="9" t="s">
        <v>3119</v>
      </c>
      <c r="D48" s="9" t="s">
        <v>1240</v>
      </c>
      <c r="E48" s="9" t="s">
        <v>2839</v>
      </c>
      <c r="F48" s="9" t="s">
        <v>1242</v>
      </c>
      <c r="G48" s="9" t="s">
        <v>1243</v>
      </c>
      <c r="H48" s="11" t="s">
        <v>3038</v>
      </c>
      <c r="I48" s="11">
        <f t="shared" si="0"/>
        <v>252</v>
      </c>
    </row>
    <row r="49" spans="1:9" x14ac:dyDescent="0.15">
      <c r="A49" s="9" t="s">
        <v>2677</v>
      </c>
      <c r="B49" s="9" t="s">
        <v>2678</v>
      </c>
      <c r="C49" s="9" t="s">
        <v>3123</v>
      </c>
      <c r="D49" s="9" t="s">
        <v>1240</v>
      </c>
      <c r="E49" s="9" t="s">
        <v>2679</v>
      </c>
      <c r="F49" s="9" t="s">
        <v>1242</v>
      </c>
      <c r="G49" s="9" t="s">
        <v>1243</v>
      </c>
      <c r="H49" s="11" t="s">
        <v>3029</v>
      </c>
      <c r="I49" s="11">
        <f t="shared" si="0"/>
        <v>258</v>
      </c>
    </row>
    <row r="50" spans="1:9" x14ac:dyDescent="0.15">
      <c r="A50" s="9" t="s">
        <v>3143</v>
      </c>
      <c r="B50" s="9" t="s">
        <v>3144</v>
      </c>
      <c r="C50" s="9" t="s">
        <v>3145</v>
      </c>
      <c r="D50" s="9" t="s">
        <v>1240</v>
      </c>
      <c r="E50" s="9" t="s">
        <v>3146</v>
      </c>
      <c r="F50" s="9" t="s">
        <v>1242</v>
      </c>
      <c r="G50" s="9" t="s">
        <v>1243</v>
      </c>
      <c r="H50" s="11" t="s">
        <v>3042</v>
      </c>
      <c r="I50" s="11">
        <f t="shared" si="0"/>
        <v>258</v>
      </c>
    </row>
    <row r="51" spans="1:9" x14ac:dyDescent="0.15">
      <c r="A51" s="9" t="s">
        <v>1580</v>
      </c>
      <c r="B51" s="9" t="s">
        <v>1581</v>
      </c>
      <c r="C51" s="9" t="s">
        <v>3306</v>
      </c>
      <c r="D51" s="9" t="s">
        <v>1240</v>
      </c>
      <c r="E51" s="9" t="s">
        <v>1582</v>
      </c>
      <c r="F51" s="9" t="s">
        <v>1242</v>
      </c>
      <c r="G51" s="9" t="s">
        <v>1243</v>
      </c>
      <c r="H51" s="11" t="s">
        <v>3038</v>
      </c>
      <c r="I51" s="11">
        <f t="shared" si="0"/>
        <v>265</v>
      </c>
    </row>
    <row r="52" spans="1:9" x14ac:dyDescent="0.15">
      <c r="A52" s="9" t="s">
        <v>1632</v>
      </c>
      <c r="B52" s="9" t="s">
        <v>1633</v>
      </c>
      <c r="C52" s="9" t="s">
        <v>3058</v>
      </c>
      <c r="D52" s="9" t="s">
        <v>1630</v>
      </c>
      <c r="E52" s="9" t="s">
        <v>2892</v>
      </c>
      <c r="F52" s="9" t="s">
        <v>97</v>
      </c>
      <c r="G52" s="9" t="s">
        <v>98</v>
      </c>
      <c r="H52" s="11" t="s">
        <v>3029</v>
      </c>
      <c r="I52" s="11">
        <f t="shared" si="0"/>
        <v>271</v>
      </c>
    </row>
    <row r="53" spans="1:9" x14ac:dyDescent="0.15">
      <c r="A53" s="9" t="s">
        <v>1628</v>
      </c>
      <c r="B53" s="9" t="s">
        <v>1629</v>
      </c>
      <c r="C53" s="9" t="s">
        <v>3163</v>
      </c>
      <c r="D53" s="9" t="s">
        <v>1630</v>
      </c>
      <c r="E53" s="9" t="s">
        <v>1631</v>
      </c>
      <c r="F53" s="9" t="s">
        <v>1632</v>
      </c>
      <c r="G53" s="9" t="s">
        <v>1633</v>
      </c>
      <c r="H53" s="11" t="s">
        <v>3027</v>
      </c>
      <c r="I53" s="11">
        <f t="shared" si="0"/>
        <v>276</v>
      </c>
    </row>
    <row r="54" spans="1:9" x14ac:dyDescent="0.15">
      <c r="A54" s="9" t="s">
        <v>2634</v>
      </c>
      <c r="B54" s="9" t="s">
        <v>2635</v>
      </c>
      <c r="C54" s="9" t="s">
        <v>3182</v>
      </c>
      <c r="D54" s="9" t="s">
        <v>1630</v>
      </c>
      <c r="E54" s="9" t="s">
        <v>2636</v>
      </c>
      <c r="F54" s="9" t="s">
        <v>1632</v>
      </c>
      <c r="G54" s="9" t="s">
        <v>1633</v>
      </c>
      <c r="H54" s="11" t="s">
        <v>3036</v>
      </c>
      <c r="I54" s="11">
        <f t="shared" si="0"/>
        <v>280</v>
      </c>
    </row>
    <row r="55" spans="1:9" x14ac:dyDescent="0.15">
      <c r="A55" s="9" t="s">
        <v>176</v>
      </c>
      <c r="B55" s="9" t="s">
        <v>177</v>
      </c>
      <c r="C55" s="9" t="s">
        <v>3140</v>
      </c>
      <c r="D55" s="9" t="s">
        <v>139</v>
      </c>
      <c r="E55" s="9" t="s">
        <v>616</v>
      </c>
      <c r="F55" s="9" t="s">
        <v>617</v>
      </c>
      <c r="G55" s="9" t="s">
        <v>618</v>
      </c>
      <c r="H55" s="11" t="s">
        <v>3029</v>
      </c>
      <c r="I55" s="11">
        <f t="shared" si="0"/>
        <v>286</v>
      </c>
    </row>
    <row r="56" spans="1:9" x14ac:dyDescent="0.15">
      <c r="A56" s="9" t="s">
        <v>1679</v>
      </c>
      <c r="B56" s="9" t="s">
        <v>1680</v>
      </c>
      <c r="C56" s="9" t="s">
        <v>3148</v>
      </c>
      <c r="D56" s="9" t="s">
        <v>139</v>
      </c>
      <c r="E56" s="9" t="s">
        <v>1681</v>
      </c>
      <c r="F56" s="9" t="s">
        <v>141</v>
      </c>
      <c r="G56" s="9" t="s">
        <v>142</v>
      </c>
      <c r="H56" s="11" t="s">
        <v>3029</v>
      </c>
      <c r="I56" s="11">
        <f t="shared" si="0"/>
        <v>292</v>
      </c>
    </row>
    <row r="57" spans="1:9" x14ac:dyDescent="0.15">
      <c r="A57" s="9" t="s">
        <v>1405</v>
      </c>
      <c r="B57" s="9" t="s">
        <v>1406</v>
      </c>
      <c r="C57" s="9" t="s">
        <v>3155</v>
      </c>
      <c r="D57" s="9" t="s">
        <v>139</v>
      </c>
      <c r="E57" s="9" t="s">
        <v>140</v>
      </c>
      <c r="F57" s="9" t="s">
        <v>141</v>
      </c>
      <c r="G57" s="9" t="s">
        <v>142</v>
      </c>
      <c r="H57" s="11" t="s">
        <v>3029</v>
      </c>
      <c r="I57" s="11">
        <f t="shared" si="0"/>
        <v>298</v>
      </c>
    </row>
    <row r="58" spans="1:9" x14ac:dyDescent="0.15">
      <c r="A58" s="9" t="s">
        <v>2012</v>
      </c>
      <c r="B58" s="9" t="s">
        <v>2013</v>
      </c>
      <c r="C58" s="9" t="s">
        <v>3173</v>
      </c>
      <c r="D58" s="9" t="s">
        <v>139</v>
      </c>
      <c r="E58" s="9" t="s">
        <v>2014</v>
      </c>
      <c r="F58" s="9" t="s">
        <v>176</v>
      </c>
      <c r="G58" s="9" t="s">
        <v>177</v>
      </c>
      <c r="H58" s="11" t="s">
        <v>3027</v>
      </c>
      <c r="I58" s="11">
        <f t="shared" si="0"/>
        <v>303</v>
      </c>
    </row>
    <row r="59" spans="1:9" x14ac:dyDescent="0.15">
      <c r="A59" s="9" t="s">
        <v>233</v>
      </c>
      <c r="B59" s="9" t="s">
        <v>234</v>
      </c>
      <c r="C59" s="9" t="s">
        <v>3214</v>
      </c>
      <c r="D59" s="9" t="s">
        <v>139</v>
      </c>
      <c r="E59" s="9" t="s">
        <v>235</v>
      </c>
      <c r="F59" s="9" t="s">
        <v>176</v>
      </c>
      <c r="G59" s="9" t="s">
        <v>177</v>
      </c>
      <c r="H59" s="11" t="s">
        <v>3036</v>
      </c>
      <c r="I59" s="11">
        <f t="shared" si="0"/>
        <v>307</v>
      </c>
    </row>
    <row r="60" spans="1:9" x14ac:dyDescent="0.15">
      <c r="A60" s="9" t="s">
        <v>173</v>
      </c>
      <c r="B60" s="9" t="s">
        <v>174</v>
      </c>
      <c r="C60" s="9" t="s">
        <v>3286</v>
      </c>
      <c r="D60" s="9" t="s">
        <v>139</v>
      </c>
      <c r="E60" s="9" t="s">
        <v>175</v>
      </c>
      <c r="F60" s="9" t="s">
        <v>176</v>
      </c>
      <c r="G60" s="9" t="s">
        <v>177</v>
      </c>
      <c r="H60" s="11" t="s">
        <v>3029</v>
      </c>
      <c r="I60" s="11">
        <f t="shared" si="0"/>
        <v>313</v>
      </c>
    </row>
    <row r="61" spans="1:9" x14ac:dyDescent="0.15">
      <c r="A61" s="9" t="s">
        <v>617</v>
      </c>
      <c r="B61" s="9" t="s">
        <v>618</v>
      </c>
      <c r="C61" s="9" t="s">
        <v>3288</v>
      </c>
      <c r="D61" s="9" t="s">
        <v>139</v>
      </c>
      <c r="E61" s="9" t="s">
        <v>1036</v>
      </c>
      <c r="F61" s="9" t="s">
        <v>732</v>
      </c>
      <c r="G61" s="9" t="s">
        <v>733</v>
      </c>
      <c r="H61" s="11" t="s">
        <v>3029</v>
      </c>
      <c r="I61" s="11">
        <f t="shared" si="0"/>
        <v>319</v>
      </c>
    </row>
    <row r="62" spans="1:9" x14ac:dyDescent="0.15">
      <c r="A62" s="9" t="s">
        <v>1297</v>
      </c>
      <c r="B62" s="9" t="s">
        <v>1298</v>
      </c>
      <c r="C62" s="9" t="s">
        <v>3304</v>
      </c>
      <c r="D62" s="9" t="s">
        <v>139</v>
      </c>
      <c r="E62" s="9" t="s">
        <v>1299</v>
      </c>
      <c r="F62" s="9" t="s">
        <v>176</v>
      </c>
      <c r="G62" s="9" t="s">
        <v>177</v>
      </c>
      <c r="H62" s="11" t="s">
        <v>3027</v>
      </c>
      <c r="I62" s="11">
        <f t="shared" si="0"/>
        <v>324</v>
      </c>
    </row>
    <row r="63" spans="1:9" x14ac:dyDescent="0.15">
      <c r="A63" s="9" t="s">
        <v>141</v>
      </c>
      <c r="B63" s="9" t="s">
        <v>142</v>
      </c>
      <c r="C63" s="9" t="s">
        <v>3305</v>
      </c>
      <c r="D63" s="9" t="s">
        <v>139</v>
      </c>
      <c r="E63" s="9" t="s">
        <v>1118</v>
      </c>
      <c r="F63" s="9" t="s">
        <v>617</v>
      </c>
      <c r="G63" s="9" t="s">
        <v>618</v>
      </c>
      <c r="H63" s="11" t="s">
        <v>3029</v>
      </c>
      <c r="I63" s="11">
        <f t="shared" si="0"/>
        <v>330</v>
      </c>
    </row>
    <row r="64" spans="1:9" x14ac:dyDescent="0.15">
      <c r="A64" s="9" t="s">
        <v>908</v>
      </c>
      <c r="B64" s="9" t="s">
        <v>909</v>
      </c>
      <c r="C64" s="9" t="s">
        <v>3312</v>
      </c>
      <c r="D64" s="9" t="s">
        <v>139</v>
      </c>
      <c r="E64" s="9" t="s">
        <v>910</v>
      </c>
      <c r="F64" s="9" t="s">
        <v>141</v>
      </c>
      <c r="G64" s="9" t="s">
        <v>142</v>
      </c>
      <c r="H64" s="11" t="s">
        <v>3029</v>
      </c>
      <c r="I64" s="11">
        <f t="shared" si="0"/>
        <v>336</v>
      </c>
    </row>
    <row r="65" spans="1:9" x14ac:dyDescent="0.15">
      <c r="A65" s="9" t="s">
        <v>137</v>
      </c>
      <c r="B65" s="9" t="s">
        <v>138</v>
      </c>
      <c r="C65" s="9" t="s">
        <v>3327</v>
      </c>
      <c r="D65" s="9" t="s">
        <v>139</v>
      </c>
      <c r="E65" s="9" t="s">
        <v>140</v>
      </c>
      <c r="F65" s="9" t="s">
        <v>141</v>
      </c>
      <c r="G65" s="9" t="s">
        <v>142</v>
      </c>
      <c r="H65" s="11" t="s">
        <v>3029</v>
      </c>
      <c r="I65" s="11">
        <f t="shared" si="0"/>
        <v>342</v>
      </c>
    </row>
    <row r="66" spans="1:9" x14ac:dyDescent="0.15">
      <c r="A66" s="9" t="s">
        <v>2877</v>
      </c>
      <c r="B66" s="9" t="s">
        <v>2878</v>
      </c>
      <c r="C66" s="9" t="s">
        <v>3035</v>
      </c>
      <c r="D66" s="9" t="s">
        <v>584</v>
      </c>
      <c r="E66" s="9" t="s">
        <v>585</v>
      </c>
      <c r="F66" s="9" t="s">
        <v>586</v>
      </c>
      <c r="G66" s="9" t="s">
        <v>587</v>
      </c>
      <c r="H66" s="11" t="s">
        <v>3036</v>
      </c>
      <c r="I66" s="11">
        <f t="shared" si="0"/>
        <v>346</v>
      </c>
    </row>
    <row r="67" spans="1:9" x14ac:dyDescent="0.15">
      <c r="A67" s="9" t="s">
        <v>582</v>
      </c>
      <c r="B67" s="9" t="s">
        <v>583</v>
      </c>
      <c r="C67" s="9" t="s">
        <v>3082</v>
      </c>
      <c r="D67" s="9" t="s">
        <v>584</v>
      </c>
      <c r="E67" s="9" t="s">
        <v>585</v>
      </c>
      <c r="F67" s="9" t="s">
        <v>586</v>
      </c>
      <c r="G67" s="9" t="s">
        <v>587</v>
      </c>
      <c r="H67" s="11" t="s">
        <v>3027</v>
      </c>
      <c r="I67" s="11">
        <f t="shared" ref="I67:I130" si="1">+I66+H67</f>
        <v>351</v>
      </c>
    </row>
    <row r="68" spans="1:9" x14ac:dyDescent="0.15">
      <c r="A68" s="9" t="s">
        <v>2816</v>
      </c>
      <c r="B68" s="9" t="s">
        <v>2817</v>
      </c>
      <c r="C68" s="9" t="s">
        <v>3169</v>
      </c>
      <c r="D68" s="9" t="s">
        <v>584</v>
      </c>
      <c r="E68" s="9" t="s">
        <v>585</v>
      </c>
      <c r="F68" s="9" t="s">
        <v>586</v>
      </c>
      <c r="G68" s="9" t="s">
        <v>587</v>
      </c>
      <c r="H68" s="11" t="s">
        <v>3036</v>
      </c>
      <c r="I68" s="11">
        <f t="shared" si="1"/>
        <v>355</v>
      </c>
    </row>
    <row r="69" spans="1:9" x14ac:dyDescent="0.15">
      <c r="A69" s="9" t="s">
        <v>1721</v>
      </c>
      <c r="B69" s="9" t="s">
        <v>1722</v>
      </c>
      <c r="C69" s="9" t="s">
        <v>3172</v>
      </c>
      <c r="D69" s="9" t="s">
        <v>584</v>
      </c>
      <c r="E69" s="9" t="s">
        <v>1723</v>
      </c>
      <c r="F69" s="9" t="s">
        <v>586</v>
      </c>
      <c r="G69" s="9" t="s">
        <v>587</v>
      </c>
      <c r="H69" s="11" t="s">
        <v>3036</v>
      </c>
      <c r="I69" s="11">
        <f t="shared" si="1"/>
        <v>359</v>
      </c>
    </row>
    <row r="70" spans="1:9" x14ac:dyDescent="0.15">
      <c r="A70" s="9" t="s">
        <v>1559</v>
      </c>
      <c r="B70" s="9" t="s">
        <v>1560</v>
      </c>
      <c r="C70" s="9" t="s">
        <v>3289</v>
      </c>
      <c r="D70" s="9" t="s">
        <v>584</v>
      </c>
      <c r="E70" s="9" t="s">
        <v>1561</v>
      </c>
      <c r="F70" s="9" t="s">
        <v>264</v>
      </c>
      <c r="G70" s="9" t="s">
        <v>265</v>
      </c>
      <c r="H70" s="11" t="s">
        <v>3036</v>
      </c>
      <c r="I70" s="11">
        <f t="shared" si="1"/>
        <v>363</v>
      </c>
    </row>
    <row r="71" spans="1:9" x14ac:dyDescent="0.15">
      <c r="A71" s="9" t="s">
        <v>586</v>
      </c>
      <c r="B71" s="9" t="s">
        <v>587</v>
      </c>
      <c r="C71" s="9" t="s">
        <v>3328</v>
      </c>
      <c r="D71" s="9" t="s">
        <v>584</v>
      </c>
      <c r="E71" s="9" t="s">
        <v>2545</v>
      </c>
      <c r="F71" s="9" t="s">
        <v>1559</v>
      </c>
      <c r="G71" s="9" t="s">
        <v>1560</v>
      </c>
      <c r="H71" s="11" t="s">
        <v>3036</v>
      </c>
      <c r="I71" s="11">
        <f t="shared" si="1"/>
        <v>367</v>
      </c>
    </row>
    <row r="72" spans="1:9" x14ac:dyDescent="0.15">
      <c r="A72" s="9" t="s">
        <v>821</v>
      </c>
      <c r="B72" s="9" t="s">
        <v>822</v>
      </c>
      <c r="C72" s="9" t="s">
        <v>3033</v>
      </c>
      <c r="D72" s="9" t="s">
        <v>73</v>
      </c>
      <c r="E72" s="9" t="s">
        <v>823</v>
      </c>
      <c r="F72" s="9" t="s">
        <v>824</v>
      </c>
      <c r="G72" s="9" t="s">
        <v>825</v>
      </c>
      <c r="H72" s="11" t="s">
        <v>3027</v>
      </c>
      <c r="I72" s="11">
        <f t="shared" si="1"/>
        <v>372</v>
      </c>
    </row>
    <row r="73" spans="1:9" x14ac:dyDescent="0.15">
      <c r="A73" s="9" t="s">
        <v>720</v>
      </c>
      <c r="B73" s="9" t="s">
        <v>721</v>
      </c>
      <c r="C73" s="9" t="s">
        <v>3052</v>
      </c>
      <c r="D73" s="9" t="s">
        <v>73</v>
      </c>
      <c r="E73" s="9" t="s">
        <v>722</v>
      </c>
      <c r="F73" s="9" t="s">
        <v>75</v>
      </c>
      <c r="G73" s="9" t="s">
        <v>76</v>
      </c>
      <c r="H73" s="11" t="s">
        <v>3036</v>
      </c>
      <c r="I73" s="11">
        <f t="shared" si="1"/>
        <v>376</v>
      </c>
    </row>
    <row r="74" spans="1:9" x14ac:dyDescent="0.15">
      <c r="A74" s="9" t="s">
        <v>2117</v>
      </c>
      <c r="B74" s="9" t="s">
        <v>2118</v>
      </c>
      <c r="C74" s="9" t="s">
        <v>3064</v>
      </c>
      <c r="D74" s="9" t="s">
        <v>73</v>
      </c>
      <c r="E74" s="9" t="s">
        <v>2119</v>
      </c>
      <c r="F74" s="9" t="s">
        <v>821</v>
      </c>
      <c r="G74" s="9" t="s">
        <v>822</v>
      </c>
      <c r="H74" s="11" t="s">
        <v>3027</v>
      </c>
      <c r="I74" s="11">
        <f t="shared" si="1"/>
        <v>381</v>
      </c>
    </row>
    <row r="75" spans="1:9" x14ac:dyDescent="0.15">
      <c r="A75" s="9" t="s">
        <v>2349</v>
      </c>
      <c r="B75" s="9" t="s">
        <v>2350</v>
      </c>
      <c r="C75" s="9" t="s">
        <v>3084</v>
      </c>
      <c r="D75" s="9" t="s">
        <v>73</v>
      </c>
      <c r="E75" s="9" t="s">
        <v>74</v>
      </c>
      <c r="F75" s="9" t="s">
        <v>75</v>
      </c>
      <c r="G75" s="9" t="s">
        <v>76</v>
      </c>
      <c r="H75" s="11" t="s">
        <v>3036</v>
      </c>
      <c r="I75" s="11">
        <f t="shared" si="1"/>
        <v>385</v>
      </c>
    </row>
    <row r="76" spans="1:9" x14ac:dyDescent="0.15">
      <c r="A76" s="9" t="s">
        <v>1382</v>
      </c>
      <c r="B76" s="9" t="s">
        <v>1383</v>
      </c>
      <c r="C76" s="9" t="s">
        <v>3115</v>
      </c>
      <c r="D76" s="9" t="s">
        <v>73</v>
      </c>
      <c r="E76" s="9" t="s">
        <v>74</v>
      </c>
      <c r="F76" s="9" t="s">
        <v>75</v>
      </c>
      <c r="G76" s="9" t="s">
        <v>76</v>
      </c>
      <c r="H76" s="11" t="s">
        <v>3072</v>
      </c>
      <c r="I76" s="11">
        <f t="shared" si="1"/>
        <v>388</v>
      </c>
    </row>
    <row r="77" spans="1:9" x14ac:dyDescent="0.15">
      <c r="A77" s="9" t="s">
        <v>75</v>
      </c>
      <c r="B77" s="9" t="s">
        <v>76</v>
      </c>
      <c r="C77" s="9" t="s">
        <v>3160</v>
      </c>
      <c r="D77" s="9" t="s">
        <v>73</v>
      </c>
      <c r="E77" s="9" t="s">
        <v>1335</v>
      </c>
      <c r="F77" s="9" t="s">
        <v>824</v>
      </c>
      <c r="G77" s="9" t="s">
        <v>825</v>
      </c>
      <c r="H77" s="11" t="s">
        <v>3036</v>
      </c>
      <c r="I77" s="11">
        <f t="shared" si="1"/>
        <v>392</v>
      </c>
    </row>
    <row r="78" spans="1:9" x14ac:dyDescent="0.15">
      <c r="A78" s="9" t="s">
        <v>1800</v>
      </c>
      <c r="B78" s="9" t="s">
        <v>1801</v>
      </c>
      <c r="C78" s="9" t="s">
        <v>3176</v>
      </c>
      <c r="D78" s="9" t="s">
        <v>73</v>
      </c>
      <c r="E78" s="9" t="s">
        <v>1802</v>
      </c>
      <c r="F78" s="9" t="s">
        <v>821</v>
      </c>
      <c r="G78" s="9" t="s">
        <v>822</v>
      </c>
      <c r="H78" s="11" t="s">
        <v>3027</v>
      </c>
      <c r="I78" s="11">
        <f t="shared" si="1"/>
        <v>397</v>
      </c>
    </row>
    <row r="79" spans="1:9" x14ac:dyDescent="0.15">
      <c r="A79" s="9" t="s">
        <v>824</v>
      </c>
      <c r="B79" s="9" t="s">
        <v>825</v>
      </c>
      <c r="C79" s="9" t="s">
        <v>3202</v>
      </c>
      <c r="D79" s="9" t="s">
        <v>73</v>
      </c>
      <c r="E79" s="9" t="s">
        <v>1565</v>
      </c>
      <c r="F79" s="9" t="s">
        <v>264</v>
      </c>
      <c r="G79" s="9" t="s">
        <v>265</v>
      </c>
      <c r="H79" s="11" t="s">
        <v>3027</v>
      </c>
      <c r="I79" s="11">
        <f t="shared" si="1"/>
        <v>402</v>
      </c>
    </row>
    <row r="80" spans="1:9" x14ac:dyDescent="0.15">
      <c r="A80" s="9" t="s">
        <v>71</v>
      </c>
      <c r="B80" s="9" t="s">
        <v>72</v>
      </c>
      <c r="C80" s="9" t="s">
        <v>3217</v>
      </c>
      <c r="D80" s="9" t="s">
        <v>73</v>
      </c>
      <c r="E80" s="9" t="s">
        <v>74</v>
      </c>
      <c r="F80" s="9" t="s">
        <v>75</v>
      </c>
      <c r="G80" s="9" t="s">
        <v>76</v>
      </c>
      <c r="H80" s="11" t="s">
        <v>3036</v>
      </c>
      <c r="I80" s="11">
        <f t="shared" si="1"/>
        <v>406</v>
      </c>
    </row>
    <row r="81" spans="1:9" x14ac:dyDescent="0.15">
      <c r="A81" s="9" t="s">
        <v>2178</v>
      </c>
      <c r="B81" s="9" t="s">
        <v>2179</v>
      </c>
      <c r="C81" s="9" t="s">
        <v>3030</v>
      </c>
      <c r="D81" s="9" t="s">
        <v>304</v>
      </c>
      <c r="E81" s="9" t="s">
        <v>2180</v>
      </c>
      <c r="F81" s="9" t="s">
        <v>306</v>
      </c>
      <c r="G81" s="9" t="s">
        <v>307</v>
      </c>
      <c r="H81" s="11" t="s">
        <v>3027</v>
      </c>
      <c r="I81" s="11">
        <f t="shared" si="1"/>
        <v>411</v>
      </c>
    </row>
    <row r="82" spans="1:9" x14ac:dyDescent="0.15">
      <c r="A82" s="9" t="s">
        <v>302</v>
      </c>
      <c r="B82" s="9" t="s">
        <v>303</v>
      </c>
      <c r="C82" s="9" t="s">
        <v>3080</v>
      </c>
      <c r="D82" s="9" t="s">
        <v>304</v>
      </c>
      <c r="E82" s="9" t="s">
        <v>305</v>
      </c>
      <c r="F82" s="9" t="s">
        <v>306</v>
      </c>
      <c r="G82" s="9" t="s">
        <v>307</v>
      </c>
      <c r="H82" s="11" t="s">
        <v>3027</v>
      </c>
      <c r="I82" s="11">
        <f t="shared" si="1"/>
        <v>416</v>
      </c>
    </row>
    <row r="83" spans="1:9" x14ac:dyDescent="0.15">
      <c r="A83" s="9" t="s">
        <v>962</v>
      </c>
      <c r="B83" s="9" t="s">
        <v>963</v>
      </c>
      <c r="C83" s="9" t="s">
        <v>3095</v>
      </c>
      <c r="D83" s="9" t="s">
        <v>304</v>
      </c>
      <c r="E83" s="9" t="s">
        <v>964</v>
      </c>
      <c r="F83" s="9" t="s">
        <v>855</v>
      </c>
      <c r="G83" s="9" t="s">
        <v>856</v>
      </c>
      <c r="H83" s="11" t="s">
        <v>3027</v>
      </c>
      <c r="I83" s="11">
        <f t="shared" si="1"/>
        <v>421</v>
      </c>
    </row>
    <row r="84" spans="1:9" x14ac:dyDescent="0.15">
      <c r="A84" s="9" t="s">
        <v>306</v>
      </c>
      <c r="B84" s="9" t="s">
        <v>307</v>
      </c>
      <c r="C84" s="9" t="s">
        <v>3097</v>
      </c>
      <c r="D84" s="9" t="s">
        <v>304</v>
      </c>
      <c r="E84" s="9" t="s">
        <v>1840</v>
      </c>
      <c r="F84" s="9" t="s">
        <v>855</v>
      </c>
      <c r="G84" s="9" t="s">
        <v>856</v>
      </c>
      <c r="H84" s="11" t="s">
        <v>3029</v>
      </c>
      <c r="I84" s="11">
        <f t="shared" si="1"/>
        <v>427</v>
      </c>
    </row>
    <row r="85" spans="1:9" x14ac:dyDescent="0.15">
      <c r="A85" s="9" t="s">
        <v>1009</v>
      </c>
      <c r="B85" s="9" t="s">
        <v>1010</v>
      </c>
      <c r="C85" s="9" t="s">
        <v>3128</v>
      </c>
      <c r="D85" s="9" t="s">
        <v>304</v>
      </c>
      <c r="E85" s="9" t="s">
        <v>1011</v>
      </c>
      <c r="F85" s="9" t="s">
        <v>962</v>
      </c>
      <c r="G85" s="9" t="s">
        <v>963</v>
      </c>
      <c r="H85" s="11" t="s">
        <v>3029</v>
      </c>
      <c r="I85" s="11">
        <f t="shared" si="1"/>
        <v>433</v>
      </c>
    </row>
    <row r="86" spans="1:9" x14ac:dyDescent="0.15">
      <c r="A86" s="9" t="s">
        <v>1743</v>
      </c>
      <c r="B86" s="9" t="s">
        <v>1744</v>
      </c>
      <c r="C86" s="9" t="s">
        <v>3166</v>
      </c>
      <c r="D86" s="9" t="s">
        <v>304</v>
      </c>
      <c r="E86" s="9" t="s">
        <v>1745</v>
      </c>
      <c r="F86" s="9" t="s">
        <v>306</v>
      </c>
      <c r="G86" s="9" t="s">
        <v>307</v>
      </c>
      <c r="H86" s="11" t="s">
        <v>3029</v>
      </c>
      <c r="I86" s="11">
        <f t="shared" si="1"/>
        <v>439</v>
      </c>
    </row>
    <row r="87" spans="1:9" x14ac:dyDescent="0.15">
      <c r="A87" s="9" t="s">
        <v>1088</v>
      </c>
      <c r="B87" s="9" t="s">
        <v>1089</v>
      </c>
      <c r="C87" s="9" t="s">
        <v>3177</v>
      </c>
      <c r="D87" s="9" t="s">
        <v>304</v>
      </c>
      <c r="E87" s="9" t="s">
        <v>1090</v>
      </c>
      <c r="F87" s="9" t="s">
        <v>962</v>
      </c>
      <c r="G87" s="9" t="s">
        <v>963</v>
      </c>
      <c r="H87" s="11" t="s">
        <v>3029</v>
      </c>
      <c r="I87" s="11">
        <f t="shared" si="1"/>
        <v>445</v>
      </c>
    </row>
    <row r="88" spans="1:9" x14ac:dyDescent="0.15">
      <c r="A88" s="9" t="s">
        <v>2261</v>
      </c>
      <c r="B88" s="9" t="s">
        <v>2262</v>
      </c>
      <c r="C88" s="9" t="s">
        <v>3179</v>
      </c>
      <c r="D88" s="9" t="s">
        <v>304</v>
      </c>
      <c r="E88" s="9" t="s">
        <v>2263</v>
      </c>
      <c r="F88" s="9" t="s">
        <v>306</v>
      </c>
      <c r="G88" s="9" t="s">
        <v>307</v>
      </c>
      <c r="H88" s="11" t="s">
        <v>3029</v>
      </c>
      <c r="I88" s="11">
        <f t="shared" si="1"/>
        <v>451</v>
      </c>
    </row>
    <row r="89" spans="1:9" x14ac:dyDescent="0.15">
      <c r="A89" s="9" t="s">
        <v>855</v>
      </c>
      <c r="B89" s="9" t="s">
        <v>856</v>
      </c>
      <c r="C89" s="9" t="s">
        <v>3193</v>
      </c>
      <c r="D89" s="9" t="s">
        <v>304</v>
      </c>
      <c r="E89" s="9" t="s">
        <v>857</v>
      </c>
      <c r="F89" s="9" t="s">
        <v>264</v>
      </c>
      <c r="G89" s="9" t="s">
        <v>265</v>
      </c>
      <c r="H89" s="11" t="s">
        <v>3027</v>
      </c>
      <c r="I89" s="11">
        <f t="shared" si="1"/>
        <v>456</v>
      </c>
    </row>
    <row r="90" spans="1:9" x14ac:dyDescent="0.15">
      <c r="A90" s="9" t="s">
        <v>2644</v>
      </c>
      <c r="B90" s="9" t="s">
        <v>2645</v>
      </c>
      <c r="C90" s="9" t="s">
        <v>3053</v>
      </c>
      <c r="D90" s="9" t="s">
        <v>357</v>
      </c>
      <c r="E90" s="9" t="s">
        <v>2646</v>
      </c>
      <c r="F90" s="9" t="s">
        <v>359</v>
      </c>
      <c r="G90" s="9" t="s">
        <v>360</v>
      </c>
      <c r="H90" s="11" t="s">
        <v>3027</v>
      </c>
      <c r="I90" s="11">
        <f t="shared" si="1"/>
        <v>461</v>
      </c>
    </row>
    <row r="91" spans="1:9" x14ac:dyDescent="0.15">
      <c r="A91" s="9" t="s">
        <v>1874</v>
      </c>
      <c r="B91" s="9" t="s">
        <v>1875</v>
      </c>
      <c r="C91" s="9" t="s">
        <v>3063</v>
      </c>
      <c r="D91" s="9" t="s">
        <v>357</v>
      </c>
      <c r="E91" s="9" t="s">
        <v>1876</v>
      </c>
      <c r="F91" s="9" t="s">
        <v>355</v>
      </c>
      <c r="G91" s="9" t="s">
        <v>356</v>
      </c>
      <c r="H91" s="11" t="s">
        <v>3027</v>
      </c>
      <c r="I91" s="11">
        <f t="shared" si="1"/>
        <v>466</v>
      </c>
    </row>
    <row r="92" spans="1:9" x14ac:dyDescent="0.15">
      <c r="A92" s="9" t="s">
        <v>1306</v>
      </c>
      <c r="B92" s="9" t="s">
        <v>1307</v>
      </c>
      <c r="C92" s="9" t="s">
        <v>3210</v>
      </c>
      <c r="D92" s="9" t="s">
        <v>357</v>
      </c>
      <c r="E92" s="9" t="s">
        <v>1308</v>
      </c>
      <c r="F92" s="9" t="s">
        <v>359</v>
      </c>
      <c r="G92" s="9" t="s">
        <v>360</v>
      </c>
      <c r="H92" s="11" t="s">
        <v>3038</v>
      </c>
      <c r="I92" s="11">
        <f t="shared" si="1"/>
        <v>473</v>
      </c>
    </row>
    <row r="93" spans="1:9" x14ac:dyDescent="0.15">
      <c r="A93" s="9" t="s">
        <v>2223</v>
      </c>
      <c r="B93" s="9" t="s">
        <v>2224</v>
      </c>
      <c r="C93" s="9" t="s">
        <v>3220</v>
      </c>
      <c r="D93" s="9" t="s">
        <v>357</v>
      </c>
      <c r="E93" s="9" t="s">
        <v>1478</v>
      </c>
      <c r="F93" s="9" t="s">
        <v>359</v>
      </c>
      <c r="G93" s="9" t="s">
        <v>360</v>
      </c>
      <c r="H93" s="11" t="s">
        <v>3032</v>
      </c>
      <c r="I93" s="11">
        <f t="shared" si="1"/>
        <v>481</v>
      </c>
    </row>
    <row r="94" spans="1:9" x14ac:dyDescent="0.15">
      <c r="A94" s="9" t="s">
        <v>1476</v>
      </c>
      <c r="B94" s="9" t="s">
        <v>1477</v>
      </c>
      <c r="C94" s="9" t="s">
        <v>3231</v>
      </c>
      <c r="D94" s="9" t="s">
        <v>357</v>
      </c>
      <c r="E94" s="9" t="s">
        <v>1478</v>
      </c>
      <c r="F94" s="9" t="s">
        <v>359</v>
      </c>
      <c r="G94" s="9" t="s">
        <v>360</v>
      </c>
      <c r="H94" s="11" t="s">
        <v>3032</v>
      </c>
      <c r="I94" s="11">
        <f t="shared" si="1"/>
        <v>489</v>
      </c>
    </row>
    <row r="95" spans="1:9" x14ac:dyDescent="0.15">
      <c r="A95" s="9" t="s">
        <v>657</v>
      </c>
      <c r="B95" s="9" t="s">
        <v>658</v>
      </c>
      <c r="C95" s="9" t="s">
        <v>3239</v>
      </c>
      <c r="D95" s="9" t="s">
        <v>357</v>
      </c>
      <c r="E95" s="9" t="s">
        <v>659</v>
      </c>
      <c r="F95" s="9" t="s">
        <v>660</v>
      </c>
      <c r="G95" s="9" t="s">
        <v>661</v>
      </c>
      <c r="H95" s="11" t="s">
        <v>3029</v>
      </c>
      <c r="I95" s="11">
        <f t="shared" si="1"/>
        <v>495</v>
      </c>
    </row>
    <row r="96" spans="1:9" x14ac:dyDescent="0.15">
      <c r="A96" s="9" t="s">
        <v>359</v>
      </c>
      <c r="B96" s="9" t="s">
        <v>360</v>
      </c>
      <c r="C96" s="9" t="s">
        <v>3251</v>
      </c>
      <c r="D96" s="9" t="s">
        <v>357</v>
      </c>
      <c r="E96" s="9" t="s">
        <v>1022</v>
      </c>
      <c r="F96" s="9" t="s">
        <v>97</v>
      </c>
      <c r="G96" s="9" t="s">
        <v>98</v>
      </c>
      <c r="H96" s="11" t="s">
        <v>3038</v>
      </c>
      <c r="I96" s="11">
        <f t="shared" si="1"/>
        <v>502</v>
      </c>
    </row>
    <row r="97" spans="1:9" x14ac:dyDescent="0.15">
      <c r="A97" s="9" t="s">
        <v>2058</v>
      </c>
      <c r="B97" s="9" t="s">
        <v>2059</v>
      </c>
      <c r="C97" s="9" t="s">
        <v>3254</v>
      </c>
      <c r="D97" s="9" t="s">
        <v>357</v>
      </c>
      <c r="E97" s="9" t="s">
        <v>2060</v>
      </c>
      <c r="F97" s="9" t="s">
        <v>660</v>
      </c>
      <c r="G97" s="9" t="s">
        <v>661</v>
      </c>
      <c r="H97" s="11" t="s">
        <v>3027</v>
      </c>
      <c r="I97" s="11">
        <f t="shared" si="1"/>
        <v>507</v>
      </c>
    </row>
    <row r="98" spans="1:9" x14ac:dyDescent="0.15">
      <c r="A98" s="9" t="s">
        <v>2367</v>
      </c>
      <c r="B98" s="9" t="s">
        <v>2368</v>
      </c>
      <c r="C98" s="9" t="s">
        <v>3264</v>
      </c>
      <c r="D98" s="9" t="s">
        <v>357</v>
      </c>
      <c r="E98" s="9" t="s">
        <v>2369</v>
      </c>
      <c r="F98" s="9" t="s">
        <v>359</v>
      </c>
      <c r="G98" s="9" t="s">
        <v>360</v>
      </c>
      <c r="H98" s="11" t="s">
        <v>3038</v>
      </c>
      <c r="I98" s="11">
        <f t="shared" si="1"/>
        <v>514</v>
      </c>
    </row>
    <row r="99" spans="1:9" x14ac:dyDescent="0.15">
      <c r="A99" s="9" t="s">
        <v>2665</v>
      </c>
      <c r="B99" s="9" t="s">
        <v>2666</v>
      </c>
      <c r="C99" s="9" t="s">
        <v>3265</v>
      </c>
      <c r="D99" s="9" t="s">
        <v>357</v>
      </c>
      <c r="E99" s="9" t="s">
        <v>2667</v>
      </c>
      <c r="F99" s="9" t="s">
        <v>359</v>
      </c>
      <c r="G99" s="9" t="s">
        <v>360</v>
      </c>
      <c r="H99" s="11" t="s">
        <v>3038</v>
      </c>
      <c r="I99" s="11">
        <f t="shared" si="1"/>
        <v>521</v>
      </c>
    </row>
    <row r="100" spans="1:9" x14ac:dyDescent="0.15">
      <c r="A100" s="9" t="s">
        <v>2087</v>
      </c>
      <c r="B100" s="9" t="s">
        <v>2088</v>
      </c>
      <c r="C100" s="9" t="s">
        <v>3269</v>
      </c>
      <c r="D100" s="9" t="s">
        <v>357</v>
      </c>
      <c r="E100" s="9" t="s">
        <v>2089</v>
      </c>
      <c r="F100" s="9" t="s">
        <v>359</v>
      </c>
      <c r="G100" s="9" t="s">
        <v>360</v>
      </c>
      <c r="H100" s="11" t="s">
        <v>3038</v>
      </c>
      <c r="I100" s="11">
        <f t="shared" si="1"/>
        <v>528</v>
      </c>
    </row>
    <row r="101" spans="1:9" x14ac:dyDescent="0.15">
      <c r="A101" s="9" t="s">
        <v>660</v>
      </c>
      <c r="B101" s="9" t="s">
        <v>661</v>
      </c>
      <c r="C101" s="9" t="s">
        <v>3270</v>
      </c>
      <c r="D101" s="9" t="s">
        <v>357</v>
      </c>
      <c r="E101" s="9" t="s">
        <v>2567</v>
      </c>
      <c r="F101" s="9" t="s">
        <v>359</v>
      </c>
      <c r="G101" s="9" t="s">
        <v>360</v>
      </c>
      <c r="H101" s="11" t="s">
        <v>3029</v>
      </c>
      <c r="I101" s="11">
        <f t="shared" si="1"/>
        <v>534</v>
      </c>
    </row>
    <row r="102" spans="1:9" x14ac:dyDescent="0.15">
      <c r="A102" s="9" t="s">
        <v>414</v>
      </c>
      <c r="B102" s="9" t="s">
        <v>415</v>
      </c>
      <c r="C102" s="9" t="s">
        <v>3271</v>
      </c>
      <c r="D102" s="9" t="s">
        <v>357</v>
      </c>
      <c r="E102" s="9" t="s">
        <v>416</v>
      </c>
      <c r="F102" s="9" t="s">
        <v>359</v>
      </c>
      <c r="G102" s="9" t="s">
        <v>360</v>
      </c>
      <c r="H102" s="11" t="s">
        <v>3056</v>
      </c>
      <c r="I102" s="11">
        <f t="shared" si="1"/>
        <v>543</v>
      </c>
    </row>
    <row r="103" spans="1:9" x14ac:dyDescent="0.15">
      <c r="A103" s="9" t="s">
        <v>355</v>
      </c>
      <c r="B103" s="9" t="s">
        <v>356</v>
      </c>
      <c r="C103" s="9" t="s">
        <v>3282</v>
      </c>
      <c r="D103" s="9" t="s">
        <v>357</v>
      </c>
      <c r="E103" s="9" t="s">
        <v>358</v>
      </c>
      <c r="F103" s="9" t="s">
        <v>359</v>
      </c>
      <c r="G103" s="9" t="s">
        <v>360</v>
      </c>
      <c r="H103" s="11" t="s">
        <v>3029</v>
      </c>
      <c r="I103" s="11">
        <f t="shared" si="1"/>
        <v>549</v>
      </c>
    </row>
    <row r="104" spans="1:9" x14ac:dyDescent="0.15">
      <c r="A104" s="9" t="s">
        <v>1913</v>
      </c>
      <c r="B104" s="9" t="s">
        <v>1914</v>
      </c>
      <c r="C104" s="9" t="s">
        <v>3284</v>
      </c>
      <c r="D104" s="9" t="s">
        <v>357</v>
      </c>
      <c r="E104" s="9" t="s">
        <v>1915</v>
      </c>
      <c r="F104" s="9" t="s">
        <v>359</v>
      </c>
      <c r="G104" s="9" t="s">
        <v>360</v>
      </c>
      <c r="H104" s="11" t="s">
        <v>3027</v>
      </c>
      <c r="I104" s="11">
        <f t="shared" si="1"/>
        <v>554</v>
      </c>
    </row>
    <row r="105" spans="1:9" x14ac:dyDescent="0.15">
      <c r="A105" s="9" t="s">
        <v>776</v>
      </c>
      <c r="B105" s="9" t="s">
        <v>777</v>
      </c>
      <c r="C105" s="9" t="s">
        <v>3291</v>
      </c>
      <c r="D105" s="9" t="s">
        <v>357</v>
      </c>
      <c r="E105" s="9" t="s">
        <v>778</v>
      </c>
      <c r="F105" s="9" t="s">
        <v>359</v>
      </c>
      <c r="G105" s="9" t="s">
        <v>360</v>
      </c>
      <c r="H105" s="11" t="s">
        <v>3032</v>
      </c>
      <c r="I105" s="11">
        <f t="shared" si="1"/>
        <v>562</v>
      </c>
    </row>
    <row r="106" spans="1:9" x14ac:dyDescent="0.15">
      <c r="A106" s="9" t="s">
        <v>1526</v>
      </c>
      <c r="B106" s="9" t="s">
        <v>1527</v>
      </c>
      <c r="C106" s="9" t="s">
        <v>3307</v>
      </c>
      <c r="D106" s="9" t="s">
        <v>357</v>
      </c>
      <c r="E106" s="9" t="s">
        <v>1528</v>
      </c>
      <c r="F106" s="9" t="s">
        <v>660</v>
      </c>
      <c r="G106" s="9" t="s">
        <v>661</v>
      </c>
      <c r="H106" s="11" t="s">
        <v>3029</v>
      </c>
      <c r="I106" s="11">
        <f t="shared" si="1"/>
        <v>568</v>
      </c>
    </row>
    <row r="107" spans="1:9" x14ac:dyDescent="0.15">
      <c r="A107" s="9" t="s">
        <v>3317</v>
      </c>
      <c r="B107" s="9" t="s">
        <v>3318</v>
      </c>
      <c r="C107" s="9" t="s">
        <v>3319</v>
      </c>
      <c r="D107" s="9" t="s">
        <v>357</v>
      </c>
      <c r="E107" s="9" t="s">
        <v>3320</v>
      </c>
      <c r="F107" s="9" t="s">
        <v>355</v>
      </c>
      <c r="G107" s="9" t="s">
        <v>356</v>
      </c>
      <c r="H107" s="11" t="s">
        <v>3042</v>
      </c>
      <c r="I107" s="11">
        <f t="shared" si="1"/>
        <v>568</v>
      </c>
    </row>
    <row r="108" spans="1:9" x14ac:dyDescent="0.15">
      <c r="A108" s="9" t="s">
        <v>978</v>
      </c>
      <c r="B108" s="9" t="s">
        <v>979</v>
      </c>
      <c r="C108" s="9" t="s">
        <v>3068</v>
      </c>
      <c r="D108" s="9" t="s">
        <v>894</v>
      </c>
      <c r="E108" s="9" t="s">
        <v>2419</v>
      </c>
      <c r="F108" s="9" t="s">
        <v>294</v>
      </c>
      <c r="G108" s="9" t="s">
        <v>295</v>
      </c>
      <c r="H108" s="11" t="s">
        <v>3029</v>
      </c>
      <c r="I108" s="11">
        <f t="shared" si="1"/>
        <v>574</v>
      </c>
    </row>
    <row r="109" spans="1:9" x14ac:dyDescent="0.15">
      <c r="A109" s="9" t="s">
        <v>1906</v>
      </c>
      <c r="B109" s="9" t="s">
        <v>1907</v>
      </c>
      <c r="C109" s="9" t="s">
        <v>3077</v>
      </c>
      <c r="D109" s="9" t="s">
        <v>894</v>
      </c>
      <c r="E109" s="9" t="s">
        <v>1823</v>
      </c>
      <c r="F109" s="9" t="s">
        <v>896</v>
      </c>
      <c r="G109" s="9" t="s">
        <v>897</v>
      </c>
      <c r="H109" s="11" t="s">
        <v>3027</v>
      </c>
      <c r="I109" s="11">
        <f t="shared" si="1"/>
        <v>579</v>
      </c>
    </row>
    <row r="110" spans="1:9" x14ac:dyDescent="0.15">
      <c r="A110" s="9" t="s">
        <v>2727</v>
      </c>
      <c r="B110" s="9" t="s">
        <v>2728</v>
      </c>
      <c r="C110" s="9" t="s">
        <v>3127</v>
      </c>
      <c r="D110" s="9" t="s">
        <v>894</v>
      </c>
      <c r="E110" s="9" t="s">
        <v>2729</v>
      </c>
      <c r="F110" s="9" t="s">
        <v>2147</v>
      </c>
      <c r="G110" s="9" t="s">
        <v>2148</v>
      </c>
      <c r="H110" s="11" t="s">
        <v>3029</v>
      </c>
      <c r="I110" s="11">
        <f t="shared" si="1"/>
        <v>585</v>
      </c>
    </row>
    <row r="111" spans="1:9" x14ac:dyDescent="0.15">
      <c r="A111" s="9" t="s">
        <v>1821</v>
      </c>
      <c r="B111" s="9" t="s">
        <v>1822</v>
      </c>
      <c r="C111" s="9" t="s">
        <v>3136</v>
      </c>
      <c r="D111" s="9" t="s">
        <v>894</v>
      </c>
      <c r="E111" s="9" t="s">
        <v>1823</v>
      </c>
      <c r="F111" s="9" t="s">
        <v>896</v>
      </c>
      <c r="G111" s="9" t="s">
        <v>897</v>
      </c>
      <c r="H111" s="11" t="s">
        <v>3027</v>
      </c>
      <c r="I111" s="11">
        <f t="shared" si="1"/>
        <v>590</v>
      </c>
    </row>
    <row r="112" spans="1:9" x14ac:dyDescent="0.15">
      <c r="A112" s="9" t="s">
        <v>2357</v>
      </c>
      <c r="B112" s="9" t="s">
        <v>2358</v>
      </c>
      <c r="C112" s="9" t="s">
        <v>3139</v>
      </c>
      <c r="D112" s="9" t="s">
        <v>894</v>
      </c>
      <c r="E112" s="9" t="s">
        <v>2359</v>
      </c>
      <c r="F112" s="9" t="s">
        <v>896</v>
      </c>
      <c r="G112" s="9" t="s">
        <v>897</v>
      </c>
      <c r="H112" s="11" t="s">
        <v>3027</v>
      </c>
      <c r="I112" s="11">
        <f t="shared" si="1"/>
        <v>595</v>
      </c>
    </row>
    <row r="113" spans="1:9" x14ac:dyDescent="0.15">
      <c r="A113" s="9" t="s">
        <v>2860</v>
      </c>
      <c r="B113" s="9" t="s">
        <v>2861</v>
      </c>
      <c r="C113" s="9" t="s">
        <v>3174</v>
      </c>
      <c r="D113" s="9" t="s">
        <v>894</v>
      </c>
      <c r="E113" s="9" t="s">
        <v>2862</v>
      </c>
      <c r="F113" s="9" t="s">
        <v>2147</v>
      </c>
      <c r="G113" s="9" t="s">
        <v>2148</v>
      </c>
      <c r="H113" s="11" t="s">
        <v>3029</v>
      </c>
      <c r="I113" s="11">
        <f t="shared" si="1"/>
        <v>601</v>
      </c>
    </row>
    <row r="114" spans="1:9" x14ac:dyDescent="0.15">
      <c r="A114" s="9" t="s">
        <v>892</v>
      </c>
      <c r="B114" s="9" t="s">
        <v>893</v>
      </c>
      <c r="C114" s="9" t="s">
        <v>3211</v>
      </c>
      <c r="D114" s="9" t="s">
        <v>894</v>
      </c>
      <c r="E114" s="9" t="s">
        <v>895</v>
      </c>
      <c r="F114" s="9" t="s">
        <v>896</v>
      </c>
      <c r="G114" s="9" t="s">
        <v>897</v>
      </c>
      <c r="H114" s="11" t="s">
        <v>3027</v>
      </c>
      <c r="I114" s="11">
        <f t="shared" si="1"/>
        <v>606</v>
      </c>
    </row>
    <row r="115" spans="1:9" x14ac:dyDescent="0.15">
      <c r="A115" s="9" t="s">
        <v>896</v>
      </c>
      <c r="B115" s="9" t="s">
        <v>897</v>
      </c>
      <c r="C115" s="9" t="s">
        <v>3237</v>
      </c>
      <c r="D115" s="9" t="s">
        <v>894</v>
      </c>
      <c r="E115" s="9" t="s">
        <v>977</v>
      </c>
      <c r="F115" s="9" t="s">
        <v>978</v>
      </c>
      <c r="G115" s="9" t="s">
        <v>979</v>
      </c>
      <c r="H115" s="11" t="s">
        <v>3029</v>
      </c>
      <c r="I115" s="11">
        <f t="shared" si="1"/>
        <v>612</v>
      </c>
    </row>
    <row r="116" spans="1:9" x14ac:dyDescent="0.15">
      <c r="A116" s="9" t="s">
        <v>3299</v>
      </c>
      <c r="B116" s="9" t="s">
        <v>3300</v>
      </c>
      <c r="C116" s="9" t="s">
        <v>3301</v>
      </c>
      <c r="D116" s="9" t="s">
        <v>894</v>
      </c>
      <c r="E116" s="9" t="s">
        <v>3302</v>
      </c>
      <c r="F116" s="9" t="s">
        <v>896</v>
      </c>
      <c r="G116" s="9" t="s">
        <v>897</v>
      </c>
      <c r="H116" s="11" t="s">
        <v>3042</v>
      </c>
      <c r="I116" s="11">
        <f t="shared" si="1"/>
        <v>612</v>
      </c>
    </row>
    <row r="117" spans="1:9" x14ac:dyDescent="0.15">
      <c r="A117" s="9" t="s">
        <v>2147</v>
      </c>
      <c r="B117" s="9" t="s">
        <v>2148</v>
      </c>
      <c r="C117" s="9" t="s">
        <v>3310</v>
      </c>
      <c r="D117" s="9" t="s">
        <v>894</v>
      </c>
      <c r="E117" s="9" t="s">
        <v>2149</v>
      </c>
      <c r="F117" s="9" t="s">
        <v>978</v>
      </c>
      <c r="G117" s="9" t="s">
        <v>979</v>
      </c>
      <c r="H117" s="11" t="s">
        <v>3038</v>
      </c>
      <c r="I117" s="11">
        <f t="shared" si="1"/>
        <v>619</v>
      </c>
    </row>
    <row r="118" spans="1:9" x14ac:dyDescent="0.15">
      <c r="A118" s="9" t="s">
        <v>1895</v>
      </c>
      <c r="B118" s="9" t="s">
        <v>1896</v>
      </c>
      <c r="C118" s="9" t="s">
        <v>3098</v>
      </c>
      <c r="D118" s="9" t="s">
        <v>245</v>
      </c>
      <c r="E118" s="9" t="s">
        <v>1897</v>
      </c>
      <c r="F118" s="9" t="s">
        <v>243</v>
      </c>
      <c r="G118" s="9" t="s">
        <v>244</v>
      </c>
      <c r="H118" s="11" t="s">
        <v>3029</v>
      </c>
      <c r="I118" s="11">
        <f t="shared" si="1"/>
        <v>625</v>
      </c>
    </row>
    <row r="119" spans="1:9" x14ac:dyDescent="0.15">
      <c r="A119" s="9" t="s">
        <v>2510</v>
      </c>
      <c r="B119" s="9" t="s">
        <v>2511</v>
      </c>
      <c r="C119" s="9" t="s">
        <v>3120</v>
      </c>
      <c r="D119" s="9" t="s">
        <v>245</v>
      </c>
      <c r="E119" s="9" t="s">
        <v>2512</v>
      </c>
      <c r="F119" s="9" t="s">
        <v>243</v>
      </c>
      <c r="G119" s="9" t="s">
        <v>244</v>
      </c>
      <c r="H119" s="11" t="s">
        <v>3029</v>
      </c>
      <c r="I119" s="11">
        <f t="shared" si="1"/>
        <v>631</v>
      </c>
    </row>
    <row r="120" spans="1:9" x14ac:dyDescent="0.15">
      <c r="A120" s="9" t="s">
        <v>2742</v>
      </c>
      <c r="B120" s="9" t="s">
        <v>2743</v>
      </c>
      <c r="C120" s="9" t="s">
        <v>3142</v>
      </c>
      <c r="D120" s="9" t="s">
        <v>245</v>
      </c>
      <c r="E120" s="9" t="s">
        <v>2744</v>
      </c>
      <c r="F120" s="9" t="s">
        <v>243</v>
      </c>
      <c r="G120" s="9" t="s">
        <v>244</v>
      </c>
      <c r="H120" s="11" t="s">
        <v>3029</v>
      </c>
      <c r="I120" s="11">
        <f t="shared" si="1"/>
        <v>637</v>
      </c>
    </row>
    <row r="121" spans="1:9" x14ac:dyDescent="0.15">
      <c r="A121" s="9" t="s">
        <v>247</v>
      </c>
      <c r="B121" s="9" t="s">
        <v>248</v>
      </c>
      <c r="C121" s="9" t="s">
        <v>3215</v>
      </c>
      <c r="D121" s="9" t="s">
        <v>245</v>
      </c>
      <c r="E121" s="9" t="s">
        <v>731</v>
      </c>
      <c r="F121" s="9" t="s">
        <v>732</v>
      </c>
      <c r="G121" s="9" t="s">
        <v>733</v>
      </c>
      <c r="H121" s="11" t="s">
        <v>3027</v>
      </c>
      <c r="I121" s="11">
        <f t="shared" si="1"/>
        <v>642</v>
      </c>
    </row>
    <row r="122" spans="1:9" x14ac:dyDescent="0.15">
      <c r="A122" s="9" t="s">
        <v>2448</v>
      </c>
      <c r="B122" s="9" t="s">
        <v>2449</v>
      </c>
      <c r="C122" s="9" t="s">
        <v>3242</v>
      </c>
      <c r="D122" s="9" t="s">
        <v>245</v>
      </c>
      <c r="E122" s="9" t="s">
        <v>2450</v>
      </c>
      <c r="F122" s="9" t="s">
        <v>924</v>
      </c>
      <c r="G122" s="9" t="s">
        <v>925</v>
      </c>
      <c r="H122" s="11" t="s">
        <v>3029</v>
      </c>
      <c r="I122" s="11">
        <f t="shared" si="1"/>
        <v>648</v>
      </c>
    </row>
    <row r="123" spans="1:9" x14ac:dyDescent="0.15">
      <c r="A123" s="9" t="s">
        <v>924</v>
      </c>
      <c r="B123" s="9" t="s">
        <v>925</v>
      </c>
      <c r="C123" s="9" t="s">
        <v>3250</v>
      </c>
      <c r="D123" s="9" t="s">
        <v>245</v>
      </c>
      <c r="E123" s="9" t="s">
        <v>2578</v>
      </c>
      <c r="F123" s="9" t="s">
        <v>247</v>
      </c>
      <c r="G123" s="9" t="s">
        <v>248</v>
      </c>
      <c r="H123" s="11" t="s">
        <v>3029</v>
      </c>
      <c r="I123" s="11">
        <f t="shared" si="1"/>
        <v>654</v>
      </c>
    </row>
    <row r="124" spans="1:9" x14ac:dyDescent="0.15">
      <c r="A124" s="9" t="s">
        <v>2689</v>
      </c>
      <c r="B124" s="9" t="s">
        <v>2690</v>
      </c>
      <c r="C124" s="9" t="s">
        <v>3273</v>
      </c>
      <c r="D124" s="9" t="s">
        <v>245</v>
      </c>
      <c r="E124" s="9" t="s">
        <v>2691</v>
      </c>
      <c r="F124" s="9" t="s">
        <v>924</v>
      </c>
      <c r="G124" s="9" t="s">
        <v>925</v>
      </c>
      <c r="H124" s="11" t="s">
        <v>3029</v>
      </c>
      <c r="I124" s="11">
        <f t="shared" si="1"/>
        <v>660</v>
      </c>
    </row>
    <row r="125" spans="1:9" x14ac:dyDescent="0.15">
      <c r="A125" s="9" t="s">
        <v>1125</v>
      </c>
      <c r="B125" s="9" t="s">
        <v>1126</v>
      </c>
      <c r="C125" s="9" t="s">
        <v>3303</v>
      </c>
      <c r="D125" s="9" t="s">
        <v>245</v>
      </c>
      <c r="E125" s="9" t="s">
        <v>1127</v>
      </c>
      <c r="F125" s="9" t="s">
        <v>243</v>
      </c>
      <c r="G125" s="9" t="s">
        <v>244</v>
      </c>
      <c r="H125" s="11" t="s">
        <v>3029</v>
      </c>
      <c r="I125" s="11">
        <f t="shared" si="1"/>
        <v>666</v>
      </c>
    </row>
    <row r="126" spans="1:9" x14ac:dyDescent="0.15">
      <c r="A126" s="9" t="s">
        <v>1221</v>
      </c>
      <c r="B126" s="9" t="s">
        <v>1222</v>
      </c>
      <c r="C126" s="9" t="s">
        <v>3309</v>
      </c>
      <c r="D126" s="9" t="s">
        <v>245</v>
      </c>
      <c r="E126" s="9" t="s">
        <v>923</v>
      </c>
      <c r="F126" s="9" t="s">
        <v>924</v>
      </c>
      <c r="G126" s="9" t="s">
        <v>925</v>
      </c>
      <c r="H126" s="11" t="s">
        <v>3027</v>
      </c>
      <c r="I126" s="11">
        <f t="shared" si="1"/>
        <v>671</v>
      </c>
    </row>
    <row r="127" spans="1:9" x14ac:dyDescent="0.15">
      <c r="A127" s="9" t="s">
        <v>243</v>
      </c>
      <c r="B127" s="9" t="s">
        <v>244</v>
      </c>
      <c r="C127" s="9" t="s">
        <v>3313</v>
      </c>
      <c r="D127" s="9" t="s">
        <v>245</v>
      </c>
      <c r="E127" s="9" t="s">
        <v>246</v>
      </c>
      <c r="F127" s="9" t="s">
        <v>247</v>
      </c>
      <c r="G127" s="9" t="s">
        <v>248</v>
      </c>
      <c r="H127" s="11" t="s">
        <v>3029</v>
      </c>
      <c r="I127" s="11">
        <f t="shared" si="1"/>
        <v>677</v>
      </c>
    </row>
    <row r="128" spans="1:9" x14ac:dyDescent="0.15">
      <c r="A128" s="9" t="s">
        <v>921</v>
      </c>
      <c r="B128" s="9" t="s">
        <v>922</v>
      </c>
      <c r="C128" s="9" t="s">
        <v>3314</v>
      </c>
      <c r="D128" s="9" t="s">
        <v>245</v>
      </c>
      <c r="E128" s="9" t="s">
        <v>923</v>
      </c>
      <c r="F128" s="9" t="s">
        <v>924</v>
      </c>
      <c r="G128" s="9" t="s">
        <v>925</v>
      </c>
      <c r="H128" s="11" t="s">
        <v>3027</v>
      </c>
      <c r="I128" s="11">
        <f t="shared" si="1"/>
        <v>682</v>
      </c>
    </row>
    <row r="129" spans="1:9" x14ac:dyDescent="0.15">
      <c r="A129" s="9" t="s">
        <v>1590</v>
      </c>
      <c r="B129" s="9" t="s">
        <v>1591</v>
      </c>
      <c r="C129" s="9" t="s">
        <v>3045</v>
      </c>
      <c r="D129" s="9" t="s">
        <v>375</v>
      </c>
      <c r="E129" s="9" t="s">
        <v>376</v>
      </c>
      <c r="F129" s="9" t="s">
        <v>377</v>
      </c>
      <c r="G129" s="9" t="s">
        <v>378</v>
      </c>
      <c r="H129" s="11" t="s">
        <v>3027</v>
      </c>
      <c r="I129" s="11">
        <f t="shared" si="1"/>
        <v>687</v>
      </c>
    </row>
    <row r="130" spans="1:9" x14ac:dyDescent="0.15">
      <c r="A130" s="9" t="s">
        <v>403</v>
      </c>
      <c r="B130" s="9" t="s">
        <v>404</v>
      </c>
      <c r="C130" s="9" t="s">
        <v>3105</v>
      </c>
      <c r="D130" s="9" t="s">
        <v>375</v>
      </c>
      <c r="E130" s="9" t="s">
        <v>376</v>
      </c>
      <c r="F130" s="9" t="s">
        <v>377</v>
      </c>
      <c r="G130" s="9" t="s">
        <v>378</v>
      </c>
      <c r="H130" s="11" t="s">
        <v>3027</v>
      </c>
      <c r="I130" s="11">
        <f t="shared" si="1"/>
        <v>692</v>
      </c>
    </row>
    <row r="131" spans="1:9" x14ac:dyDescent="0.15">
      <c r="A131" s="9" t="s">
        <v>2770</v>
      </c>
      <c r="B131" s="9" t="s">
        <v>2771</v>
      </c>
      <c r="C131" s="9" t="s">
        <v>3110</v>
      </c>
      <c r="D131" s="9" t="s">
        <v>375</v>
      </c>
      <c r="E131" s="9" t="s">
        <v>2772</v>
      </c>
      <c r="F131" s="9" t="s">
        <v>377</v>
      </c>
      <c r="G131" s="9" t="s">
        <v>378</v>
      </c>
      <c r="H131" s="11" t="s">
        <v>3027</v>
      </c>
      <c r="I131" s="11">
        <f t="shared" ref="I131:I194" si="2">+I130+H131</f>
        <v>697</v>
      </c>
    </row>
    <row r="132" spans="1:9" x14ac:dyDescent="0.15">
      <c r="A132" s="9" t="s">
        <v>373</v>
      </c>
      <c r="B132" s="9" t="s">
        <v>374</v>
      </c>
      <c r="C132" s="9" t="s">
        <v>3256</v>
      </c>
      <c r="D132" s="9" t="s">
        <v>375</v>
      </c>
      <c r="E132" s="9" t="s">
        <v>376</v>
      </c>
      <c r="F132" s="9" t="s">
        <v>377</v>
      </c>
      <c r="G132" s="9" t="s">
        <v>378</v>
      </c>
      <c r="H132" s="11" t="s">
        <v>3027</v>
      </c>
      <c r="I132" s="11">
        <f t="shared" si="2"/>
        <v>702</v>
      </c>
    </row>
    <row r="133" spans="1:9" x14ac:dyDescent="0.15">
      <c r="A133" s="9" t="s">
        <v>377</v>
      </c>
      <c r="B133" s="9" t="s">
        <v>378</v>
      </c>
      <c r="C133" s="9" t="s">
        <v>3315</v>
      </c>
      <c r="D133" s="9" t="s">
        <v>375</v>
      </c>
      <c r="E133" s="9" t="s">
        <v>1230</v>
      </c>
      <c r="F133" s="9" t="s">
        <v>864</v>
      </c>
      <c r="G133" s="9" t="s">
        <v>865</v>
      </c>
      <c r="H133" s="11" t="s">
        <v>3029</v>
      </c>
      <c r="I133" s="11">
        <f t="shared" si="2"/>
        <v>708</v>
      </c>
    </row>
    <row r="134" spans="1:9" x14ac:dyDescent="0.15">
      <c r="A134" s="9" t="s">
        <v>1731</v>
      </c>
      <c r="B134" s="9" t="s">
        <v>1732</v>
      </c>
      <c r="C134" s="9" t="s">
        <v>3037</v>
      </c>
      <c r="D134" s="9" t="s">
        <v>530</v>
      </c>
      <c r="E134" s="9" t="s">
        <v>1733</v>
      </c>
      <c r="F134" s="9" t="s">
        <v>532</v>
      </c>
      <c r="G134" s="9" t="s">
        <v>533</v>
      </c>
      <c r="H134" s="11" t="s">
        <v>3038</v>
      </c>
      <c r="I134" s="11">
        <f t="shared" si="2"/>
        <v>715</v>
      </c>
    </row>
    <row r="135" spans="1:9" x14ac:dyDescent="0.15">
      <c r="A135" s="9" t="s">
        <v>2156</v>
      </c>
      <c r="B135" s="9" t="s">
        <v>2157</v>
      </c>
      <c r="C135" s="9" t="s">
        <v>3069</v>
      </c>
      <c r="D135" s="9" t="s">
        <v>530</v>
      </c>
      <c r="E135" s="9" t="s">
        <v>2158</v>
      </c>
      <c r="F135" s="9" t="s">
        <v>532</v>
      </c>
      <c r="G135" s="9" t="s">
        <v>533</v>
      </c>
      <c r="H135" s="11" t="s">
        <v>3038</v>
      </c>
      <c r="I135" s="11">
        <f t="shared" si="2"/>
        <v>722</v>
      </c>
    </row>
    <row r="136" spans="1:9" x14ac:dyDescent="0.15">
      <c r="A136" s="9" t="s">
        <v>532</v>
      </c>
      <c r="B136" s="9" t="s">
        <v>533</v>
      </c>
      <c r="C136" s="9" t="s">
        <v>3085</v>
      </c>
      <c r="D136" s="9" t="s">
        <v>530</v>
      </c>
      <c r="E136" s="9" t="s">
        <v>1609</v>
      </c>
      <c r="F136" s="9" t="s">
        <v>97</v>
      </c>
      <c r="G136" s="9" t="s">
        <v>98</v>
      </c>
      <c r="H136" s="11" t="s">
        <v>3038</v>
      </c>
      <c r="I136" s="11">
        <f t="shared" si="2"/>
        <v>729</v>
      </c>
    </row>
    <row r="137" spans="1:9" x14ac:dyDescent="0.15">
      <c r="A137" s="9" t="s">
        <v>1462</v>
      </c>
      <c r="B137" s="9" t="s">
        <v>1463</v>
      </c>
      <c r="C137" s="9" t="s">
        <v>3094</v>
      </c>
      <c r="D137" s="9" t="s">
        <v>530</v>
      </c>
      <c r="E137" s="9" t="s">
        <v>1464</v>
      </c>
      <c r="F137" s="9" t="s">
        <v>532</v>
      </c>
      <c r="G137" s="9" t="s">
        <v>533</v>
      </c>
      <c r="H137" s="11" t="s">
        <v>3038</v>
      </c>
      <c r="I137" s="11">
        <f t="shared" si="2"/>
        <v>736</v>
      </c>
    </row>
    <row r="138" spans="1:9" x14ac:dyDescent="0.15">
      <c r="A138" s="9" t="s">
        <v>794</v>
      </c>
      <c r="B138" s="9" t="s">
        <v>795</v>
      </c>
      <c r="C138" s="9" t="s">
        <v>3109</v>
      </c>
      <c r="D138" s="9" t="s">
        <v>530</v>
      </c>
      <c r="E138" s="9" t="s">
        <v>796</v>
      </c>
      <c r="F138" s="9" t="s">
        <v>532</v>
      </c>
      <c r="G138" s="9" t="s">
        <v>533</v>
      </c>
      <c r="H138" s="11" t="s">
        <v>3032</v>
      </c>
      <c r="I138" s="11">
        <f t="shared" si="2"/>
        <v>744</v>
      </c>
    </row>
    <row r="139" spans="1:9" x14ac:dyDescent="0.15">
      <c r="A139" s="9" t="s">
        <v>528</v>
      </c>
      <c r="B139" s="9" t="s">
        <v>529</v>
      </c>
      <c r="C139" s="9" t="s">
        <v>3137</v>
      </c>
      <c r="D139" s="9" t="s">
        <v>530</v>
      </c>
      <c r="E139" s="9" t="s">
        <v>531</v>
      </c>
      <c r="F139" s="9" t="s">
        <v>532</v>
      </c>
      <c r="G139" s="9" t="s">
        <v>533</v>
      </c>
      <c r="H139" s="11" t="s">
        <v>3038</v>
      </c>
      <c r="I139" s="11">
        <f t="shared" si="2"/>
        <v>751</v>
      </c>
    </row>
    <row r="140" spans="1:9" x14ac:dyDescent="0.15">
      <c r="A140" s="9" t="s">
        <v>2521</v>
      </c>
      <c r="B140" s="9" t="s">
        <v>2522</v>
      </c>
      <c r="C140" s="9" t="s">
        <v>3154</v>
      </c>
      <c r="D140" s="9" t="s">
        <v>530</v>
      </c>
      <c r="E140" s="9" t="s">
        <v>2523</v>
      </c>
      <c r="F140" s="9" t="s">
        <v>532</v>
      </c>
      <c r="G140" s="9" t="s">
        <v>533</v>
      </c>
      <c r="H140" s="11" t="s">
        <v>3038</v>
      </c>
      <c r="I140" s="11">
        <f t="shared" si="2"/>
        <v>758</v>
      </c>
    </row>
    <row r="141" spans="1:9" x14ac:dyDescent="0.15">
      <c r="A141" s="9" t="s">
        <v>1953</v>
      </c>
      <c r="B141" s="9" t="s">
        <v>1954</v>
      </c>
      <c r="C141" s="9" t="s">
        <v>3158</v>
      </c>
      <c r="D141" s="9" t="s">
        <v>530</v>
      </c>
      <c r="E141" s="9" t="s">
        <v>1955</v>
      </c>
      <c r="F141" s="9" t="s">
        <v>532</v>
      </c>
      <c r="G141" s="9" t="s">
        <v>533</v>
      </c>
      <c r="H141" s="11" t="s">
        <v>3038</v>
      </c>
      <c r="I141" s="11">
        <f t="shared" si="2"/>
        <v>765</v>
      </c>
    </row>
    <row r="142" spans="1:9" x14ac:dyDescent="0.15">
      <c r="A142" s="9" t="s">
        <v>2400</v>
      </c>
      <c r="B142" s="9" t="s">
        <v>2401</v>
      </c>
      <c r="C142" s="9" t="s">
        <v>3241</v>
      </c>
      <c r="D142" s="9" t="s">
        <v>530</v>
      </c>
      <c r="E142" s="9" t="s">
        <v>2402</v>
      </c>
      <c r="F142" s="9" t="s">
        <v>97</v>
      </c>
      <c r="G142" s="9" t="s">
        <v>98</v>
      </c>
      <c r="H142" s="11" t="s">
        <v>3027</v>
      </c>
      <c r="I142" s="11">
        <f t="shared" si="2"/>
        <v>770</v>
      </c>
    </row>
    <row r="143" spans="1:9" x14ac:dyDescent="0.15">
      <c r="A143" s="9" t="s">
        <v>1322</v>
      </c>
      <c r="B143" s="9" t="s">
        <v>1323</v>
      </c>
      <c r="C143" s="9" t="s">
        <v>3100</v>
      </c>
      <c r="D143" s="9" t="s">
        <v>111</v>
      </c>
      <c r="E143" s="9" t="s">
        <v>1324</v>
      </c>
      <c r="F143" s="9" t="s">
        <v>1325</v>
      </c>
      <c r="G143" s="9" t="s">
        <v>1326</v>
      </c>
      <c r="H143" s="11" t="s">
        <v>3036</v>
      </c>
      <c r="I143" s="11">
        <f t="shared" si="2"/>
        <v>774</v>
      </c>
    </row>
    <row r="144" spans="1:9" x14ac:dyDescent="0.15">
      <c r="A144" s="9" t="s">
        <v>1325</v>
      </c>
      <c r="B144" s="9" t="s">
        <v>1326</v>
      </c>
      <c r="C144" s="9" t="s">
        <v>3201</v>
      </c>
      <c r="D144" s="9" t="s">
        <v>111</v>
      </c>
      <c r="E144" s="9" t="s">
        <v>2320</v>
      </c>
      <c r="F144" s="9" t="s">
        <v>1418</v>
      </c>
      <c r="G144" s="9" t="s">
        <v>1419</v>
      </c>
      <c r="H144" s="11" t="s">
        <v>3027</v>
      </c>
      <c r="I144" s="11">
        <f t="shared" si="2"/>
        <v>779</v>
      </c>
    </row>
    <row r="145" spans="1:9" x14ac:dyDescent="0.15">
      <c r="A145" s="9" t="s">
        <v>2337</v>
      </c>
      <c r="B145" s="9" t="s">
        <v>2338</v>
      </c>
      <c r="C145" s="9" t="s">
        <v>3209</v>
      </c>
      <c r="D145" s="9" t="s">
        <v>111</v>
      </c>
      <c r="E145" s="9" t="s">
        <v>2339</v>
      </c>
      <c r="F145" s="9" t="s">
        <v>2248</v>
      </c>
      <c r="G145" s="9" t="s">
        <v>2249</v>
      </c>
      <c r="H145" s="11" t="s">
        <v>3029</v>
      </c>
      <c r="I145" s="11">
        <f t="shared" si="2"/>
        <v>785</v>
      </c>
    </row>
    <row r="146" spans="1:9" x14ac:dyDescent="0.15">
      <c r="A146" s="9" t="s">
        <v>2217</v>
      </c>
      <c r="B146" s="9" t="s">
        <v>2218</v>
      </c>
      <c r="C146" s="9" t="s">
        <v>3248</v>
      </c>
      <c r="D146" s="9" t="s">
        <v>111</v>
      </c>
      <c r="E146" s="9" t="s">
        <v>1324</v>
      </c>
      <c r="F146" s="9" t="s">
        <v>1325</v>
      </c>
      <c r="G146" s="9" t="s">
        <v>1326</v>
      </c>
      <c r="H146" s="11" t="s">
        <v>3036</v>
      </c>
      <c r="I146" s="11">
        <f t="shared" si="2"/>
        <v>789</v>
      </c>
    </row>
    <row r="147" spans="1:9" x14ac:dyDescent="0.15">
      <c r="A147" s="9" t="s">
        <v>109</v>
      </c>
      <c r="B147" s="9" t="s">
        <v>110</v>
      </c>
      <c r="C147" s="9" t="s">
        <v>3275</v>
      </c>
      <c r="D147" s="9" t="s">
        <v>111</v>
      </c>
      <c r="E147" s="9" t="s">
        <v>112</v>
      </c>
      <c r="F147" s="9" t="s">
        <v>113</v>
      </c>
      <c r="G147" s="9" t="s">
        <v>114</v>
      </c>
      <c r="H147" s="11" t="s">
        <v>3027</v>
      </c>
      <c r="I147" s="11">
        <f t="shared" si="2"/>
        <v>794</v>
      </c>
    </row>
    <row r="148" spans="1:9" x14ac:dyDescent="0.15">
      <c r="A148" s="9" t="s">
        <v>884</v>
      </c>
      <c r="B148" s="9" t="s">
        <v>885</v>
      </c>
      <c r="C148" s="9" t="s">
        <v>3276</v>
      </c>
      <c r="D148" s="9" t="s">
        <v>111</v>
      </c>
      <c r="E148" s="9" t="s">
        <v>886</v>
      </c>
      <c r="F148" s="9" t="s">
        <v>113</v>
      </c>
      <c r="G148" s="9" t="s">
        <v>114</v>
      </c>
      <c r="H148" s="11" t="s">
        <v>3027</v>
      </c>
      <c r="I148" s="11">
        <f t="shared" si="2"/>
        <v>799</v>
      </c>
    </row>
    <row r="149" spans="1:9" x14ac:dyDescent="0.15">
      <c r="A149" s="9" t="s">
        <v>2248</v>
      </c>
      <c r="B149" s="9" t="s">
        <v>2249</v>
      </c>
      <c r="C149" s="9" t="s">
        <v>3279</v>
      </c>
      <c r="D149" s="9" t="s">
        <v>111</v>
      </c>
      <c r="E149" s="9" t="s">
        <v>2250</v>
      </c>
      <c r="F149" s="9" t="s">
        <v>1418</v>
      </c>
      <c r="G149" s="9" t="s">
        <v>1419</v>
      </c>
      <c r="H149" s="11" t="s">
        <v>3027</v>
      </c>
      <c r="I149" s="11">
        <f t="shared" si="2"/>
        <v>804</v>
      </c>
    </row>
    <row r="150" spans="1:9" x14ac:dyDescent="0.15">
      <c r="A150" s="9" t="s">
        <v>113</v>
      </c>
      <c r="B150" s="9" t="s">
        <v>114</v>
      </c>
      <c r="C150" s="9" t="s">
        <v>3330</v>
      </c>
      <c r="D150" s="9" t="s">
        <v>111</v>
      </c>
      <c r="E150" s="9" t="s">
        <v>1417</v>
      </c>
      <c r="F150" s="9" t="s">
        <v>1418</v>
      </c>
      <c r="G150" s="9" t="s">
        <v>1419</v>
      </c>
      <c r="H150" s="11" t="s">
        <v>3029</v>
      </c>
      <c r="I150" s="11">
        <f t="shared" si="2"/>
        <v>810</v>
      </c>
    </row>
    <row r="151" spans="1:9" x14ac:dyDescent="0.15">
      <c r="A151" s="9" t="s">
        <v>1418</v>
      </c>
      <c r="B151" s="9" t="s">
        <v>1419</v>
      </c>
      <c r="C151" s="9" t="s">
        <v>3331</v>
      </c>
      <c r="D151" s="9" t="s">
        <v>111</v>
      </c>
      <c r="E151" s="9" t="s">
        <v>1501</v>
      </c>
      <c r="F151" s="9" t="s">
        <v>264</v>
      </c>
      <c r="G151" s="9" t="s">
        <v>265</v>
      </c>
      <c r="H151" s="11" t="s">
        <v>3036</v>
      </c>
      <c r="I151" s="11">
        <f t="shared" si="2"/>
        <v>814</v>
      </c>
    </row>
    <row r="152" spans="1:9" x14ac:dyDescent="0.15">
      <c r="A152" s="9" t="s">
        <v>1493</v>
      </c>
      <c r="B152" s="9" t="s">
        <v>1494</v>
      </c>
      <c r="C152" s="9" t="s">
        <v>3108</v>
      </c>
      <c r="D152" s="9" t="s">
        <v>127</v>
      </c>
      <c r="E152" s="9" t="s">
        <v>1495</v>
      </c>
      <c r="F152" s="9" t="s">
        <v>491</v>
      </c>
      <c r="G152" s="9" t="s">
        <v>492</v>
      </c>
      <c r="H152" s="11" t="s">
        <v>3038</v>
      </c>
      <c r="I152" s="11">
        <f t="shared" si="2"/>
        <v>821</v>
      </c>
    </row>
    <row r="153" spans="1:9" x14ac:dyDescent="0.15">
      <c r="A153" s="9" t="s">
        <v>2420</v>
      </c>
      <c r="B153" s="9" t="s">
        <v>2421</v>
      </c>
      <c r="C153" s="9" t="s">
        <v>3112</v>
      </c>
      <c r="D153" s="9" t="s">
        <v>127</v>
      </c>
      <c r="E153" s="9" t="s">
        <v>1495</v>
      </c>
      <c r="F153" s="9" t="s">
        <v>491</v>
      </c>
      <c r="G153" s="9" t="s">
        <v>492</v>
      </c>
      <c r="H153" s="11" t="s">
        <v>3038</v>
      </c>
      <c r="I153" s="11">
        <f t="shared" si="2"/>
        <v>828</v>
      </c>
    </row>
    <row r="154" spans="1:9" x14ac:dyDescent="0.15">
      <c r="A154" s="9" t="s">
        <v>491</v>
      </c>
      <c r="B154" s="9" t="s">
        <v>492</v>
      </c>
      <c r="C154" s="9" t="s">
        <v>3165</v>
      </c>
      <c r="D154" s="9" t="s">
        <v>127</v>
      </c>
      <c r="E154" s="9" t="s">
        <v>493</v>
      </c>
      <c r="F154" s="9" t="s">
        <v>125</v>
      </c>
      <c r="G154" s="9" t="s">
        <v>126</v>
      </c>
      <c r="H154" s="11" t="s">
        <v>3038</v>
      </c>
      <c r="I154" s="11">
        <f t="shared" si="2"/>
        <v>835</v>
      </c>
    </row>
    <row r="155" spans="1:9" x14ac:dyDescent="0.15">
      <c r="A155" s="9" t="s">
        <v>1147</v>
      </c>
      <c r="B155" s="9" t="s">
        <v>1148</v>
      </c>
      <c r="C155" s="9" t="s">
        <v>3188</v>
      </c>
      <c r="D155" s="9" t="s">
        <v>127</v>
      </c>
      <c r="E155" s="9" t="s">
        <v>1149</v>
      </c>
      <c r="F155" s="9" t="s">
        <v>491</v>
      </c>
      <c r="G155" s="9" t="s">
        <v>492</v>
      </c>
      <c r="H155" s="11" t="s">
        <v>3038</v>
      </c>
      <c r="I155" s="11">
        <f t="shared" si="2"/>
        <v>842</v>
      </c>
    </row>
    <row r="156" spans="1:9" x14ac:dyDescent="0.15">
      <c r="A156" s="9" t="s">
        <v>125</v>
      </c>
      <c r="B156" s="9" t="s">
        <v>126</v>
      </c>
      <c r="C156" s="9" t="s">
        <v>3223</v>
      </c>
      <c r="D156" s="9" t="s">
        <v>127</v>
      </c>
      <c r="E156" s="9" t="s">
        <v>128</v>
      </c>
      <c r="F156" s="9" t="s">
        <v>129</v>
      </c>
      <c r="G156" s="9" t="s">
        <v>130</v>
      </c>
      <c r="H156" s="11" t="s">
        <v>3029</v>
      </c>
      <c r="I156" s="11">
        <f t="shared" si="2"/>
        <v>848</v>
      </c>
    </row>
    <row r="157" spans="1:9" x14ac:dyDescent="0.15">
      <c r="A157" s="9" t="s">
        <v>1714</v>
      </c>
      <c r="B157" s="9" t="s">
        <v>1715</v>
      </c>
      <c r="C157" s="9" t="s">
        <v>3031</v>
      </c>
      <c r="D157" s="9" t="s">
        <v>11</v>
      </c>
      <c r="E157" s="9" t="s">
        <v>957</v>
      </c>
      <c r="F157" s="9" t="s">
        <v>13</v>
      </c>
      <c r="G157" s="9" t="s">
        <v>14</v>
      </c>
      <c r="H157" s="11" t="s">
        <v>3032</v>
      </c>
      <c r="I157" s="11">
        <f t="shared" si="2"/>
        <v>856</v>
      </c>
    </row>
    <row r="158" spans="1:9" x14ac:dyDescent="0.15">
      <c r="A158" s="9" t="s">
        <v>2404</v>
      </c>
      <c r="B158" s="9" t="s">
        <v>2405</v>
      </c>
      <c r="C158" s="9" t="s">
        <v>3055</v>
      </c>
      <c r="D158" s="9" t="s">
        <v>11</v>
      </c>
      <c r="E158" s="9" t="s">
        <v>1082</v>
      </c>
      <c r="F158" s="9" t="s">
        <v>438</v>
      </c>
      <c r="G158" s="9" t="s">
        <v>439</v>
      </c>
      <c r="H158" s="11" t="s">
        <v>3056</v>
      </c>
      <c r="I158" s="11">
        <f t="shared" si="2"/>
        <v>865</v>
      </c>
    </row>
    <row r="159" spans="1:9" x14ac:dyDescent="0.15">
      <c r="A159" s="9" t="s">
        <v>738</v>
      </c>
      <c r="B159" s="9" t="s">
        <v>739</v>
      </c>
      <c r="C159" s="9" t="s">
        <v>3075</v>
      </c>
      <c r="D159" s="9" t="s">
        <v>11</v>
      </c>
      <c r="E159" s="9" t="s">
        <v>740</v>
      </c>
      <c r="F159" s="9" t="s">
        <v>13</v>
      </c>
      <c r="G159" s="9" t="s">
        <v>14</v>
      </c>
      <c r="H159" s="11" t="s">
        <v>3076</v>
      </c>
      <c r="I159" s="11">
        <f t="shared" si="2"/>
        <v>876</v>
      </c>
    </row>
    <row r="160" spans="1:9" x14ac:dyDescent="0.15">
      <c r="A160" s="9" t="s">
        <v>2607</v>
      </c>
      <c r="B160" s="9" t="s">
        <v>2608</v>
      </c>
      <c r="C160" s="9" t="s">
        <v>3078</v>
      </c>
      <c r="D160" s="9" t="s">
        <v>11</v>
      </c>
      <c r="E160" s="9" t="s">
        <v>2600</v>
      </c>
      <c r="F160" s="9" t="s">
        <v>13</v>
      </c>
      <c r="G160" s="9" t="s">
        <v>14</v>
      </c>
      <c r="H160" s="11" t="s">
        <v>3079</v>
      </c>
      <c r="I160" s="11">
        <f t="shared" si="2"/>
        <v>888</v>
      </c>
    </row>
    <row r="161" spans="1:9" x14ac:dyDescent="0.15">
      <c r="A161" s="9" t="s">
        <v>1233</v>
      </c>
      <c r="B161" s="9" t="s">
        <v>1234</v>
      </c>
      <c r="C161" s="9" t="s">
        <v>3083</v>
      </c>
      <c r="D161" s="9" t="s">
        <v>11</v>
      </c>
      <c r="E161" s="9" t="s">
        <v>1235</v>
      </c>
      <c r="F161" s="9" t="s">
        <v>13</v>
      </c>
      <c r="G161" s="9" t="s">
        <v>14</v>
      </c>
      <c r="H161" s="11" t="s">
        <v>3038</v>
      </c>
      <c r="I161" s="11">
        <f t="shared" si="2"/>
        <v>895</v>
      </c>
    </row>
    <row r="162" spans="1:9" x14ac:dyDescent="0.15">
      <c r="A162" s="9" t="s">
        <v>479</v>
      </c>
      <c r="B162" s="9" t="s">
        <v>480</v>
      </c>
      <c r="C162" s="9" t="s">
        <v>3101</v>
      </c>
      <c r="D162" s="9" t="s">
        <v>11</v>
      </c>
      <c r="E162" s="9" t="s">
        <v>481</v>
      </c>
      <c r="F162" s="9" t="s">
        <v>438</v>
      </c>
      <c r="G162" s="9" t="s">
        <v>439</v>
      </c>
      <c r="H162" s="11" t="s">
        <v>3079</v>
      </c>
      <c r="I162" s="11">
        <f t="shared" si="2"/>
        <v>907</v>
      </c>
    </row>
    <row r="163" spans="1:9" x14ac:dyDescent="0.15">
      <c r="A163" s="9" t="s">
        <v>955</v>
      </c>
      <c r="B163" s="9" t="s">
        <v>956</v>
      </c>
      <c r="C163" s="9" t="s">
        <v>3102</v>
      </c>
      <c r="D163" s="9" t="s">
        <v>11</v>
      </c>
      <c r="E163" s="9" t="s">
        <v>957</v>
      </c>
      <c r="F163" s="9" t="s">
        <v>13</v>
      </c>
      <c r="G163" s="9" t="s">
        <v>14</v>
      </c>
      <c r="H163" s="11" t="s">
        <v>3032</v>
      </c>
      <c r="I163" s="11">
        <f t="shared" si="2"/>
        <v>915</v>
      </c>
    </row>
    <row r="164" spans="1:9" x14ac:dyDescent="0.15">
      <c r="A164" s="9" t="s">
        <v>1440</v>
      </c>
      <c r="B164" s="9" t="s">
        <v>1441</v>
      </c>
      <c r="C164" s="9" t="s">
        <v>3138</v>
      </c>
      <c r="D164" s="9" t="s">
        <v>11</v>
      </c>
      <c r="E164" s="9" t="s">
        <v>957</v>
      </c>
      <c r="F164" s="9" t="s">
        <v>13</v>
      </c>
      <c r="G164" s="9" t="s">
        <v>14</v>
      </c>
      <c r="H164" s="11" t="s">
        <v>3056</v>
      </c>
      <c r="I164" s="11">
        <f t="shared" si="2"/>
        <v>924</v>
      </c>
    </row>
    <row r="165" spans="1:9" x14ac:dyDescent="0.15">
      <c r="A165" s="9" t="s">
        <v>2130</v>
      </c>
      <c r="B165" s="9" t="s">
        <v>2131</v>
      </c>
      <c r="C165" s="9" t="s">
        <v>3147</v>
      </c>
      <c r="D165" s="9" t="s">
        <v>11</v>
      </c>
      <c r="E165" s="9" t="s">
        <v>2132</v>
      </c>
      <c r="F165" s="9" t="s">
        <v>53</v>
      </c>
      <c r="G165" s="9" t="s">
        <v>54</v>
      </c>
      <c r="H165" s="11" t="s">
        <v>3032</v>
      </c>
      <c r="I165" s="11">
        <f t="shared" si="2"/>
        <v>932</v>
      </c>
    </row>
    <row r="166" spans="1:9" x14ac:dyDescent="0.15">
      <c r="A166" s="9" t="s">
        <v>1080</v>
      </c>
      <c r="B166" s="9" t="s">
        <v>1081</v>
      </c>
      <c r="C166" s="9" t="s">
        <v>3150</v>
      </c>
      <c r="D166" s="9" t="s">
        <v>11</v>
      </c>
      <c r="E166" s="9" t="s">
        <v>1082</v>
      </c>
      <c r="F166" s="9" t="s">
        <v>438</v>
      </c>
      <c r="G166" s="9" t="s">
        <v>439</v>
      </c>
      <c r="H166" s="11" t="s">
        <v>3151</v>
      </c>
      <c r="I166" s="11">
        <f t="shared" si="2"/>
        <v>942</v>
      </c>
    </row>
    <row r="167" spans="1:9" x14ac:dyDescent="0.15">
      <c r="A167" s="9" t="s">
        <v>435</v>
      </c>
      <c r="B167" s="9" t="s">
        <v>436</v>
      </c>
      <c r="C167" s="9" t="s">
        <v>3152</v>
      </c>
      <c r="D167" s="9" t="s">
        <v>11</v>
      </c>
      <c r="E167" s="9" t="s">
        <v>437</v>
      </c>
      <c r="F167" s="9" t="s">
        <v>438</v>
      </c>
      <c r="G167" s="9" t="s">
        <v>439</v>
      </c>
      <c r="H167" s="11" t="s">
        <v>3151</v>
      </c>
      <c r="I167" s="11">
        <f t="shared" si="2"/>
        <v>952</v>
      </c>
    </row>
    <row r="168" spans="1:9" x14ac:dyDescent="0.15">
      <c r="A168" s="9" t="s">
        <v>934</v>
      </c>
      <c r="B168" s="9" t="s">
        <v>935</v>
      </c>
      <c r="C168" s="9" t="s">
        <v>3157</v>
      </c>
      <c r="D168" s="9" t="s">
        <v>11</v>
      </c>
      <c r="E168" s="9" t="s">
        <v>936</v>
      </c>
      <c r="F168" s="9" t="s">
        <v>438</v>
      </c>
      <c r="G168" s="9" t="s">
        <v>439</v>
      </c>
      <c r="H168" s="11" t="s">
        <v>3032</v>
      </c>
      <c r="I168" s="11">
        <f t="shared" si="2"/>
        <v>960</v>
      </c>
    </row>
    <row r="169" spans="1:9" x14ac:dyDescent="0.15">
      <c r="A169" s="9" t="s">
        <v>1028</v>
      </c>
      <c r="B169" s="9" t="s">
        <v>1029</v>
      </c>
      <c r="C169" s="9" t="s">
        <v>3180</v>
      </c>
      <c r="D169" s="9" t="s">
        <v>11</v>
      </c>
      <c r="E169" s="9" t="s">
        <v>481</v>
      </c>
      <c r="F169" s="9" t="s">
        <v>438</v>
      </c>
      <c r="G169" s="9" t="s">
        <v>439</v>
      </c>
      <c r="H169" s="11" t="s">
        <v>3079</v>
      </c>
      <c r="I169" s="11">
        <f t="shared" si="2"/>
        <v>972</v>
      </c>
    </row>
    <row r="170" spans="1:9" x14ac:dyDescent="0.15">
      <c r="A170" s="9" t="s">
        <v>2598</v>
      </c>
      <c r="B170" s="9" t="s">
        <v>2599</v>
      </c>
      <c r="C170" s="9" t="s">
        <v>3185</v>
      </c>
      <c r="D170" s="9" t="s">
        <v>11</v>
      </c>
      <c r="E170" s="9" t="s">
        <v>2600</v>
      </c>
      <c r="F170" s="9" t="s">
        <v>13</v>
      </c>
      <c r="G170" s="9" t="s">
        <v>14</v>
      </c>
      <c r="H170" s="11" t="s">
        <v>3056</v>
      </c>
      <c r="I170" s="11">
        <f t="shared" si="2"/>
        <v>981</v>
      </c>
    </row>
    <row r="171" spans="1:9" x14ac:dyDescent="0.15">
      <c r="A171" s="9" t="s">
        <v>1157</v>
      </c>
      <c r="B171" s="9" t="s">
        <v>1158</v>
      </c>
      <c r="C171" s="9" t="s">
        <v>3187</v>
      </c>
      <c r="D171" s="9" t="s">
        <v>11</v>
      </c>
      <c r="E171" s="9" t="s">
        <v>1159</v>
      </c>
      <c r="F171" s="9" t="s">
        <v>13</v>
      </c>
      <c r="G171" s="9" t="s">
        <v>14</v>
      </c>
      <c r="H171" s="11" t="s">
        <v>3032</v>
      </c>
      <c r="I171" s="11">
        <f t="shared" si="2"/>
        <v>989</v>
      </c>
    </row>
    <row r="172" spans="1:9" x14ac:dyDescent="0.15">
      <c r="A172" s="9" t="s">
        <v>836</v>
      </c>
      <c r="B172" s="9" t="s">
        <v>837</v>
      </c>
      <c r="C172" s="9" t="s">
        <v>3204</v>
      </c>
      <c r="D172" s="9" t="s">
        <v>11</v>
      </c>
      <c r="E172" s="9" t="s">
        <v>437</v>
      </c>
      <c r="F172" s="9" t="s">
        <v>438</v>
      </c>
      <c r="G172" s="9" t="s">
        <v>439</v>
      </c>
      <c r="H172" s="11" t="s">
        <v>3151</v>
      </c>
      <c r="I172" s="11">
        <f t="shared" si="2"/>
        <v>999</v>
      </c>
    </row>
    <row r="173" spans="1:9" x14ac:dyDescent="0.15">
      <c r="A173" s="9" t="s">
        <v>1571</v>
      </c>
      <c r="B173" s="9" t="s">
        <v>1572</v>
      </c>
      <c r="C173" s="9" t="s">
        <v>3206</v>
      </c>
      <c r="D173" s="9" t="s">
        <v>11</v>
      </c>
      <c r="E173" s="9" t="s">
        <v>957</v>
      </c>
      <c r="F173" s="9" t="s">
        <v>13</v>
      </c>
      <c r="G173" s="9" t="s">
        <v>14</v>
      </c>
      <c r="H173" s="11" t="s">
        <v>3032</v>
      </c>
      <c r="I173" s="11">
        <f t="shared" si="2"/>
        <v>1007</v>
      </c>
    </row>
    <row r="174" spans="1:9" x14ac:dyDescent="0.15">
      <c r="A174" s="9" t="s">
        <v>2080</v>
      </c>
      <c r="B174" s="9" t="s">
        <v>2081</v>
      </c>
      <c r="C174" s="9" t="s">
        <v>3246</v>
      </c>
      <c r="D174" s="9" t="s">
        <v>11</v>
      </c>
      <c r="E174" s="9" t="s">
        <v>2082</v>
      </c>
      <c r="F174" s="9" t="s">
        <v>438</v>
      </c>
      <c r="G174" s="9" t="s">
        <v>439</v>
      </c>
      <c r="H174" s="11" t="s">
        <v>3056</v>
      </c>
      <c r="I174" s="11">
        <f t="shared" si="2"/>
        <v>1016</v>
      </c>
    </row>
    <row r="175" spans="1:9" x14ac:dyDescent="0.15">
      <c r="A175" s="9" t="s">
        <v>53</v>
      </c>
      <c r="B175" s="9" t="s">
        <v>54</v>
      </c>
      <c r="C175" s="9" t="s">
        <v>3247</v>
      </c>
      <c r="D175" s="9" t="s">
        <v>11</v>
      </c>
      <c r="E175" s="9" t="s">
        <v>2701</v>
      </c>
      <c r="F175" s="9" t="s">
        <v>1288</v>
      </c>
      <c r="G175" s="9" t="s">
        <v>1289</v>
      </c>
      <c r="H175" s="11" t="s">
        <v>3032</v>
      </c>
      <c r="I175" s="11">
        <f t="shared" si="2"/>
        <v>1024</v>
      </c>
    </row>
    <row r="176" spans="1:9" x14ac:dyDescent="0.15">
      <c r="A176" s="9" t="s">
        <v>438</v>
      </c>
      <c r="B176" s="9" t="s">
        <v>439</v>
      </c>
      <c r="C176" s="9" t="s">
        <v>3266</v>
      </c>
      <c r="D176" s="9" t="s">
        <v>11</v>
      </c>
      <c r="E176" s="9" t="s">
        <v>2755</v>
      </c>
      <c r="F176" s="9" t="s">
        <v>53</v>
      </c>
      <c r="G176" s="9" t="s">
        <v>54</v>
      </c>
      <c r="H176" s="11" t="s">
        <v>3151</v>
      </c>
      <c r="I176" s="11">
        <f t="shared" si="2"/>
        <v>1034</v>
      </c>
    </row>
    <row r="177" spans="1:9" x14ac:dyDescent="0.15">
      <c r="A177" s="9" t="s">
        <v>1691</v>
      </c>
      <c r="B177" s="9" t="s">
        <v>1692</v>
      </c>
      <c r="C177" s="9" t="s">
        <v>3274</v>
      </c>
      <c r="D177" s="9" t="s">
        <v>11</v>
      </c>
      <c r="E177" s="9" t="s">
        <v>1693</v>
      </c>
      <c r="F177" s="9" t="s">
        <v>13</v>
      </c>
      <c r="G177" s="9" t="s">
        <v>14</v>
      </c>
      <c r="H177" s="11" t="s">
        <v>3056</v>
      </c>
      <c r="I177" s="11">
        <f t="shared" si="2"/>
        <v>1043</v>
      </c>
    </row>
    <row r="178" spans="1:9" x14ac:dyDescent="0.15">
      <c r="A178" s="9" t="s">
        <v>9</v>
      </c>
      <c r="B178" s="9" t="s">
        <v>10</v>
      </c>
      <c r="C178" s="9" t="s">
        <v>3280</v>
      </c>
      <c r="D178" s="9" t="s">
        <v>11</v>
      </c>
      <c r="E178" s="9" t="s">
        <v>12</v>
      </c>
      <c r="F178" s="9" t="s">
        <v>13</v>
      </c>
      <c r="G178" s="9" t="s">
        <v>14</v>
      </c>
      <c r="H178" s="11" t="s">
        <v>3056</v>
      </c>
      <c r="I178" s="11">
        <f t="shared" si="2"/>
        <v>1052</v>
      </c>
    </row>
    <row r="179" spans="1:9" x14ac:dyDescent="0.15">
      <c r="A179" s="9" t="s">
        <v>13</v>
      </c>
      <c r="B179" s="9" t="s">
        <v>14</v>
      </c>
      <c r="C179" s="9" t="s">
        <v>3283</v>
      </c>
      <c r="D179" s="9" t="s">
        <v>11</v>
      </c>
      <c r="E179" s="9" t="s">
        <v>52</v>
      </c>
      <c r="F179" s="9" t="s">
        <v>53</v>
      </c>
      <c r="G179" s="9" t="s">
        <v>54</v>
      </c>
      <c r="H179" s="11" t="s">
        <v>3076</v>
      </c>
      <c r="I179" s="11">
        <f t="shared" si="2"/>
        <v>1063</v>
      </c>
    </row>
    <row r="180" spans="1:9" x14ac:dyDescent="0.15">
      <c r="A180" s="9" t="s">
        <v>1925</v>
      </c>
      <c r="B180" s="9" t="s">
        <v>1926</v>
      </c>
      <c r="C180" s="9" t="s">
        <v>3293</v>
      </c>
      <c r="D180" s="9" t="s">
        <v>11</v>
      </c>
      <c r="E180" s="9" t="s">
        <v>1235</v>
      </c>
      <c r="F180" s="9" t="s">
        <v>13</v>
      </c>
      <c r="G180" s="9" t="s">
        <v>14</v>
      </c>
      <c r="H180" s="11" t="s">
        <v>3038</v>
      </c>
      <c r="I180" s="11">
        <f t="shared" si="2"/>
        <v>1070</v>
      </c>
    </row>
    <row r="181" spans="1:9" x14ac:dyDescent="0.15">
      <c r="A181" s="9" t="s">
        <v>85</v>
      </c>
      <c r="B181" s="9" t="s">
        <v>86</v>
      </c>
      <c r="C181" s="9" t="s">
        <v>3321</v>
      </c>
      <c r="D181" s="9" t="s">
        <v>11</v>
      </c>
      <c r="E181" s="9" t="s">
        <v>12</v>
      </c>
      <c r="F181" s="9" t="s">
        <v>13</v>
      </c>
      <c r="G181" s="9" t="s">
        <v>14</v>
      </c>
      <c r="H181" s="11" t="s">
        <v>3056</v>
      </c>
      <c r="I181" s="11">
        <f t="shared" si="2"/>
        <v>1079</v>
      </c>
    </row>
    <row r="182" spans="1:9" x14ac:dyDescent="0.15">
      <c r="A182" s="9" t="s">
        <v>1138</v>
      </c>
      <c r="B182" s="9" t="s">
        <v>1139</v>
      </c>
      <c r="C182" s="9" t="s">
        <v>3324</v>
      </c>
      <c r="D182" s="9" t="s">
        <v>11</v>
      </c>
      <c r="E182" s="9" t="s">
        <v>1140</v>
      </c>
      <c r="F182" s="9" t="s">
        <v>438</v>
      </c>
      <c r="G182" s="9" t="s">
        <v>439</v>
      </c>
      <c r="H182" s="11" t="s">
        <v>3056</v>
      </c>
      <c r="I182" s="11">
        <f t="shared" si="2"/>
        <v>1088</v>
      </c>
    </row>
    <row r="183" spans="1:9" x14ac:dyDescent="0.15">
      <c r="A183" s="9" t="s">
        <v>1389</v>
      </c>
      <c r="B183" s="9" t="s">
        <v>1390</v>
      </c>
      <c r="C183" s="9" t="s">
        <v>3326</v>
      </c>
      <c r="D183" s="9" t="s">
        <v>11</v>
      </c>
      <c r="E183" s="9" t="s">
        <v>1391</v>
      </c>
      <c r="F183" s="9" t="s">
        <v>13</v>
      </c>
      <c r="G183" s="9" t="s">
        <v>14</v>
      </c>
      <c r="H183" s="11" t="s">
        <v>3151</v>
      </c>
      <c r="I183" s="11">
        <f t="shared" si="2"/>
        <v>1098</v>
      </c>
    </row>
    <row r="184" spans="1:9" x14ac:dyDescent="0.15">
      <c r="A184" s="9" t="s">
        <v>1812</v>
      </c>
      <c r="B184" s="9" t="s">
        <v>1813</v>
      </c>
      <c r="C184" s="9" t="s">
        <v>3034</v>
      </c>
      <c r="D184" s="9" t="s">
        <v>221</v>
      </c>
      <c r="E184" s="9" t="s">
        <v>1814</v>
      </c>
      <c r="F184" s="9" t="s">
        <v>631</v>
      </c>
      <c r="G184" s="9" t="s">
        <v>632</v>
      </c>
      <c r="H184" s="11" t="s">
        <v>3029</v>
      </c>
      <c r="I184" s="11">
        <f t="shared" si="2"/>
        <v>1104</v>
      </c>
    </row>
    <row r="185" spans="1:9" x14ac:dyDescent="0.15">
      <c r="A185" s="9" t="s">
        <v>628</v>
      </c>
      <c r="B185" s="9" t="s">
        <v>629</v>
      </c>
      <c r="C185" s="9" t="s">
        <v>3051</v>
      </c>
      <c r="D185" s="9" t="s">
        <v>221</v>
      </c>
      <c r="E185" s="9" t="s">
        <v>630</v>
      </c>
      <c r="F185" s="9" t="s">
        <v>631</v>
      </c>
      <c r="G185" s="9" t="s">
        <v>632</v>
      </c>
      <c r="H185" s="11" t="s">
        <v>3029</v>
      </c>
      <c r="I185" s="11">
        <f t="shared" si="2"/>
        <v>1110</v>
      </c>
    </row>
    <row r="186" spans="1:9" x14ac:dyDescent="0.15">
      <c r="A186" s="9" t="s">
        <v>631</v>
      </c>
      <c r="B186" s="9" t="s">
        <v>632</v>
      </c>
      <c r="C186" s="9" t="s">
        <v>3065</v>
      </c>
      <c r="D186" s="9" t="s">
        <v>221</v>
      </c>
      <c r="E186" s="9" t="s">
        <v>1445</v>
      </c>
      <c r="F186" s="9" t="s">
        <v>1165</v>
      </c>
      <c r="G186" s="9" t="s">
        <v>1166</v>
      </c>
      <c r="H186" s="11" t="s">
        <v>3029</v>
      </c>
      <c r="I186" s="11">
        <f t="shared" si="2"/>
        <v>1116</v>
      </c>
    </row>
    <row r="187" spans="1:9" x14ac:dyDescent="0.15">
      <c r="A187" s="9" t="s">
        <v>1190</v>
      </c>
      <c r="B187" s="9" t="s">
        <v>1191</v>
      </c>
      <c r="C187" s="9" t="s">
        <v>3086</v>
      </c>
      <c r="D187" s="9" t="s">
        <v>221</v>
      </c>
      <c r="E187" s="9" t="s">
        <v>1181</v>
      </c>
      <c r="F187" s="9" t="s">
        <v>1162</v>
      </c>
      <c r="G187" s="9" t="s">
        <v>1163</v>
      </c>
      <c r="H187" s="11" t="s">
        <v>3036</v>
      </c>
      <c r="I187" s="11">
        <f t="shared" si="2"/>
        <v>1120</v>
      </c>
    </row>
    <row r="188" spans="1:9" x14ac:dyDescent="0.15">
      <c r="A188" s="9" t="s">
        <v>1619</v>
      </c>
      <c r="B188" s="9" t="s">
        <v>1620</v>
      </c>
      <c r="C188" s="9" t="s">
        <v>3089</v>
      </c>
      <c r="D188" s="9" t="s">
        <v>221</v>
      </c>
      <c r="E188" s="9" t="s">
        <v>1621</v>
      </c>
      <c r="F188" s="9" t="s">
        <v>631</v>
      </c>
      <c r="G188" s="9" t="s">
        <v>632</v>
      </c>
      <c r="H188" s="11" t="s">
        <v>3029</v>
      </c>
      <c r="I188" s="11">
        <f t="shared" si="2"/>
        <v>1126</v>
      </c>
    </row>
    <row r="189" spans="1:9" x14ac:dyDescent="0.15">
      <c r="A189" s="9" t="s">
        <v>1179</v>
      </c>
      <c r="B189" s="9" t="s">
        <v>1180</v>
      </c>
      <c r="C189" s="9" t="s">
        <v>3113</v>
      </c>
      <c r="D189" s="9" t="s">
        <v>221</v>
      </c>
      <c r="E189" s="9" t="s">
        <v>1181</v>
      </c>
      <c r="F189" s="9" t="s">
        <v>1165</v>
      </c>
      <c r="G189" s="9" t="s">
        <v>1166</v>
      </c>
      <c r="H189" s="11" t="s">
        <v>3036</v>
      </c>
      <c r="I189" s="11">
        <f t="shared" si="2"/>
        <v>1130</v>
      </c>
    </row>
    <row r="190" spans="1:9" x14ac:dyDescent="0.15">
      <c r="A190" s="9" t="s">
        <v>1884</v>
      </c>
      <c r="B190" s="9" t="s">
        <v>1885</v>
      </c>
      <c r="C190" s="9" t="s">
        <v>3121</v>
      </c>
      <c r="D190" s="9" t="s">
        <v>221</v>
      </c>
      <c r="E190" s="9" t="s">
        <v>1886</v>
      </c>
      <c r="F190" s="9" t="s">
        <v>223</v>
      </c>
      <c r="G190" s="9" t="s">
        <v>224</v>
      </c>
      <c r="H190" s="11" t="s">
        <v>3036</v>
      </c>
      <c r="I190" s="11">
        <f t="shared" si="2"/>
        <v>1134</v>
      </c>
    </row>
    <row r="191" spans="1:9" x14ac:dyDescent="0.15">
      <c r="A191" s="9" t="s">
        <v>2909</v>
      </c>
      <c r="B191" s="9" t="s">
        <v>2910</v>
      </c>
      <c r="C191" s="9" t="s">
        <v>3130</v>
      </c>
      <c r="D191" s="9" t="s">
        <v>221</v>
      </c>
      <c r="E191" s="9" t="s">
        <v>2911</v>
      </c>
      <c r="F191" s="9" t="s">
        <v>1165</v>
      </c>
      <c r="G191" s="9" t="s">
        <v>1166</v>
      </c>
      <c r="H191" s="11" t="s">
        <v>3036</v>
      </c>
      <c r="I191" s="11">
        <f t="shared" si="2"/>
        <v>1138</v>
      </c>
    </row>
    <row r="192" spans="1:9" x14ac:dyDescent="0.15">
      <c r="A192" s="9" t="s">
        <v>1162</v>
      </c>
      <c r="B192" s="9" t="s">
        <v>1163</v>
      </c>
      <c r="C192" s="9" t="s">
        <v>3135</v>
      </c>
      <c r="D192" s="9" t="s">
        <v>221</v>
      </c>
      <c r="E192" s="9" t="s">
        <v>1164</v>
      </c>
      <c r="F192" s="9" t="s">
        <v>1165</v>
      </c>
      <c r="G192" s="9" t="s">
        <v>1166</v>
      </c>
      <c r="H192" s="11" t="s">
        <v>3029</v>
      </c>
      <c r="I192" s="11">
        <f t="shared" si="2"/>
        <v>1144</v>
      </c>
    </row>
    <row r="193" spans="1:9" x14ac:dyDescent="0.15">
      <c r="A193" s="9" t="s">
        <v>556</v>
      </c>
      <c r="B193" s="9" t="s">
        <v>557</v>
      </c>
      <c r="C193" s="9" t="s">
        <v>3141</v>
      </c>
      <c r="D193" s="9" t="s">
        <v>221</v>
      </c>
      <c r="E193" s="9" t="s">
        <v>558</v>
      </c>
      <c r="F193" s="9" t="s">
        <v>223</v>
      </c>
      <c r="G193" s="9" t="s">
        <v>224</v>
      </c>
      <c r="H193" s="11" t="s">
        <v>3036</v>
      </c>
      <c r="I193" s="11">
        <f t="shared" si="2"/>
        <v>1148</v>
      </c>
    </row>
    <row r="194" spans="1:9" x14ac:dyDescent="0.15">
      <c r="A194" s="9" t="s">
        <v>2024</v>
      </c>
      <c r="B194" s="9" t="s">
        <v>2025</v>
      </c>
      <c r="C194" s="9" t="s">
        <v>3156</v>
      </c>
      <c r="D194" s="9" t="s">
        <v>221</v>
      </c>
      <c r="E194" s="9" t="s">
        <v>2026</v>
      </c>
      <c r="F194" s="9" t="s">
        <v>631</v>
      </c>
      <c r="G194" s="9" t="s">
        <v>632</v>
      </c>
      <c r="H194" s="11" t="s">
        <v>3029</v>
      </c>
      <c r="I194" s="11">
        <f t="shared" si="2"/>
        <v>1154</v>
      </c>
    </row>
    <row r="195" spans="1:9" x14ac:dyDescent="0.15">
      <c r="A195" s="9" t="s">
        <v>223</v>
      </c>
      <c r="B195" s="9" t="s">
        <v>224</v>
      </c>
      <c r="C195" s="9" t="s">
        <v>3175</v>
      </c>
      <c r="D195" s="9" t="s">
        <v>221</v>
      </c>
      <c r="E195" s="9" t="s">
        <v>2484</v>
      </c>
      <c r="F195" s="9" t="s">
        <v>1165</v>
      </c>
      <c r="G195" s="9" t="s">
        <v>1166</v>
      </c>
      <c r="H195" s="11" t="s">
        <v>3027</v>
      </c>
      <c r="I195" s="11">
        <f t="shared" ref="I195:I209" si="3">+I194+H195</f>
        <v>1159</v>
      </c>
    </row>
    <row r="196" spans="1:9" x14ac:dyDescent="0.15">
      <c r="A196" s="9" t="s">
        <v>219</v>
      </c>
      <c r="B196" s="9" t="s">
        <v>220</v>
      </c>
      <c r="C196" s="9" t="s">
        <v>3178</v>
      </c>
      <c r="D196" s="9" t="s">
        <v>221</v>
      </c>
      <c r="E196" s="9" t="s">
        <v>222</v>
      </c>
      <c r="F196" s="9" t="s">
        <v>223</v>
      </c>
      <c r="G196" s="9" t="s">
        <v>224</v>
      </c>
      <c r="H196" s="11" t="s">
        <v>3036</v>
      </c>
      <c r="I196" s="11">
        <f t="shared" si="3"/>
        <v>1163</v>
      </c>
    </row>
    <row r="197" spans="1:9" x14ac:dyDescent="0.15">
      <c r="A197" s="9" t="s">
        <v>2850</v>
      </c>
      <c r="B197" s="9" t="s">
        <v>2851</v>
      </c>
      <c r="C197" s="9" t="s">
        <v>3189</v>
      </c>
      <c r="D197" s="9" t="s">
        <v>221</v>
      </c>
      <c r="E197" s="9" t="s">
        <v>2852</v>
      </c>
      <c r="F197" s="9" t="s">
        <v>223</v>
      </c>
      <c r="G197" s="9" t="s">
        <v>224</v>
      </c>
      <c r="H197" s="11" t="s">
        <v>3036</v>
      </c>
      <c r="I197" s="11">
        <f t="shared" si="3"/>
        <v>1167</v>
      </c>
    </row>
    <row r="198" spans="1:9" x14ac:dyDescent="0.15">
      <c r="A198" s="9" t="s">
        <v>2033</v>
      </c>
      <c r="B198" s="9" t="s">
        <v>2034</v>
      </c>
      <c r="C198" s="9" t="s">
        <v>3205</v>
      </c>
      <c r="D198" s="9" t="s">
        <v>221</v>
      </c>
      <c r="E198" s="9" t="s">
        <v>2035</v>
      </c>
      <c r="F198" s="9" t="s">
        <v>223</v>
      </c>
      <c r="G198" s="9" t="s">
        <v>224</v>
      </c>
      <c r="H198" s="11" t="s">
        <v>3036</v>
      </c>
      <c r="I198" s="11">
        <f t="shared" si="3"/>
        <v>1171</v>
      </c>
    </row>
    <row r="199" spans="1:9" x14ac:dyDescent="0.15">
      <c r="A199" s="9" t="s">
        <v>1165</v>
      </c>
      <c r="B199" s="9" t="s">
        <v>1166</v>
      </c>
      <c r="C199" s="9" t="s">
        <v>3208</v>
      </c>
      <c r="D199" s="9" t="s">
        <v>221</v>
      </c>
      <c r="E199" s="9" t="s">
        <v>2711</v>
      </c>
      <c r="F199" s="9" t="s">
        <v>97</v>
      </c>
      <c r="G199" s="9" t="s">
        <v>98</v>
      </c>
      <c r="H199" s="11" t="s">
        <v>3029</v>
      </c>
      <c r="I199" s="11">
        <f t="shared" si="3"/>
        <v>1177</v>
      </c>
    </row>
    <row r="200" spans="1:9" x14ac:dyDescent="0.15">
      <c r="A200" s="9" t="s">
        <v>2298</v>
      </c>
      <c r="B200" s="9" t="s">
        <v>2299</v>
      </c>
      <c r="C200" s="9" t="s">
        <v>3292</v>
      </c>
      <c r="D200" s="9" t="s">
        <v>221</v>
      </c>
      <c r="E200" s="9" t="s">
        <v>273</v>
      </c>
      <c r="F200" s="9" t="s">
        <v>223</v>
      </c>
      <c r="G200" s="9" t="s">
        <v>224</v>
      </c>
      <c r="H200" s="11" t="s">
        <v>3036</v>
      </c>
      <c r="I200" s="11">
        <f t="shared" si="3"/>
        <v>1181</v>
      </c>
    </row>
    <row r="201" spans="1:9" x14ac:dyDescent="0.15">
      <c r="A201" s="9" t="s">
        <v>270</v>
      </c>
      <c r="B201" s="9" t="s">
        <v>271</v>
      </c>
      <c r="C201" s="9" t="s">
        <v>3061</v>
      </c>
      <c r="D201" s="9" t="s">
        <v>272</v>
      </c>
      <c r="E201" s="9" t="s">
        <v>273</v>
      </c>
      <c r="F201" s="9" t="s">
        <v>274</v>
      </c>
      <c r="G201" s="9" t="s">
        <v>275</v>
      </c>
      <c r="H201" s="11" t="s">
        <v>3038</v>
      </c>
      <c r="I201" s="11">
        <f t="shared" si="3"/>
        <v>1188</v>
      </c>
    </row>
    <row r="202" spans="1:9" x14ac:dyDescent="0.15">
      <c r="A202" s="9" t="s">
        <v>2493</v>
      </c>
      <c r="B202" s="9" t="s">
        <v>2494</v>
      </c>
      <c r="C202" s="9" t="s">
        <v>3164</v>
      </c>
      <c r="D202" s="9" t="s">
        <v>272</v>
      </c>
      <c r="E202" s="9" t="s">
        <v>2495</v>
      </c>
      <c r="F202" s="9" t="s">
        <v>274</v>
      </c>
      <c r="G202" s="9" t="s">
        <v>275</v>
      </c>
      <c r="H202" s="11" t="s">
        <v>3032</v>
      </c>
      <c r="I202" s="11">
        <f t="shared" si="3"/>
        <v>1196</v>
      </c>
    </row>
    <row r="203" spans="1:9" x14ac:dyDescent="0.15">
      <c r="A203" s="9" t="s">
        <v>274</v>
      </c>
      <c r="B203" s="9" t="s">
        <v>275</v>
      </c>
      <c r="C203" s="9" t="s">
        <v>3227</v>
      </c>
      <c r="D203" s="9" t="s">
        <v>272</v>
      </c>
      <c r="E203" s="9" t="s">
        <v>2141</v>
      </c>
      <c r="F203" s="9" t="s">
        <v>732</v>
      </c>
      <c r="G203" s="9" t="s">
        <v>733</v>
      </c>
      <c r="H203" s="11" t="s">
        <v>3027</v>
      </c>
      <c r="I203" s="11">
        <f t="shared" si="3"/>
        <v>1201</v>
      </c>
    </row>
    <row r="204" spans="1:9" x14ac:dyDescent="0.15">
      <c r="A204" s="9" t="s">
        <v>1546</v>
      </c>
      <c r="B204" s="9" t="s">
        <v>1547</v>
      </c>
      <c r="C204" s="9" t="s">
        <v>3329</v>
      </c>
      <c r="D204" s="9" t="s">
        <v>272</v>
      </c>
      <c r="E204" s="9" t="s">
        <v>273</v>
      </c>
      <c r="F204" s="9" t="s">
        <v>274</v>
      </c>
      <c r="G204" s="9" t="s">
        <v>275</v>
      </c>
      <c r="H204" s="11" t="s">
        <v>3029</v>
      </c>
      <c r="I204" s="11">
        <f t="shared" si="3"/>
        <v>1207</v>
      </c>
    </row>
    <row r="205" spans="1:9" x14ac:dyDescent="0.15">
      <c r="A205" s="9" t="s">
        <v>2285</v>
      </c>
      <c r="B205" s="9" t="s">
        <v>2286</v>
      </c>
      <c r="C205" s="9" t="s">
        <v>3099</v>
      </c>
      <c r="D205" s="9" t="s">
        <v>320</v>
      </c>
      <c r="E205" s="9" t="s">
        <v>391</v>
      </c>
      <c r="F205" s="9" t="s">
        <v>392</v>
      </c>
      <c r="G205" s="9" t="s">
        <v>393</v>
      </c>
      <c r="H205" s="11" t="s">
        <v>3056</v>
      </c>
      <c r="I205" s="11">
        <f t="shared" si="3"/>
        <v>1216</v>
      </c>
    </row>
    <row r="206" spans="1:9" x14ac:dyDescent="0.15">
      <c r="A206" s="9" t="s">
        <v>2550</v>
      </c>
      <c r="B206" s="9" t="s">
        <v>2551</v>
      </c>
      <c r="C206" s="9" t="s">
        <v>3104</v>
      </c>
      <c r="D206" s="9" t="s">
        <v>320</v>
      </c>
      <c r="E206" s="9" t="s">
        <v>2552</v>
      </c>
      <c r="F206" s="9" t="s">
        <v>392</v>
      </c>
      <c r="G206" s="9" t="s">
        <v>393</v>
      </c>
      <c r="H206" s="11" t="s">
        <v>3056</v>
      </c>
      <c r="I206" s="11">
        <f t="shared" si="3"/>
        <v>1225</v>
      </c>
    </row>
    <row r="207" spans="1:9" x14ac:dyDescent="0.15">
      <c r="A207" s="9" t="s">
        <v>389</v>
      </c>
      <c r="B207" s="9" t="s">
        <v>390</v>
      </c>
      <c r="C207" s="9" t="s">
        <v>3183</v>
      </c>
      <c r="D207" s="9" t="s">
        <v>320</v>
      </c>
      <c r="E207" s="9" t="s">
        <v>391</v>
      </c>
      <c r="F207" s="9" t="s">
        <v>392</v>
      </c>
      <c r="G207" s="9" t="s">
        <v>393</v>
      </c>
      <c r="H207" s="11" t="s">
        <v>3056</v>
      </c>
      <c r="I207" s="11">
        <f t="shared" si="3"/>
        <v>1234</v>
      </c>
    </row>
    <row r="208" spans="1:9" x14ac:dyDescent="0.15">
      <c r="A208" s="9" t="s">
        <v>318</v>
      </c>
      <c r="B208" s="9" t="s">
        <v>319</v>
      </c>
      <c r="C208" s="9" t="s">
        <v>3190</v>
      </c>
      <c r="D208" s="9" t="s">
        <v>320</v>
      </c>
      <c r="E208" s="9" t="s">
        <v>321</v>
      </c>
      <c r="F208" s="9" t="s">
        <v>129</v>
      </c>
      <c r="G208" s="9" t="s">
        <v>130</v>
      </c>
      <c r="H208" s="11" t="s">
        <v>3056</v>
      </c>
      <c r="I208" s="11">
        <f t="shared" si="3"/>
        <v>1243</v>
      </c>
    </row>
    <row r="209" spans="1:9" x14ac:dyDescent="0.15">
      <c r="A209" s="9" t="s">
        <v>392</v>
      </c>
      <c r="B209" s="9" t="s">
        <v>393</v>
      </c>
      <c r="C209" s="9" t="s">
        <v>3218</v>
      </c>
      <c r="D209" s="9" t="s">
        <v>320</v>
      </c>
      <c r="E209" s="9" t="s">
        <v>1285</v>
      </c>
      <c r="F209" s="9" t="s">
        <v>318</v>
      </c>
      <c r="G209" s="9" t="s">
        <v>319</v>
      </c>
      <c r="H209" s="11" t="s">
        <v>3056</v>
      </c>
      <c r="I209" s="11">
        <f t="shared" si="3"/>
        <v>1252</v>
      </c>
    </row>
    <row r="210" spans="1:9" x14ac:dyDescent="0.15">
      <c r="A210" s="9" t="s">
        <v>1272</v>
      </c>
      <c r="B210" s="9" t="s">
        <v>1273</v>
      </c>
      <c r="C210" s="9" t="s">
        <v>3026</v>
      </c>
      <c r="D210" s="9" t="s">
        <v>600</v>
      </c>
      <c r="E210" s="9" t="s">
        <v>1274</v>
      </c>
      <c r="F210" s="9" t="s">
        <v>1044</v>
      </c>
      <c r="G210" s="9" t="s">
        <v>1045</v>
      </c>
      <c r="H210" s="11" t="s">
        <v>3027</v>
      </c>
      <c r="I210" s="11">
        <f>+I209+H210</f>
        <v>1257</v>
      </c>
    </row>
    <row r="211" spans="1:9" x14ac:dyDescent="0.15">
      <c r="A211" s="9" t="s">
        <v>1426</v>
      </c>
      <c r="B211" s="9" t="s">
        <v>1427</v>
      </c>
      <c r="C211" s="9" t="s">
        <v>3074</v>
      </c>
      <c r="D211" s="9" t="s">
        <v>600</v>
      </c>
      <c r="E211" s="9" t="s">
        <v>1428</v>
      </c>
      <c r="F211" s="9" t="s">
        <v>1044</v>
      </c>
      <c r="G211" s="9" t="s">
        <v>1045</v>
      </c>
      <c r="H211" s="11" t="s">
        <v>3029</v>
      </c>
      <c r="I211" s="11">
        <f t="shared" ref="I211:I242" si="4">+I210+H211</f>
        <v>1263</v>
      </c>
    </row>
    <row r="212" spans="1:9" x14ac:dyDescent="0.15">
      <c r="A212" s="9" t="s">
        <v>2798</v>
      </c>
      <c r="B212" s="9" t="s">
        <v>2799</v>
      </c>
      <c r="C212" s="9" t="s">
        <v>3096</v>
      </c>
      <c r="D212" s="9" t="s">
        <v>600</v>
      </c>
      <c r="E212" s="9" t="s">
        <v>2800</v>
      </c>
      <c r="F212" s="9" t="s">
        <v>1044</v>
      </c>
      <c r="G212" s="9" t="s">
        <v>1045</v>
      </c>
      <c r="H212" s="11" t="s">
        <v>3027</v>
      </c>
      <c r="I212" s="11">
        <f t="shared" si="4"/>
        <v>1268</v>
      </c>
    </row>
    <row r="213" spans="1:9" x14ac:dyDescent="0.15">
      <c r="A213" s="9" t="s">
        <v>2714</v>
      </c>
      <c r="B213" s="9" t="s">
        <v>2715</v>
      </c>
      <c r="C213" s="9" t="s">
        <v>3114</v>
      </c>
      <c r="D213" s="9" t="s">
        <v>600</v>
      </c>
      <c r="E213" s="9" t="s">
        <v>2716</v>
      </c>
      <c r="F213" s="9" t="s">
        <v>1044</v>
      </c>
      <c r="G213" s="9" t="s">
        <v>1045</v>
      </c>
      <c r="H213" s="11" t="s">
        <v>3032</v>
      </c>
      <c r="I213" s="11">
        <f t="shared" si="4"/>
        <v>1276</v>
      </c>
    </row>
    <row r="214" spans="1:9" x14ac:dyDescent="0.15">
      <c r="A214" s="9" t="s">
        <v>2308</v>
      </c>
      <c r="B214" s="9" t="s">
        <v>2309</v>
      </c>
      <c r="C214" s="9" t="s">
        <v>3116</v>
      </c>
      <c r="D214" s="9" t="s">
        <v>600</v>
      </c>
      <c r="E214" s="9" t="s">
        <v>2310</v>
      </c>
      <c r="F214" s="9" t="s">
        <v>1044</v>
      </c>
      <c r="G214" s="9" t="s">
        <v>1045</v>
      </c>
      <c r="H214" s="11" t="s">
        <v>3029</v>
      </c>
      <c r="I214" s="11">
        <f t="shared" si="4"/>
        <v>1282</v>
      </c>
    </row>
    <row r="215" spans="1:9" x14ac:dyDescent="0.15">
      <c r="A215" s="9" t="s">
        <v>3131</v>
      </c>
      <c r="B215" s="9" t="s">
        <v>3132</v>
      </c>
      <c r="C215" s="9" t="s">
        <v>3133</v>
      </c>
      <c r="D215" s="9" t="s">
        <v>600</v>
      </c>
      <c r="E215" s="9" t="s">
        <v>3134</v>
      </c>
      <c r="F215" s="9" t="s">
        <v>1044</v>
      </c>
      <c r="G215" s="9" t="s">
        <v>1045</v>
      </c>
      <c r="H215" s="11" t="s">
        <v>3042</v>
      </c>
      <c r="I215" s="11">
        <f t="shared" si="4"/>
        <v>1282</v>
      </c>
    </row>
    <row r="216" spans="1:9" x14ac:dyDescent="0.15">
      <c r="A216" s="9" t="s">
        <v>1344</v>
      </c>
      <c r="B216" s="9" t="s">
        <v>1345</v>
      </c>
      <c r="C216" s="9" t="s">
        <v>3162</v>
      </c>
      <c r="D216" s="9" t="s">
        <v>600</v>
      </c>
      <c r="E216" s="9" t="s">
        <v>1346</v>
      </c>
      <c r="F216" s="9" t="s">
        <v>1044</v>
      </c>
      <c r="G216" s="9" t="s">
        <v>1045</v>
      </c>
      <c r="H216" s="11" t="s">
        <v>3029</v>
      </c>
      <c r="I216" s="11">
        <f t="shared" si="4"/>
        <v>1288</v>
      </c>
    </row>
    <row r="217" spans="1:9" x14ac:dyDescent="0.15">
      <c r="A217" s="9" t="s">
        <v>1518</v>
      </c>
      <c r="B217" s="9" t="s">
        <v>1519</v>
      </c>
      <c r="C217" s="9" t="s">
        <v>3213</v>
      </c>
      <c r="D217" s="9" t="s">
        <v>600</v>
      </c>
      <c r="E217" s="9" t="s">
        <v>1520</v>
      </c>
      <c r="F217" s="9" t="s">
        <v>1044</v>
      </c>
      <c r="G217" s="9" t="s">
        <v>1045</v>
      </c>
      <c r="H217" s="11" t="s">
        <v>3029</v>
      </c>
      <c r="I217" s="11">
        <f t="shared" si="4"/>
        <v>1294</v>
      </c>
    </row>
    <row r="218" spans="1:9" x14ac:dyDescent="0.15">
      <c r="A218" s="9" t="s">
        <v>598</v>
      </c>
      <c r="B218" s="9" t="s">
        <v>599</v>
      </c>
      <c r="C218" s="9" t="s">
        <v>3226</v>
      </c>
      <c r="D218" s="9" t="s">
        <v>600</v>
      </c>
      <c r="E218" s="9" t="s">
        <v>601</v>
      </c>
      <c r="F218" s="9" t="s">
        <v>264</v>
      </c>
      <c r="G218" s="9" t="s">
        <v>265</v>
      </c>
      <c r="H218" s="11" t="s">
        <v>3027</v>
      </c>
      <c r="I218" s="11">
        <f t="shared" si="4"/>
        <v>1299</v>
      </c>
    </row>
    <row r="219" spans="1:9" x14ac:dyDescent="0.15">
      <c r="A219" s="9" t="s">
        <v>1044</v>
      </c>
      <c r="B219" s="9" t="s">
        <v>1045</v>
      </c>
      <c r="C219" s="9" t="s">
        <v>3259</v>
      </c>
      <c r="D219" s="9" t="s">
        <v>600</v>
      </c>
      <c r="E219" s="9" t="s">
        <v>1452</v>
      </c>
      <c r="F219" s="9" t="s">
        <v>598</v>
      </c>
      <c r="G219" s="9" t="s">
        <v>599</v>
      </c>
      <c r="H219" s="11" t="s">
        <v>3027</v>
      </c>
      <c r="I219" s="11">
        <f t="shared" si="4"/>
        <v>1304</v>
      </c>
    </row>
    <row r="220" spans="1:9" x14ac:dyDescent="0.15">
      <c r="A220" s="9" t="s">
        <v>1041</v>
      </c>
      <c r="B220" s="9" t="s">
        <v>1042</v>
      </c>
      <c r="C220" s="9" t="s">
        <v>3297</v>
      </c>
      <c r="D220" s="9" t="s">
        <v>600</v>
      </c>
      <c r="E220" s="9" t="s">
        <v>1043</v>
      </c>
      <c r="F220" s="9" t="s">
        <v>1044</v>
      </c>
      <c r="G220" s="9" t="s">
        <v>1045</v>
      </c>
      <c r="H220" s="11" t="s">
        <v>3029</v>
      </c>
      <c r="I220" s="11">
        <f t="shared" si="4"/>
        <v>1310</v>
      </c>
    </row>
    <row r="221" spans="1:9" x14ac:dyDescent="0.15">
      <c r="A221" s="9" t="s">
        <v>1358</v>
      </c>
      <c r="B221" s="9" t="s">
        <v>1359</v>
      </c>
      <c r="C221" s="9" t="s">
        <v>3322</v>
      </c>
      <c r="D221" s="9" t="s">
        <v>600</v>
      </c>
      <c r="E221" s="9" t="s">
        <v>1360</v>
      </c>
      <c r="F221" s="9" t="s">
        <v>1044</v>
      </c>
      <c r="G221" s="9" t="s">
        <v>1045</v>
      </c>
      <c r="H221" s="11" t="s">
        <v>3038</v>
      </c>
      <c r="I221" s="11">
        <f t="shared" si="4"/>
        <v>1317</v>
      </c>
    </row>
    <row r="222" spans="1:9" x14ac:dyDescent="0.15">
      <c r="A222" s="9" t="s">
        <v>1202</v>
      </c>
      <c r="B222" s="9" t="s">
        <v>1203</v>
      </c>
      <c r="C222" s="9" t="s">
        <v>3028</v>
      </c>
      <c r="D222" s="9" t="s">
        <v>157</v>
      </c>
      <c r="E222" s="9" t="s">
        <v>1204</v>
      </c>
      <c r="F222" s="9" t="s">
        <v>159</v>
      </c>
      <c r="G222" s="9" t="s">
        <v>160</v>
      </c>
      <c r="H222" s="11" t="s">
        <v>3029</v>
      </c>
      <c r="I222" s="11">
        <f t="shared" si="4"/>
        <v>1323</v>
      </c>
    </row>
    <row r="223" spans="1:9" x14ac:dyDescent="0.15">
      <c r="A223" s="9" t="s">
        <v>2822</v>
      </c>
      <c r="B223" s="9" t="s">
        <v>2823</v>
      </c>
      <c r="C223" s="9" t="s">
        <v>3117</v>
      </c>
      <c r="D223" s="9" t="s">
        <v>157</v>
      </c>
      <c r="E223" s="9" t="s">
        <v>2824</v>
      </c>
      <c r="F223" s="9" t="s">
        <v>159</v>
      </c>
      <c r="G223" s="9" t="s">
        <v>160</v>
      </c>
      <c r="H223" s="11" t="s">
        <v>3029</v>
      </c>
      <c r="I223" s="11">
        <f t="shared" si="4"/>
        <v>1329</v>
      </c>
    </row>
    <row r="224" spans="1:9" x14ac:dyDescent="0.15">
      <c r="A224" s="9" t="s">
        <v>155</v>
      </c>
      <c r="B224" s="9" t="s">
        <v>156</v>
      </c>
      <c r="C224" s="9" t="s">
        <v>3124</v>
      </c>
      <c r="D224" s="9" t="s">
        <v>157</v>
      </c>
      <c r="E224" s="9" t="s">
        <v>158</v>
      </c>
      <c r="F224" s="9" t="s">
        <v>159</v>
      </c>
      <c r="G224" s="9" t="s">
        <v>160</v>
      </c>
      <c r="H224" s="11" t="s">
        <v>3029</v>
      </c>
      <c r="I224" s="11">
        <f t="shared" si="4"/>
        <v>1335</v>
      </c>
    </row>
    <row r="225" spans="1:9" x14ac:dyDescent="0.15">
      <c r="A225" s="9" t="s">
        <v>687</v>
      </c>
      <c r="B225" s="9" t="s">
        <v>688</v>
      </c>
      <c r="C225" s="9" t="s">
        <v>3125</v>
      </c>
      <c r="D225" s="9" t="s">
        <v>157</v>
      </c>
      <c r="E225" s="9" t="s">
        <v>689</v>
      </c>
      <c r="F225" s="9" t="s">
        <v>159</v>
      </c>
      <c r="G225" s="9" t="s">
        <v>160</v>
      </c>
      <c r="H225" s="11" t="s">
        <v>3029</v>
      </c>
      <c r="I225" s="11">
        <f t="shared" si="4"/>
        <v>1341</v>
      </c>
    </row>
    <row r="226" spans="1:9" x14ac:dyDescent="0.15">
      <c r="A226" s="9" t="s">
        <v>159</v>
      </c>
      <c r="B226" s="9" t="s">
        <v>160</v>
      </c>
      <c r="C226" s="9" t="s">
        <v>3153</v>
      </c>
      <c r="D226" s="9" t="s">
        <v>157</v>
      </c>
      <c r="E226" s="9" t="s">
        <v>2887</v>
      </c>
      <c r="F226" s="9" t="s">
        <v>2466</v>
      </c>
      <c r="G226" s="9" t="s">
        <v>2467</v>
      </c>
      <c r="H226" s="11" t="s">
        <v>3029</v>
      </c>
      <c r="I226" s="11">
        <f t="shared" si="4"/>
        <v>1347</v>
      </c>
    </row>
    <row r="227" spans="1:9" x14ac:dyDescent="0.15">
      <c r="A227" s="9" t="s">
        <v>1399</v>
      </c>
      <c r="B227" s="9" t="s">
        <v>1400</v>
      </c>
      <c r="C227" s="9" t="s">
        <v>3184</v>
      </c>
      <c r="D227" s="9" t="s">
        <v>157</v>
      </c>
      <c r="E227" s="9" t="s">
        <v>689</v>
      </c>
      <c r="F227" s="9" t="s">
        <v>159</v>
      </c>
      <c r="G227" s="9" t="s">
        <v>160</v>
      </c>
      <c r="H227" s="11" t="s">
        <v>3029</v>
      </c>
      <c r="I227" s="11">
        <f t="shared" si="4"/>
        <v>1353</v>
      </c>
    </row>
    <row r="228" spans="1:9" x14ac:dyDescent="0.15">
      <c r="A228" s="9" t="s">
        <v>1757</v>
      </c>
      <c r="B228" s="9" t="s">
        <v>1758</v>
      </c>
      <c r="C228" s="9" t="s">
        <v>3194</v>
      </c>
      <c r="D228" s="9" t="s">
        <v>157</v>
      </c>
      <c r="E228" s="9" t="s">
        <v>1759</v>
      </c>
      <c r="F228" s="9" t="s">
        <v>159</v>
      </c>
      <c r="G228" s="9" t="s">
        <v>160</v>
      </c>
      <c r="H228" s="11" t="s">
        <v>3029</v>
      </c>
      <c r="I228" s="11">
        <f t="shared" si="4"/>
        <v>1359</v>
      </c>
    </row>
    <row r="229" spans="1:9" x14ac:dyDescent="0.15">
      <c r="A229" s="9" t="s">
        <v>2466</v>
      </c>
      <c r="B229" s="9" t="s">
        <v>2467</v>
      </c>
      <c r="C229" s="9" t="s">
        <v>3252</v>
      </c>
      <c r="D229" s="9" t="s">
        <v>157</v>
      </c>
      <c r="E229" s="9" t="s">
        <v>2468</v>
      </c>
      <c r="F229" s="9" t="s">
        <v>1288</v>
      </c>
      <c r="G229" s="9" t="s">
        <v>1289</v>
      </c>
      <c r="H229" s="11" t="s">
        <v>3029</v>
      </c>
      <c r="I229" s="11">
        <f t="shared" si="4"/>
        <v>1365</v>
      </c>
    </row>
    <row r="230" spans="1:9" x14ac:dyDescent="0.15">
      <c r="A230" s="9" t="s">
        <v>2044</v>
      </c>
      <c r="B230" s="9" t="s">
        <v>2045</v>
      </c>
      <c r="C230" s="9" t="s">
        <v>3067</v>
      </c>
      <c r="D230" s="9" t="s">
        <v>993</v>
      </c>
      <c r="E230" s="9" t="s">
        <v>2046</v>
      </c>
      <c r="F230" s="9" t="s">
        <v>995</v>
      </c>
      <c r="G230" s="9" t="s">
        <v>996</v>
      </c>
      <c r="H230" s="11" t="s">
        <v>3038</v>
      </c>
      <c r="I230" s="11">
        <f t="shared" si="4"/>
        <v>1372</v>
      </c>
    </row>
    <row r="231" spans="1:9" x14ac:dyDescent="0.15">
      <c r="A231" s="9" t="s">
        <v>2169</v>
      </c>
      <c r="B231" s="9" t="s">
        <v>2170</v>
      </c>
      <c r="C231" s="9" t="s">
        <v>3107</v>
      </c>
      <c r="D231" s="9" t="s">
        <v>993</v>
      </c>
      <c r="E231" s="9" t="s">
        <v>2171</v>
      </c>
      <c r="F231" s="9" t="s">
        <v>995</v>
      </c>
      <c r="G231" s="9" t="s">
        <v>996</v>
      </c>
      <c r="H231" s="11" t="s">
        <v>3029</v>
      </c>
      <c r="I231" s="11">
        <f t="shared" si="4"/>
        <v>1378</v>
      </c>
    </row>
    <row r="232" spans="1:9" x14ac:dyDescent="0.15">
      <c r="A232" s="9" t="s">
        <v>1701</v>
      </c>
      <c r="B232" s="9" t="s">
        <v>1702</v>
      </c>
      <c r="C232" s="9" t="s">
        <v>3126</v>
      </c>
      <c r="D232" s="9" t="s">
        <v>993</v>
      </c>
      <c r="E232" s="9" t="s">
        <v>994</v>
      </c>
      <c r="F232" s="9" t="s">
        <v>995</v>
      </c>
      <c r="G232" s="9" t="s">
        <v>996</v>
      </c>
      <c r="H232" s="11" t="s">
        <v>3029</v>
      </c>
      <c r="I232" s="11">
        <f t="shared" si="4"/>
        <v>1384</v>
      </c>
    </row>
    <row r="233" spans="1:9" x14ac:dyDescent="0.15">
      <c r="A233" s="9" t="s">
        <v>995</v>
      </c>
      <c r="B233" s="9" t="s">
        <v>996</v>
      </c>
      <c r="C233" s="9" t="s">
        <v>3170</v>
      </c>
      <c r="D233" s="9" t="s">
        <v>993</v>
      </c>
      <c r="E233" s="9" t="s">
        <v>1988</v>
      </c>
      <c r="F233" s="9" t="s">
        <v>1989</v>
      </c>
      <c r="G233" s="9" t="s">
        <v>1990</v>
      </c>
      <c r="H233" s="11" t="s">
        <v>3027</v>
      </c>
      <c r="I233" s="11">
        <f t="shared" si="4"/>
        <v>1389</v>
      </c>
    </row>
    <row r="234" spans="1:9" x14ac:dyDescent="0.15">
      <c r="A234" s="9" t="s">
        <v>991</v>
      </c>
      <c r="B234" s="9" t="s">
        <v>992</v>
      </c>
      <c r="C234" s="9" t="s">
        <v>3203</v>
      </c>
      <c r="D234" s="9" t="s">
        <v>993</v>
      </c>
      <c r="E234" s="9" t="s">
        <v>994</v>
      </c>
      <c r="F234" s="9" t="s">
        <v>995</v>
      </c>
      <c r="G234" s="9" t="s">
        <v>996</v>
      </c>
      <c r="H234" s="11" t="s">
        <v>3029</v>
      </c>
      <c r="I234" s="11">
        <f t="shared" si="4"/>
        <v>1395</v>
      </c>
    </row>
    <row r="235" spans="1:9" x14ac:dyDescent="0.15">
      <c r="A235" s="9" t="s">
        <v>1989</v>
      </c>
      <c r="B235" s="9" t="s">
        <v>1990</v>
      </c>
      <c r="C235" s="9" t="s">
        <v>3249</v>
      </c>
      <c r="D235" s="9" t="s">
        <v>993</v>
      </c>
      <c r="E235" s="9" t="s">
        <v>2023</v>
      </c>
      <c r="F235" s="9" t="s">
        <v>264</v>
      </c>
      <c r="G235" s="9" t="s">
        <v>265</v>
      </c>
      <c r="H235" s="11" t="s">
        <v>3027</v>
      </c>
      <c r="I235" s="11">
        <f t="shared" si="4"/>
        <v>1400</v>
      </c>
    </row>
    <row r="236" spans="1:9" x14ac:dyDescent="0.15">
      <c r="A236" s="9" t="s">
        <v>2535</v>
      </c>
      <c r="B236" s="9" t="s">
        <v>2536</v>
      </c>
      <c r="C236" s="9" t="s">
        <v>3308</v>
      </c>
      <c r="D236" s="9" t="s">
        <v>993</v>
      </c>
      <c r="E236" s="9" t="s">
        <v>2537</v>
      </c>
      <c r="F236" s="9" t="s">
        <v>995</v>
      </c>
      <c r="G236" s="9" t="s">
        <v>996</v>
      </c>
      <c r="H236" s="11" t="s">
        <v>3029</v>
      </c>
      <c r="I236" s="11">
        <f t="shared" si="4"/>
        <v>1406</v>
      </c>
    </row>
    <row r="237" spans="1:9" x14ac:dyDescent="0.15">
      <c r="A237" s="9" t="s">
        <v>2380</v>
      </c>
      <c r="B237" s="9" t="s">
        <v>2381</v>
      </c>
      <c r="C237" s="9" t="s">
        <v>3046</v>
      </c>
      <c r="D237" s="9" t="s">
        <v>873</v>
      </c>
      <c r="E237" s="9" t="s">
        <v>2382</v>
      </c>
      <c r="F237" s="9" t="s">
        <v>875</v>
      </c>
      <c r="G237" s="9" t="s">
        <v>876</v>
      </c>
      <c r="H237" s="11" t="s">
        <v>3036</v>
      </c>
      <c r="I237" s="11">
        <f t="shared" si="4"/>
        <v>1410</v>
      </c>
    </row>
    <row r="238" spans="1:9" x14ac:dyDescent="0.15">
      <c r="A238" s="9" t="s">
        <v>1765</v>
      </c>
      <c r="B238" s="9" t="s">
        <v>1766</v>
      </c>
      <c r="C238" s="9" t="s">
        <v>3066</v>
      </c>
      <c r="D238" s="9" t="s">
        <v>873</v>
      </c>
      <c r="E238" s="9" t="s">
        <v>1767</v>
      </c>
      <c r="F238" s="9" t="s">
        <v>1768</v>
      </c>
      <c r="G238" s="9" t="s">
        <v>1769</v>
      </c>
      <c r="H238" s="11" t="s">
        <v>3038</v>
      </c>
      <c r="I238" s="11">
        <f t="shared" si="4"/>
        <v>1417</v>
      </c>
    </row>
    <row r="239" spans="1:9" x14ac:dyDescent="0.15">
      <c r="A239" s="9" t="s">
        <v>1768</v>
      </c>
      <c r="B239" s="9" t="s">
        <v>1769</v>
      </c>
      <c r="C239" s="9" t="s">
        <v>3106</v>
      </c>
      <c r="D239" s="9" t="s">
        <v>873</v>
      </c>
      <c r="E239" s="9" t="s">
        <v>2211</v>
      </c>
      <c r="F239" s="9" t="s">
        <v>1374</v>
      </c>
      <c r="G239" s="9" t="s">
        <v>1375</v>
      </c>
      <c r="H239" s="11" t="s">
        <v>3036</v>
      </c>
      <c r="I239" s="11">
        <f t="shared" si="4"/>
        <v>1421</v>
      </c>
    </row>
    <row r="240" spans="1:9" x14ac:dyDescent="0.15">
      <c r="A240" s="9" t="s">
        <v>2828</v>
      </c>
      <c r="B240" s="9" t="s">
        <v>2829</v>
      </c>
      <c r="C240" s="9" t="s">
        <v>3122</v>
      </c>
      <c r="D240" s="9" t="s">
        <v>873</v>
      </c>
      <c r="E240" s="9" t="s">
        <v>2830</v>
      </c>
      <c r="F240" s="9" t="s">
        <v>1768</v>
      </c>
      <c r="G240" s="9" t="s">
        <v>1769</v>
      </c>
      <c r="H240" s="11" t="s">
        <v>3029</v>
      </c>
      <c r="I240" s="11">
        <f t="shared" si="4"/>
        <v>1427</v>
      </c>
    </row>
    <row r="241" spans="1:9" x14ac:dyDescent="0.15">
      <c r="A241" s="9" t="s">
        <v>875</v>
      </c>
      <c r="B241" s="9" t="s">
        <v>876</v>
      </c>
      <c r="C241" s="9" t="s">
        <v>3159</v>
      </c>
      <c r="D241" s="9" t="s">
        <v>873</v>
      </c>
      <c r="E241" s="9" t="s">
        <v>2000</v>
      </c>
      <c r="F241" s="9" t="s">
        <v>1374</v>
      </c>
      <c r="G241" s="9" t="s">
        <v>1375</v>
      </c>
      <c r="H241" s="11" t="s">
        <v>3038</v>
      </c>
      <c r="I241" s="11">
        <f t="shared" si="4"/>
        <v>1434</v>
      </c>
    </row>
    <row r="242" spans="1:9" x14ac:dyDescent="0.15">
      <c r="A242" s="9" t="s">
        <v>871</v>
      </c>
      <c r="B242" s="9" t="s">
        <v>872</v>
      </c>
      <c r="C242" s="9" t="s">
        <v>3191</v>
      </c>
      <c r="D242" s="9" t="s">
        <v>873</v>
      </c>
      <c r="E242" s="9" t="s">
        <v>874</v>
      </c>
      <c r="F242" s="9" t="s">
        <v>875</v>
      </c>
      <c r="G242" s="9" t="s">
        <v>876</v>
      </c>
      <c r="H242" s="11" t="s">
        <v>3036</v>
      </c>
      <c r="I242" s="11">
        <f t="shared" si="4"/>
        <v>1438</v>
      </c>
    </row>
    <row r="243" spans="1:9" x14ac:dyDescent="0.15">
      <c r="A243" s="9" t="s">
        <v>1374</v>
      </c>
      <c r="B243" s="9" t="s">
        <v>1375</v>
      </c>
      <c r="C243" s="9" t="s">
        <v>3222</v>
      </c>
      <c r="D243" s="9" t="s">
        <v>873</v>
      </c>
      <c r="E243" s="9" t="s">
        <v>1376</v>
      </c>
      <c r="F243" s="9" t="s">
        <v>129</v>
      </c>
      <c r="G243" s="9" t="s">
        <v>130</v>
      </c>
      <c r="H243" s="11" t="s">
        <v>3029</v>
      </c>
      <c r="I243" s="11">
        <f t="shared" ref="I243:I274" si="5">+I242+H243</f>
        <v>1444</v>
      </c>
    </row>
    <row r="244" spans="1:9" x14ac:dyDescent="0.15">
      <c r="A244" s="9" t="s">
        <v>2460</v>
      </c>
      <c r="B244" s="9" t="s">
        <v>2461</v>
      </c>
      <c r="C244" s="9" t="s">
        <v>3298</v>
      </c>
      <c r="D244" s="9" t="s">
        <v>873</v>
      </c>
      <c r="E244" s="9" t="s">
        <v>2462</v>
      </c>
      <c r="F244" s="9" t="s">
        <v>875</v>
      </c>
      <c r="G244" s="9" t="s">
        <v>876</v>
      </c>
      <c r="H244" s="11" t="s">
        <v>3072</v>
      </c>
      <c r="I244" s="11">
        <f t="shared" si="5"/>
        <v>1447</v>
      </c>
    </row>
    <row r="245" spans="1:9" x14ac:dyDescent="0.15">
      <c r="A245" s="9" t="s">
        <v>1849</v>
      </c>
      <c r="B245" s="9" t="s">
        <v>1850</v>
      </c>
      <c r="C245" s="9" t="s">
        <v>3261</v>
      </c>
      <c r="D245" s="9" t="s">
        <v>1851</v>
      </c>
      <c r="E245" s="9" t="s">
        <v>1852</v>
      </c>
      <c r="F245" s="9" t="s">
        <v>864</v>
      </c>
      <c r="G245" s="9" t="s">
        <v>865</v>
      </c>
      <c r="H245" s="11" t="s">
        <v>3029</v>
      </c>
      <c r="I245" s="11">
        <f t="shared" si="5"/>
        <v>1453</v>
      </c>
    </row>
    <row r="246" spans="1:9" x14ac:dyDescent="0.15">
      <c r="A246" s="9" t="s">
        <v>2588</v>
      </c>
      <c r="B246" s="9" t="s">
        <v>2589</v>
      </c>
      <c r="C246" s="9" t="s">
        <v>3325</v>
      </c>
      <c r="D246" s="9" t="s">
        <v>1851</v>
      </c>
      <c r="E246" s="9" t="s">
        <v>2590</v>
      </c>
      <c r="F246" s="9" t="s">
        <v>1849</v>
      </c>
      <c r="G246" s="9" t="s">
        <v>1850</v>
      </c>
      <c r="H246" s="11" t="s">
        <v>3029</v>
      </c>
      <c r="I246" s="11">
        <f t="shared" si="5"/>
        <v>1459</v>
      </c>
    </row>
    <row r="247" spans="1:9" x14ac:dyDescent="0.15">
      <c r="A247" s="9" t="s">
        <v>758</v>
      </c>
      <c r="B247" s="9" t="s">
        <v>759</v>
      </c>
      <c r="C247" s="9" t="s">
        <v>3073</v>
      </c>
      <c r="D247" s="9" t="s">
        <v>292</v>
      </c>
      <c r="E247" s="9" t="s">
        <v>760</v>
      </c>
      <c r="F247" s="9" t="s">
        <v>761</v>
      </c>
      <c r="G247" s="9" t="s">
        <v>762</v>
      </c>
      <c r="H247" s="11" t="s">
        <v>3038</v>
      </c>
      <c r="I247" s="11">
        <f t="shared" si="5"/>
        <v>1466</v>
      </c>
    </row>
    <row r="248" spans="1:9" x14ac:dyDescent="0.15">
      <c r="A248" s="9" t="s">
        <v>1929</v>
      </c>
      <c r="B248" s="9" t="s">
        <v>1930</v>
      </c>
      <c r="C248" s="9" t="s">
        <v>3111</v>
      </c>
      <c r="D248" s="9" t="s">
        <v>292</v>
      </c>
      <c r="E248" s="9" t="s">
        <v>1931</v>
      </c>
      <c r="F248" s="9" t="s">
        <v>1932</v>
      </c>
      <c r="G248" s="9" t="s">
        <v>1933</v>
      </c>
      <c r="H248" s="11" t="s">
        <v>3029</v>
      </c>
      <c r="I248" s="11">
        <f t="shared" si="5"/>
        <v>1472</v>
      </c>
    </row>
    <row r="249" spans="1:9" x14ac:dyDescent="0.15">
      <c r="A249" s="9" t="s">
        <v>1932</v>
      </c>
      <c r="B249" s="9" t="s">
        <v>1933</v>
      </c>
      <c r="C249" s="9" t="s">
        <v>3118</v>
      </c>
      <c r="D249" s="9" t="s">
        <v>292</v>
      </c>
      <c r="E249" s="9" t="s">
        <v>1966</v>
      </c>
      <c r="F249" s="9" t="s">
        <v>290</v>
      </c>
      <c r="G249" s="9" t="s">
        <v>291</v>
      </c>
      <c r="H249" s="11" t="s">
        <v>3029</v>
      </c>
      <c r="I249" s="11">
        <f t="shared" si="5"/>
        <v>1478</v>
      </c>
    </row>
    <row r="250" spans="1:9" x14ac:dyDescent="0.15">
      <c r="A250" s="9" t="s">
        <v>2327</v>
      </c>
      <c r="B250" s="9" t="s">
        <v>2328</v>
      </c>
      <c r="C250" s="9" t="s">
        <v>3149</v>
      </c>
      <c r="D250" s="9" t="s">
        <v>292</v>
      </c>
      <c r="E250" s="9" t="s">
        <v>2329</v>
      </c>
      <c r="F250" s="9" t="s">
        <v>896</v>
      </c>
      <c r="G250" s="9" t="s">
        <v>897</v>
      </c>
      <c r="H250" s="11" t="s">
        <v>3027</v>
      </c>
      <c r="I250" s="11">
        <f t="shared" si="5"/>
        <v>1483</v>
      </c>
    </row>
    <row r="251" spans="1:9" x14ac:dyDescent="0.15">
      <c r="A251" s="9" t="s">
        <v>2779</v>
      </c>
      <c r="B251" s="9" t="s">
        <v>2780</v>
      </c>
      <c r="C251" s="9" t="s">
        <v>3195</v>
      </c>
      <c r="D251" s="9" t="s">
        <v>292</v>
      </c>
      <c r="E251" s="9" t="s">
        <v>2781</v>
      </c>
      <c r="F251" s="9" t="s">
        <v>761</v>
      </c>
      <c r="G251" s="9" t="s">
        <v>762</v>
      </c>
      <c r="H251" s="11" t="s">
        <v>3038</v>
      </c>
      <c r="I251" s="11">
        <f t="shared" si="5"/>
        <v>1490</v>
      </c>
    </row>
    <row r="252" spans="1:9" x14ac:dyDescent="0.15">
      <c r="A252" s="9" t="s">
        <v>761</v>
      </c>
      <c r="B252" s="9" t="s">
        <v>762</v>
      </c>
      <c r="C252" s="9" t="s">
        <v>3196</v>
      </c>
      <c r="D252" s="9" t="s">
        <v>292</v>
      </c>
      <c r="E252" s="9" t="s">
        <v>2409</v>
      </c>
      <c r="F252" s="9" t="s">
        <v>290</v>
      </c>
      <c r="G252" s="9" t="s">
        <v>291</v>
      </c>
      <c r="H252" s="11" t="s">
        <v>3029</v>
      </c>
      <c r="I252" s="11">
        <f t="shared" si="5"/>
        <v>1496</v>
      </c>
    </row>
    <row r="253" spans="1:9" x14ac:dyDescent="0.15">
      <c r="A253" s="9" t="s">
        <v>2703</v>
      </c>
      <c r="B253" s="9" t="s">
        <v>2704</v>
      </c>
      <c r="C253" s="9" t="s">
        <v>3199</v>
      </c>
      <c r="D253" s="9" t="s">
        <v>292</v>
      </c>
      <c r="E253" s="9" t="s">
        <v>2705</v>
      </c>
      <c r="F253" s="9" t="s">
        <v>1932</v>
      </c>
      <c r="G253" s="9" t="s">
        <v>1933</v>
      </c>
      <c r="H253" s="11" t="s">
        <v>3029</v>
      </c>
      <c r="I253" s="11">
        <f t="shared" si="5"/>
        <v>1502</v>
      </c>
    </row>
    <row r="254" spans="1:9" x14ac:dyDescent="0.15">
      <c r="A254" s="9" t="s">
        <v>290</v>
      </c>
      <c r="B254" s="9" t="s">
        <v>291</v>
      </c>
      <c r="C254" s="9" t="s">
        <v>3332</v>
      </c>
      <c r="D254" s="9" t="s">
        <v>292</v>
      </c>
      <c r="E254" s="9" t="s">
        <v>293</v>
      </c>
      <c r="F254" s="9" t="s">
        <v>294</v>
      </c>
      <c r="G254" s="9" t="s">
        <v>295</v>
      </c>
      <c r="H254" s="11" t="s">
        <v>3029</v>
      </c>
      <c r="I254" s="11">
        <f t="shared" si="5"/>
        <v>1508</v>
      </c>
    </row>
    <row r="255" spans="1:9" x14ac:dyDescent="0.15">
      <c r="A255" s="9" t="s">
        <v>1058</v>
      </c>
      <c r="B255" s="9" t="s">
        <v>1059</v>
      </c>
      <c r="C255" s="9" t="s">
        <v>3054</v>
      </c>
      <c r="D255" s="9" t="s">
        <v>1060</v>
      </c>
      <c r="E255" s="9" t="s">
        <v>1061</v>
      </c>
      <c r="F255" s="9" t="s">
        <v>1062</v>
      </c>
      <c r="G255" s="9" t="s">
        <v>1063</v>
      </c>
      <c r="H255" s="11" t="s">
        <v>3032</v>
      </c>
      <c r="I255" s="11">
        <f t="shared" si="5"/>
        <v>1516</v>
      </c>
    </row>
    <row r="256" spans="1:9" x14ac:dyDescent="0.15">
      <c r="A256" s="9" t="s">
        <v>1782</v>
      </c>
      <c r="B256" s="9" t="s">
        <v>1783</v>
      </c>
      <c r="C256" s="9" t="s">
        <v>3192</v>
      </c>
      <c r="D256" s="9" t="s">
        <v>1060</v>
      </c>
      <c r="E256" s="9" t="s">
        <v>1784</v>
      </c>
      <c r="F256" s="9" t="s">
        <v>1062</v>
      </c>
      <c r="G256" s="9" t="s">
        <v>1063</v>
      </c>
      <c r="H256" s="11" t="s">
        <v>3032</v>
      </c>
      <c r="I256" s="11">
        <f t="shared" si="5"/>
        <v>1524</v>
      </c>
    </row>
    <row r="257" spans="1:9" x14ac:dyDescent="0.15">
      <c r="A257" s="9" t="s">
        <v>2622</v>
      </c>
      <c r="B257" s="9" t="s">
        <v>2623</v>
      </c>
      <c r="C257" s="9" t="s">
        <v>3228</v>
      </c>
      <c r="D257" s="9" t="s">
        <v>1060</v>
      </c>
      <c r="E257" s="9" t="s">
        <v>1784</v>
      </c>
      <c r="F257" s="9" t="s">
        <v>1062</v>
      </c>
      <c r="G257" s="9" t="s">
        <v>1063</v>
      </c>
      <c r="H257" s="11" t="s">
        <v>3038</v>
      </c>
      <c r="I257" s="11">
        <f t="shared" si="5"/>
        <v>1531</v>
      </c>
    </row>
    <row r="258" spans="1:9" x14ac:dyDescent="0.15">
      <c r="A258" s="9" t="s">
        <v>1062</v>
      </c>
      <c r="B258" s="9" t="s">
        <v>1063</v>
      </c>
      <c r="C258" s="9" t="s">
        <v>3268</v>
      </c>
      <c r="D258" s="9" t="s">
        <v>1060</v>
      </c>
      <c r="E258" s="9" t="s">
        <v>1945</v>
      </c>
      <c r="F258" s="9" t="s">
        <v>864</v>
      </c>
      <c r="G258" s="9" t="s">
        <v>865</v>
      </c>
      <c r="H258" s="11" t="s">
        <v>3038</v>
      </c>
      <c r="I258" s="11">
        <f t="shared" si="5"/>
        <v>1538</v>
      </c>
    </row>
    <row r="259" spans="1:9" x14ac:dyDescent="0.15">
      <c r="A259" s="9" t="s">
        <v>645</v>
      </c>
      <c r="B259" s="9" t="s">
        <v>646</v>
      </c>
      <c r="C259" s="9" t="s">
        <v>3071</v>
      </c>
      <c r="D259" s="9" t="s">
        <v>647</v>
      </c>
      <c r="E259" s="9" t="s">
        <v>648</v>
      </c>
      <c r="F259" s="9" t="s">
        <v>649</v>
      </c>
      <c r="G259" s="9" t="s">
        <v>650</v>
      </c>
      <c r="H259" s="11" t="s">
        <v>3072</v>
      </c>
      <c r="I259" s="11">
        <f t="shared" si="5"/>
        <v>1541</v>
      </c>
    </row>
    <row r="260" spans="1:9" x14ac:dyDescent="0.15">
      <c r="A260" s="9" t="s">
        <v>1214</v>
      </c>
      <c r="B260" s="9" t="s">
        <v>1215</v>
      </c>
      <c r="C260" s="9" t="s">
        <v>3081</v>
      </c>
      <c r="D260" s="9" t="s">
        <v>647</v>
      </c>
      <c r="E260" s="9" t="s">
        <v>648</v>
      </c>
      <c r="F260" s="9" t="s">
        <v>649</v>
      </c>
      <c r="G260" s="9" t="s">
        <v>650</v>
      </c>
      <c r="H260" s="11" t="s">
        <v>3072</v>
      </c>
      <c r="I260" s="11">
        <f t="shared" si="5"/>
        <v>1544</v>
      </c>
    </row>
    <row r="261" spans="1:9" x14ac:dyDescent="0.15">
      <c r="A261" s="9" t="s">
        <v>2808</v>
      </c>
      <c r="B261" s="9" t="s">
        <v>2809</v>
      </c>
      <c r="C261" s="9" t="s">
        <v>3258</v>
      </c>
      <c r="D261" s="9" t="s">
        <v>647</v>
      </c>
      <c r="E261" s="9" t="s">
        <v>2810</v>
      </c>
      <c r="F261" s="9" t="s">
        <v>649</v>
      </c>
      <c r="G261" s="9" t="s">
        <v>650</v>
      </c>
      <c r="H261" s="11" t="s">
        <v>3072</v>
      </c>
      <c r="I261" s="11">
        <f t="shared" si="5"/>
        <v>1547</v>
      </c>
    </row>
    <row r="262" spans="1:9" x14ac:dyDescent="0.15">
      <c r="A262" s="9" t="s">
        <v>649</v>
      </c>
      <c r="B262" s="9" t="s">
        <v>650</v>
      </c>
      <c r="C262" s="9" t="s">
        <v>3267</v>
      </c>
      <c r="D262" s="9" t="s">
        <v>647</v>
      </c>
      <c r="E262" s="9" t="s">
        <v>2190</v>
      </c>
      <c r="F262" s="9" t="s">
        <v>2191</v>
      </c>
      <c r="G262" s="9" t="s">
        <v>2192</v>
      </c>
      <c r="H262" s="11" t="s">
        <v>3072</v>
      </c>
      <c r="I262" s="11">
        <f t="shared" si="5"/>
        <v>1550</v>
      </c>
    </row>
    <row r="263" spans="1:9" x14ac:dyDescent="0.15">
      <c r="A263" s="9" t="s">
        <v>2191</v>
      </c>
      <c r="B263" s="9" t="s">
        <v>2192</v>
      </c>
      <c r="C263" s="9" t="s">
        <v>3294</v>
      </c>
      <c r="D263" s="9" t="s">
        <v>647</v>
      </c>
      <c r="E263" s="9" t="s">
        <v>3295</v>
      </c>
      <c r="F263" s="9" t="s">
        <v>18</v>
      </c>
      <c r="G263" s="9" t="s">
        <v>18</v>
      </c>
      <c r="H263" s="11" t="s">
        <v>3042</v>
      </c>
      <c r="I263" s="11">
        <f t="shared" si="5"/>
        <v>1550</v>
      </c>
    </row>
    <row r="264" spans="1:9" x14ac:dyDescent="0.15">
      <c r="A264" s="9" t="s">
        <v>3047</v>
      </c>
      <c r="B264" s="9" t="s">
        <v>3048</v>
      </c>
      <c r="C264" s="9" t="s">
        <v>3049</v>
      </c>
      <c r="D264" s="9" t="s">
        <v>610</v>
      </c>
      <c r="E264" s="9" t="s">
        <v>3050</v>
      </c>
      <c r="F264" s="9" t="s">
        <v>978</v>
      </c>
      <c r="G264" s="9" t="s">
        <v>979</v>
      </c>
      <c r="H264" s="11" t="s">
        <v>3042</v>
      </c>
      <c r="I264" s="11">
        <f t="shared" si="5"/>
        <v>1550</v>
      </c>
    </row>
    <row r="265" spans="1:9" x14ac:dyDescent="0.15">
      <c r="A265" s="9" t="s">
        <v>550</v>
      </c>
      <c r="B265" s="9" t="s">
        <v>551</v>
      </c>
      <c r="C265" s="9" t="s">
        <v>3233</v>
      </c>
      <c r="D265" s="9" t="s">
        <v>610</v>
      </c>
      <c r="E265" s="9" t="s">
        <v>3234</v>
      </c>
      <c r="F265" s="9" t="s">
        <v>18</v>
      </c>
      <c r="G265" s="9" t="s">
        <v>18</v>
      </c>
      <c r="H265" s="11" t="s">
        <v>3042</v>
      </c>
      <c r="I265" s="11">
        <f t="shared" si="5"/>
        <v>1550</v>
      </c>
    </row>
    <row r="266" spans="1:9" x14ac:dyDescent="0.15">
      <c r="A266" s="9" t="s">
        <v>608</v>
      </c>
      <c r="B266" s="9" t="s">
        <v>609</v>
      </c>
      <c r="C266" s="9" t="s">
        <v>3253</v>
      </c>
      <c r="D266" s="9" t="s">
        <v>610</v>
      </c>
      <c r="E266" s="9" t="s">
        <v>611</v>
      </c>
      <c r="F266" s="9" t="s">
        <v>550</v>
      </c>
      <c r="G266" s="9" t="s">
        <v>551</v>
      </c>
      <c r="H266" s="11" t="s">
        <v>3027</v>
      </c>
      <c r="I266" s="11">
        <f t="shared" si="5"/>
        <v>1555</v>
      </c>
    </row>
    <row r="267" spans="1:9" x14ac:dyDescent="0.15">
      <c r="A267" s="9" t="s">
        <v>1539</v>
      </c>
      <c r="B267" s="9" t="s">
        <v>1540</v>
      </c>
      <c r="C267" s="9" t="s">
        <v>3316</v>
      </c>
      <c r="D267" s="9" t="s">
        <v>610</v>
      </c>
      <c r="E267" s="9" t="s">
        <v>1541</v>
      </c>
      <c r="F267" s="9" t="s">
        <v>550</v>
      </c>
      <c r="G267" s="9" t="s">
        <v>551</v>
      </c>
      <c r="H267" s="11" t="s">
        <v>3036</v>
      </c>
      <c r="I267" s="11">
        <f t="shared" si="5"/>
        <v>1559</v>
      </c>
    </row>
    <row r="268" spans="1:9" x14ac:dyDescent="0.15">
      <c r="A268" s="9" t="s">
        <v>264</v>
      </c>
      <c r="B268" s="9" t="s">
        <v>265</v>
      </c>
      <c r="C268" s="9" t="s">
        <v>3263</v>
      </c>
      <c r="D268" s="9" t="s">
        <v>2114</v>
      </c>
      <c r="E268" s="9" t="s">
        <v>2115</v>
      </c>
      <c r="F268" s="9" t="s">
        <v>550</v>
      </c>
      <c r="G268" s="9" t="s">
        <v>551</v>
      </c>
      <c r="H268" s="11" t="s">
        <v>3027</v>
      </c>
      <c r="I268" s="11">
        <f t="shared" si="5"/>
        <v>1564</v>
      </c>
    </row>
    <row r="269" spans="1:9" x14ac:dyDescent="0.15">
      <c r="A269" s="9" t="s">
        <v>1288</v>
      </c>
      <c r="B269" s="9" t="s">
        <v>1289</v>
      </c>
      <c r="C269" s="9" t="s">
        <v>3290</v>
      </c>
      <c r="D269" s="9" t="s">
        <v>1290</v>
      </c>
      <c r="E269" s="9" t="s">
        <v>1291</v>
      </c>
      <c r="F269" s="9" t="s">
        <v>550</v>
      </c>
      <c r="G269" s="9" t="s">
        <v>551</v>
      </c>
      <c r="H269" s="11" t="s">
        <v>3029</v>
      </c>
      <c r="I269" s="11">
        <f t="shared" si="5"/>
        <v>1570</v>
      </c>
    </row>
    <row r="270" spans="1:9" x14ac:dyDescent="0.15">
      <c r="A270" s="9" t="s">
        <v>129</v>
      </c>
      <c r="B270" s="9" t="s">
        <v>130</v>
      </c>
      <c r="C270" s="9" t="s">
        <v>3103</v>
      </c>
      <c r="D270" s="9" t="s">
        <v>548</v>
      </c>
      <c r="E270" s="9" t="s">
        <v>549</v>
      </c>
      <c r="F270" s="9" t="s">
        <v>550</v>
      </c>
      <c r="G270" s="9" t="s">
        <v>551</v>
      </c>
      <c r="H270" s="11" t="s">
        <v>3027</v>
      </c>
      <c r="I270" s="11">
        <f t="shared" si="5"/>
        <v>1575</v>
      </c>
    </row>
    <row r="271" spans="1:9" x14ac:dyDescent="0.15">
      <c r="A271" s="9" t="s">
        <v>732</v>
      </c>
      <c r="B271" s="9" t="s">
        <v>733</v>
      </c>
      <c r="C271" s="9" t="s">
        <v>3229</v>
      </c>
      <c r="D271" s="9" t="s">
        <v>1260</v>
      </c>
      <c r="E271" s="9" t="s">
        <v>1764</v>
      </c>
      <c r="F271" s="9" t="s">
        <v>550</v>
      </c>
      <c r="G271" s="9" t="s">
        <v>551</v>
      </c>
      <c r="H271" s="11" t="s">
        <v>3029</v>
      </c>
      <c r="I271" s="11">
        <f t="shared" si="5"/>
        <v>1581</v>
      </c>
    </row>
    <row r="272" spans="1:9" x14ac:dyDescent="0.15">
      <c r="A272" s="9" t="s">
        <v>1258</v>
      </c>
      <c r="B272" s="9" t="s">
        <v>1259</v>
      </c>
      <c r="C272" s="9" t="s">
        <v>3323</v>
      </c>
      <c r="D272" s="9" t="s">
        <v>1260</v>
      </c>
      <c r="E272" s="9" t="s">
        <v>1261</v>
      </c>
      <c r="F272" s="9" t="s">
        <v>732</v>
      </c>
      <c r="G272" s="9" t="s">
        <v>733</v>
      </c>
      <c r="H272" s="11" t="s">
        <v>3027</v>
      </c>
      <c r="I272" s="11">
        <f t="shared" si="5"/>
        <v>1586</v>
      </c>
    </row>
    <row r="273" spans="1:9" x14ac:dyDescent="0.15">
      <c r="A273" s="9" t="s">
        <v>93</v>
      </c>
      <c r="B273" s="9" t="s">
        <v>94</v>
      </c>
      <c r="C273" s="9" t="s">
        <v>3181</v>
      </c>
      <c r="D273" s="9" t="s">
        <v>95</v>
      </c>
      <c r="E273" s="9" t="s">
        <v>96</v>
      </c>
      <c r="F273" s="9" t="s">
        <v>97</v>
      </c>
      <c r="G273" s="9" t="s">
        <v>98</v>
      </c>
      <c r="H273" s="11" t="s">
        <v>3027</v>
      </c>
      <c r="I273" s="11">
        <f t="shared" si="5"/>
        <v>1591</v>
      </c>
    </row>
    <row r="274" spans="1:9" x14ac:dyDescent="0.15">
      <c r="A274" s="9" t="s">
        <v>97</v>
      </c>
      <c r="B274" s="9" t="s">
        <v>98</v>
      </c>
      <c r="C274" s="9" t="s">
        <v>3333</v>
      </c>
      <c r="D274" s="9" t="s">
        <v>95</v>
      </c>
      <c r="E274" s="9" t="s">
        <v>1198</v>
      </c>
      <c r="F274" s="9" t="s">
        <v>550</v>
      </c>
      <c r="G274" s="9" t="s">
        <v>551</v>
      </c>
      <c r="H274" s="11" t="s">
        <v>3027</v>
      </c>
      <c r="I274" s="11">
        <f t="shared" si="5"/>
        <v>1596</v>
      </c>
    </row>
    <row r="275" spans="1:9" x14ac:dyDescent="0.15">
      <c r="A275" s="9" t="s">
        <v>864</v>
      </c>
      <c r="B275" s="9" t="s">
        <v>865</v>
      </c>
      <c r="C275" s="9" t="s">
        <v>3296</v>
      </c>
      <c r="D275" s="9" t="s">
        <v>2031</v>
      </c>
      <c r="E275" s="9" t="s">
        <v>2032</v>
      </c>
      <c r="F275" s="9" t="s">
        <v>550</v>
      </c>
      <c r="G275" s="9" t="s">
        <v>551</v>
      </c>
      <c r="H275" s="11" t="s">
        <v>3029</v>
      </c>
      <c r="I275" s="11">
        <f t="shared" ref="I275:I276" si="6">+I274+H275</f>
        <v>1602</v>
      </c>
    </row>
    <row r="276" spans="1:9" x14ac:dyDescent="0.15">
      <c r="A276" s="9" t="s">
        <v>294</v>
      </c>
      <c r="B276" s="9" t="s">
        <v>295</v>
      </c>
      <c r="C276" s="9" t="s">
        <v>3207</v>
      </c>
      <c r="D276" s="9" t="s">
        <v>751</v>
      </c>
      <c r="E276" s="9" t="s">
        <v>752</v>
      </c>
      <c r="F276" s="9" t="s">
        <v>550</v>
      </c>
      <c r="G276" s="9" t="s">
        <v>551</v>
      </c>
      <c r="H276" s="11" t="s">
        <v>3027</v>
      </c>
      <c r="I276" s="11">
        <f t="shared" si="6"/>
        <v>1607</v>
      </c>
    </row>
  </sheetData>
  <autoFilter ref="A1:I1" xr:uid="{5DCFB6F0-D024-4D59-840B-6AB6F92911A5}"/>
  <sortState xmlns:xlrd2="http://schemas.microsoft.com/office/spreadsheetml/2017/richdata2" ref="A2:I276">
    <sortCondition ref="D2:D276"/>
  </sortState>
  <pageMargins left="0.7" right="0.7" top="0.75" bottom="0.75" header="0.3" footer="0.3"/>
  <ignoredErrors>
    <ignoredError sqref="H2:H276 F2:F276 A2:A276"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Evaluación de Objetivos 2025</vt:lpstr>
      <vt:lpstr>Resumen por Dirección</vt:lpstr>
    </vt:vector>
  </TitlesOfParts>
  <Company>Toshiba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toshiba</dc:creator>
  <cp:lastModifiedBy>Diego Salgado Betancourth</cp:lastModifiedBy>
  <dcterms:created xsi:type="dcterms:W3CDTF">2013-04-20T05:13:18Z</dcterms:created>
  <dcterms:modified xsi:type="dcterms:W3CDTF">2025-09-11T17:56:36Z</dcterms:modified>
</cp:coreProperties>
</file>