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salgadob/Downloads/"/>
    </mc:Choice>
  </mc:AlternateContent>
  <xr:revisionPtr revIDLastSave="0" documentId="8_{85189C47-F279-9E4E-AFC5-4EE94AB77410}" xr6:coauthVersionLast="47" xr6:coauthVersionMax="47" xr10:uidLastSave="{00000000-0000-0000-0000-000000000000}"/>
  <bookViews>
    <workbookView xWindow="1500" yWindow="1320" windowWidth="27640" windowHeight="16940" xr2:uid="{1857B5A1-6AFF-C04E-B013-EC48D4A051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 s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52" i="1" s="1"/>
  <c r="I253" i="1" s="1"/>
  <c r="I254" i="1" s="1"/>
  <c r="I255" i="1" s="1"/>
  <c r="I256" i="1" s="1"/>
  <c r="I257" i="1" s="1"/>
  <c r="I258" i="1" s="1"/>
  <c r="I259" i="1" s="1"/>
  <c r="I260" i="1" s="1"/>
  <c r="I261" i="1" s="1"/>
  <c r="I262" i="1" s="1"/>
  <c r="I263" i="1" s="1"/>
  <c r="I264" i="1" s="1"/>
  <c r="I265" i="1" s="1"/>
  <c r="I266" i="1" s="1"/>
  <c r="I267" i="1" s="1"/>
  <c r="I268" i="1" s="1"/>
  <c r="I269" i="1" s="1"/>
  <c r="I270" i="1" s="1"/>
  <c r="I271" i="1" s="1"/>
  <c r="I272" i="1" s="1"/>
  <c r="I273" i="1" s="1"/>
  <c r="I274" i="1" s="1"/>
  <c r="I275" i="1" s="1"/>
  <c r="I276" i="1" s="1"/>
</calcChain>
</file>

<file path=xl/sharedStrings.xml><?xml version="1.0" encoding="utf-8"?>
<sst xmlns="http://schemas.openxmlformats.org/spreadsheetml/2006/main" count="2209" uniqueCount="1120">
  <si>
    <t>Documento</t>
  </si>
  <si>
    <t>Empleado</t>
  </si>
  <si>
    <t>Correo Electrónico</t>
  </si>
  <si>
    <t>Area</t>
  </si>
  <si>
    <t>Cargo</t>
  </si>
  <si>
    <t>Documento Jefe</t>
  </si>
  <si>
    <t>Jefe</t>
  </si>
  <si>
    <t>Metas cargadas</t>
  </si>
  <si>
    <t xml:space="preserve">Metas aprobadas </t>
  </si>
  <si>
    <t>1013611049</t>
  </si>
  <si>
    <t>Jose Dario Hernandez Caro</t>
  </si>
  <si>
    <t>jose.hernandez@fng.gov.co</t>
  </si>
  <si>
    <t>Dirección Comercial</t>
  </si>
  <si>
    <t>Gerente de Cuenta Dirección Genera Bogotá - Oriente</t>
  </si>
  <si>
    <t>1088266590</t>
  </si>
  <si>
    <t>Daniel Vasquez Alzate</t>
  </si>
  <si>
    <t>5</t>
  </si>
  <si>
    <t>1015433376</t>
  </si>
  <si>
    <t>Brayan Medardo Ruiz Bonilla</t>
  </si>
  <si>
    <t>brayan.ruiz@fng.gov.co</t>
  </si>
  <si>
    <t>Gerente de Cuenta Dirección General Bogotá -  Sur</t>
  </si>
  <si>
    <t>31447715</t>
  </si>
  <si>
    <t>Diana Alexandra Vasquez Gonzalez</t>
  </si>
  <si>
    <t>1018487791</t>
  </si>
  <si>
    <t>Angie Paola Ospina Bedoya</t>
  </si>
  <si>
    <t>angie.ospina@fng.gov.co</t>
  </si>
  <si>
    <t>Subdirector de Fondos Regionales</t>
  </si>
  <si>
    <t>72212114</t>
  </si>
  <si>
    <t>Andres Eduardo Senior Herrera</t>
  </si>
  <si>
    <t>1032421856</t>
  </si>
  <si>
    <t>Yuly Viviana Lopez Vargas</t>
  </si>
  <si>
    <t>yuly.lopez@fng.gov.co</t>
  </si>
  <si>
    <t>Subdirector Comercial de Direcciones Generales Bogotá -  Centro</t>
  </si>
  <si>
    <t>1032484530</t>
  </si>
  <si>
    <t>Angie Catherin Arguello Porras</t>
  </si>
  <si>
    <t>angie.arguello@fng.gov.co</t>
  </si>
  <si>
    <t>Gerente de Cuenta Dirección General Bogotá - Norte</t>
  </si>
  <si>
    <t>1036640896</t>
  </si>
  <si>
    <t>Laura Moreno Echeverri</t>
  </si>
  <si>
    <t>laura.moreno@fng.gov.co</t>
  </si>
  <si>
    <t>Gerente de Cuenta Medellín</t>
  </si>
  <si>
    <t>42889458</t>
  </si>
  <si>
    <t>Olga Lucia Zuluaga Meneses</t>
  </si>
  <si>
    <t>1077441175</t>
  </si>
  <si>
    <t>Zomer Lara Mosquera</t>
  </si>
  <si>
    <t>zomer.lara@fng.gov.co</t>
  </si>
  <si>
    <t>Gerente de Cuenta Choco</t>
  </si>
  <si>
    <t>daniel.vasquez@fng.gov.co</t>
  </si>
  <si>
    <t>Subdirector Comercial de Direcciones Generales Bogotá -  Nororiente</t>
  </si>
  <si>
    <t>1121822635</t>
  </si>
  <si>
    <t>Juan Sebastian Sanchez Galindo</t>
  </si>
  <si>
    <t>juan.sanchez@fng.gov.co</t>
  </si>
  <si>
    <t>Subdirector Regional Bogotá -  Centro</t>
  </si>
  <si>
    <t>1130669975</t>
  </si>
  <si>
    <t>Andres Ivan Jaimes Ardila</t>
  </si>
  <si>
    <t>andres.jaimes@fng.gov.co</t>
  </si>
  <si>
    <t>Gerente de Cuenta Santander</t>
  </si>
  <si>
    <t>37728658</t>
  </si>
  <si>
    <t>Sylvia Marcela Daza Ruiz</t>
  </si>
  <si>
    <t>alexandra.vasquez@fng.gov.co</t>
  </si>
  <si>
    <t>Subdirector Comercial de Direcciones Generales Bogotá -  Sur</t>
  </si>
  <si>
    <t>35426641</t>
  </si>
  <si>
    <t>Yurany Astrid Hernandez Torres</t>
  </si>
  <si>
    <t>yurany.hernandez@fng.gov.co</t>
  </si>
  <si>
    <t>Gerente de Cuenta Bogotá - Cundinamarca</t>
  </si>
  <si>
    <t>sylvia.daza@fng.gov.co</t>
  </si>
  <si>
    <t>Subdirector Regional Santander</t>
  </si>
  <si>
    <t>38210323</t>
  </si>
  <si>
    <t>Dory Lorena Rodriguez Bocanegra</t>
  </si>
  <si>
    <t>dory.rodriguez@fng.gov.co</t>
  </si>
  <si>
    <t>Gerente de Cuenta Tolima</t>
  </si>
  <si>
    <t>40410096</t>
  </si>
  <si>
    <t>Rosa Liliana Romero Ramos</t>
  </si>
  <si>
    <t>rosa.romero@fng.gov.co</t>
  </si>
  <si>
    <t>Gerente de Cuenta Meta - Amazonia</t>
  </si>
  <si>
    <t>olga.zuluaga@fng.gov.co</t>
  </si>
  <si>
    <t>Subdirector Regional Antioquia y Choco</t>
  </si>
  <si>
    <t>43829277</t>
  </si>
  <si>
    <t>Monica Magdalena Henao Puerta</t>
  </si>
  <si>
    <t>monica.henao@fng.gov.co</t>
  </si>
  <si>
    <t>Gerente de Cuenta Dirección General Antioquia</t>
  </si>
  <si>
    <t>43918903</t>
  </si>
  <si>
    <t>Ana Maria Hernandez Posada</t>
  </si>
  <si>
    <t>ana.hernandez@fng.gov.co</t>
  </si>
  <si>
    <t>52526729</t>
  </si>
  <si>
    <t>Maria Teresa Hernandez Niño</t>
  </si>
  <si>
    <t>maria.hernandez@fng.gov.co</t>
  </si>
  <si>
    <t>Gerente de Cuenta Senior Fondos Regionales</t>
  </si>
  <si>
    <t>52533799</t>
  </si>
  <si>
    <t>Claudia Marcela Quintero Rodriguez</t>
  </si>
  <si>
    <t>claudia.quintero@fng.gov.co</t>
  </si>
  <si>
    <t>Gerente de Cuenta Dirección General Bogotá - Antioquia</t>
  </si>
  <si>
    <t>52912737</t>
  </si>
  <si>
    <t>Yenny Maritza Ochoa Puentes</t>
  </si>
  <si>
    <t>yenny.ochoa@fng.gov.co</t>
  </si>
  <si>
    <t>Gerente de Cuenta Dirección General  Bogotá - Centro</t>
  </si>
  <si>
    <t>53067199</t>
  </si>
  <si>
    <t>Mariana Luz Orozco Perez</t>
  </si>
  <si>
    <t>mariana.orozco@fng.gov.co</t>
  </si>
  <si>
    <t>andres.senior@fng.gov.co</t>
  </si>
  <si>
    <t>Director Comercial Nacional</t>
  </si>
  <si>
    <t>52541982</t>
  </si>
  <si>
    <t>Luz Patricia Garzon Almanza</t>
  </si>
  <si>
    <t>4</t>
  </si>
  <si>
    <t>78747564</t>
  </si>
  <si>
    <t>Carlos Enrique Luna Lopez</t>
  </si>
  <si>
    <t>carlos.luna@fng.gov.co</t>
  </si>
  <si>
    <t>Gerente de Cuenta Huila</t>
  </si>
  <si>
    <t>1010189237</t>
  </si>
  <si>
    <t>Ana Carolina Noriega Pitre</t>
  </si>
  <si>
    <t>ana.noriega@fng.gov.co</t>
  </si>
  <si>
    <t>Dirección de Asuntos Corporativos</t>
  </si>
  <si>
    <t>Profesional Senior de Asuntos Corporativos</t>
  </si>
  <si>
    <t>38671824</t>
  </si>
  <si>
    <t>Lina Maria Bueno Salazar</t>
  </si>
  <si>
    <t>1018500741</t>
  </si>
  <si>
    <t>Julian Andres Garzon Lopez</t>
  </si>
  <si>
    <t>julian.garzon@fng.gov.co</t>
  </si>
  <si>
    <t>Profesional Senior de Responsabilidad Social Sostenibilidad</t>
  </si>
  <si>
    <t>1110446460</t>
  </si>
  <si>
    <t>Daniel Mauricio Ramirez Troncoso</t>
  </si>
  <si>
    <t>1032496198</t>
  </si>
  <si>
    <t>Brian Alonso Gonzalez Olivera</t>
  </si>
  <si>
    <t>brian.gonzalez@fng.gov.co</t>
  </si>
  <si>
    <t>Profesional Senior de Gobierno Corporativo</t>
  </si>
  <si>
    <t>1152186406</t>
  </si>
  <si>
    <t>Eleonora Mejia Restrepo</t>
  </si>
  <si>
    <t>6</t>
  </si>
  <si>
    <t>eleonora.mejia@fng.gov.co</t>
  </si>
  <si>
    <t>Director de Asuntos Corporativos</t>
  </si>
  <si>
    <t>98552517</t>
  </si>
  <si>
    <t>Ivan Dario Ruiz Perez</t>
  </si>
  <si>
    <t>lina.bueno@fng.gov.co</t>
  </si>
  <si>
    <t>Subdirector de Asuntos Corporativos</t>
  </si>
  <si>
    <t>53081198</t>
  </si>
  <si>
    <t>Luz Adriana Loaiza Moreno</t>
  </si>
  <si>
    <t>luz.loaiza@fng.gov.co</t>
  </si>
  <si>
    <t>Profesional de Seguridad de la Información</t>
  </si>
  <si>
    <t>80088226</t>
  </si>
  <si>
    <t>Adrian Gomez Vargas</t>
  </si>
  <si>
    <t>53177700</t>
  </si>
  <si>
    <t>Laura Fernanda Quimbay Salamanca</t>
  </si>
  <si>
    <t>laura.quimbay@fng.gov.co</t>
  </si>
  <si>
    <t>Subdirector de Responsabilidad Social y Sostenibilidad</t>
  </si>
  <si>
    <t>adrian.gomez@fng.gov.co</t>
  </si>
  <si>
    <t>Subdirector de Seguridad de la Información</t>
  </si>
  <si>
    <t>1010069744</t>
  </si>
  <si>
    <t>Angie Tatiana Aguilar Forero</t>
  </si>
  <si>
    <t>angie.aguilar@fng.gov.co</t>
  </si>
  <si>
    <t>Dirección de Contabilidad y Presupuesto</t>
  </si>
  <si>
    <t>Profesional de Gestión Contable</t>
  </si>
  <si>
    <t>22515983</t>
  </si>
  <si>
    <t>Marilyn Del Carmen Avendaño Armenta</t>
  </si>
  <si>
    <t>0</t>
  </si>
  <si>
    <t>10124676</t>
  </si>
  <si>
    <t>Julian Hernandez Bedoya</t>
  </si>
  <si>
    <t>julian.hernandez@fng.gov.co</t>
  </si>
  <si>
    <t>7</t>
  </si>
  <si>
    <t>1026266971</t>
  </si>
  <si>
    <t>Nathaly Granada Bohorquez</t>
  </si>
  <si>
    <t>nathaly.granada@fng.gov.co</t>
  </si>
  <si>
    <t>1070950195</t>
  </si>
  <si>
    <t>Maria Angelica Rojas Moya</t>
  </si>
  <si>
    <t>maria.rojas@fng.gov.co</t>
  </si>
  <si>
    <t>1077033336</t>
  </si>
  <si>
    <t>Hector Fabian Cortes Martinez</t>
  </si>
  <si>
    <t>hector.cortes@fng.gov.co</t>
  </si>
  <si>
    <t>Profesional de Gestión Contable y Presupuestal</t>
  </si>
  <si>
    <t>9</t>
  </si>
  <si>
    <t>1233492934</t>
  </si>
  <si>
    <t>Cristian Camilo Montoya Gonzalez</t>
  </si>
  <si>
    <t>cristian.montoya@fng.gov.co</t>
  </si>
  <si>
    <t>8</t>
  </si>
  <si>
    <t>marilyn.avendano@fng.gov.co</t>
  </si>
  <si>
    <t>Subdirector de Contabilidad y Presupuesto</t>
  </si>
  <si>
    <t>52489403</t>
  </si>
  <si>
    <t>Diana Janeth Pineda Mendoza</t>
  </si>
  <si>
    <t>23574669</t>
  </si>
  <si>
    <t>Sandra Milena Nuñez Baron</t>
  </si>
  <si>
    <t>sandra.nunez@fng.gov.co</t>
  </si>
  <si>
    <t>52308575</t>
  </si>
  <si>
    <t>Luz Angela Velasquez Coy</t>
  </si>
  <si>
    <t>luz.velasquez@fng.gov.co</t>
  </si>
  <si>
    <t>Profesional de Gestión Contable y de Mandatos</t>
  </si>
  <si>
    <t>diana.pineda@fng.gov.co</t>
  </si>
  <si>
    <t>Director de Contabilidad y Presupuesto</t>
  </si>
  <si>
    <t>79598097</t>
  </si>
  <si>
    <t>Luis Enrique Ramirez Montoya</t>
  </si>
  <si>
    <t>1010196313</t>
  </si>
  <si>
    <t>Juan Pablo Reinoso Angel</t>
  </si>
  <si>
    <t>juan.reinoso@fng.gov.co</t>
  </si>
  <si>
    <t>Dirección de Contratación</t>
  </si>
  <si>
    <t>Profesional Senior de Gestión Contractual</t>
  </si>
  <si>
    <t>1014181932</t>
  </si>
  <si>
    <t>Veronica Espejo Peña</t>
  </si>
  <si>
    <t>1013638205</t>
  </si>
  <si>
    <t>Janeth Zulay Tibocha Rodríguez</t>
  </si>
  <si>
    <t>janeth.tibocha@fng.gov.co</t>
  </si>
  <si>
    <t>veronica.espejo@fng.gov.co</t>
  </si>
  <si>
    <t>Director de Contratación</t>
  </si>
  <si>
    <t>1019020926</t>
  </si>
  <si>
    <t>Sonia Milena Hernandez Nariño</t>
  </si>
  <si>
    <t>sonia.hernandez@fng.gov.co</t>
  </si>
  <si>
    <t>Profesional de Supervision Contractual</t>
  </si>
  <si>
    <t>1023900812</t>
  </si>
  <si>
    <t>Xiomara Melissa Sierra Ospina</t>
  </si>
  <si>
    <t>xiomara.sierra@fng.gov.co</t>
  </si>
  <si>
    <t>Profesional Senior de Invitaciones Públicas</t>
  </si>
  <si>
    <t>1024496875</t>
  </si>
  <si>
    <t>Sandra Milena Serrato Zuluaga</t>
  </si>
  <si>
    <t>sandra.serrato@fng.gov.co</t>
  </si>
  <si>
    <t>Profesional de Análisis Financiero y Estudio de Mercado</t>
  </si>
  <si>
    <t>1030555911</t>
  </si>
  <si>
    <t>Karen Yiset Gutierrez Rojas</t>
  </si>
  <si>
    <t>karen.gutierrez@fng.gov.co</t>
  </si>
  <si>
    <t>Subdirector de Gestión Contractual</t>
  </si>
  <si>
    <t>79956044</t>
  </si>
  <si>
    <t>Juan David Parada Tovar</t>
  </si>
  <si>
    <t>juan.parada@fng.gov.co</t>
  </si>
  <si>
    <t>Profesional de Gestión Contractual</t>
  </si>
  <si>
    <t>1013586929</t>
  </si>
  <si>
    <t>Yulieth Sofia Calderon Caicedo</t>
  </si>
  <si>
    <t>yulieth.calderon@fng.gov.co</t>
  </si>
  <si>
    <t>Dirección de Cumplimiento</t>
  </si>
  <si>
    <t>Director de Cumplimiento</t>
  </si>
  <si>
    <t>1032461867</t>
  </si>
  <si>
    <t>Juan Sebastian Manrique Dueñas</t>
  </si>
  <si>
    <t>juan.manrique@fng.gov.co</t>
  </si>
  <si>
    <t>Profesional Senior Gestión de Cumplimiento</t>
  </si>
  <si>
    <t>1066175397</t>
  </si>
  <si>
    <t>Sandra Marcela Arroyo Dejanon</t>
  </si>
  <si>
    <t>sandra.arroyo@fng.gov.co</t>
  </si>
  <si>
    <t>Profesional de Gestión de Cumplimiento</t>
  </si>
  <si>
    <t>1030522572</t>
  </si>
  <si>
    <t>Cesar Alfonso Sanchez Rojas</t>
  </si>
  <si>
    <t>cesar.sanchez@fng.gov.co</t>
  </si>
  <si>
    <t>Dirección de Desarrollo y Aplicaciones</t>
  </si>
  <si>
    <t>Subdirector de Aplicaciones SAP</t>
  </si>
  <si>
    <t>79294049</t>
  </si>
  <si>
    <t>Fernando Arciniegas Masmela</t>
  </si>
  <si>
    <t>1030619920</t>
  </si>
  <si>
    <t>Julieth Andrea Castiblanco Velosa</t>
  </si>
  <si>
    <t>julieth.castiblanco@fng.gov.co</t>
  </si>
  <si>
    <t>Ingeniero de Desarrollo y Soporte de Aplicaciones</t>
  </si>
  <si>
    <t>79856809</t>
  </si>
  <si>
    <t>Hector German Paramo Urrea</t>
  </si>
  <si>
    <t>1031146556</t>
  </si>
  <si>
    <t>Jhon Edison Raba Forero</t>
  </si>
  <si>
    <t>jhon.raba@fng.gov.co</t>
  </si>
  <si>
    <t>Ingeniero de Desarrollo</t>
  </si>
  <si>
    <t>1049606654</t>
  </si>
  <si>
    <t>Linda Yesenia Vanegas Cano</t>
  </si>
  <si>
    <t>linda.vanegas@fng.gov.co</t>
  </si>
  <si>
    <t>Administrador Basis Junior</t>
  </si>
  <si>
    <t>11233582</t>
  </si>
  <si>
    <t>Anderson Mauricio Hernandez Gomez</t>
  </si>
  <si>
    <t>anderson.hernandez@fng.gov.co</t>
  </si>
  <si>
    <t>Ingeniero de Desarrollo ABAP</t>
  </si>
  <si>
    <t>74080804</t>
  </si>
  <si>
    <t>Alvaro Andres Castiblanco Lopez</t>
  </si>
  <si>
    <t>alvaro.castiblanco@fng.gov.co</t>
  </si>
  <si>
    <t>Administrador Basis SAP</t>
  </si>
  <si>
    <t>fernando.arciniegas@fng.gov.co</t>
  </si>
  <si>
    <t>Director de Desarrollo y Aplicaciones</t>
  </si>
  <si>
    <t>30689073</t>
  </si>
  <si>
    <t>Katty Eljach Martinez</t>
  </si>
  <si>
    <t>79854391</t>
  </si>
  <si>
    <t>Javier Vargas Castillo</t>
  </si>
  <si>
    <t>javier.vargas@fng.gov.co</t>
  </si>
  <si>
    <t>Ingeniero Líder de Desarrollo ABAP</t>
  </si>
  <si>
    <t>hector.paramo@fng.gov.co</t>
  </si>
  <si>
    <t>Subdirector de Aplicaciones Misionales</t>
  </si>
  <si>
    <t>80099452</t>
  </si>
  <si>
    <t>Diego Andrés Cubillos Cuellar</t>
  </si>
  <si>
    <t>diego.cubillos@fng.gov.co</t>
  </si>
  <si>
    <t>Tecnico Desarrollador</t>
  </si>
  <si>
    <t>87218855</t>
  </si>
  <si>
    <t>Alirio Mendez Peña</t>
  </si>
  <si>
    <t>alirio.mendez@fng.gov.co</t>
  </si>
  <si>
    <t>1006856480</t>
  </si>
  <si>
    <t>Yesica Lorena Oviedo Pava</t>
  </si>
  <si>
    <t>yesica.oviedo@fng.gov.co</t>
  </si>
  <si>
    <t>Dirección de Estrategia Comercial</t>
  </si>
  <si>
    <t>Profesional de Estrategia Comercial</t>
  </si>
  <si>
    <t>91290542</t>
  </si>
  <si>
    <t>Oscar Fernando Sanchez Lizarazo</t>
  </si>
  <si>
    <t>1018431496</t>
  </si>
  <si>
    <t>Carmen Viviana Quitian Moreno</t>
  </si>
  <si>
    <t>carmen.quitian@fng.gov.co</t>
  </si>
  <si>
    <t>1033646123</t>
  </si>
  <si>
    <t>Viviana Patricia Gomez Lopez</t>
  </si>
  <si>
    <t>viviana.gomez@fng.gov.co</t>
  </si>
  <si>
    <t>1049603860</t>
  </si>
  <si>
    <t>Karen Jullieth Fonseca Atara</t>
  </si>
  <si>
    <t>karen.fonseca@fng.gov.co</t>
  </si>
  <si>
    <t>Profesional Senior de Estrategia Comercial</t>
  </si>
  <si>
    <t>79295762</t>
  </si>
  <si>
    <t>Juan Carlos Romero Angel</t>
  </si>
  <si>
    <t>juan.romero@fng.gov.co</t>
  </si>
  <si>
    <t>Director de Estrategia Comercial</t>
  </si>
  <si>
    <t>oscar.sanchez@fng.gov.co</t>
  </si>
  <si>
    <t>Subdirector de Estrategia Comercial</t>
  </si>
  <si>
    <t>1002327906</t>
  </si>
  <si>
    <t>Deisy Alexandra Archila Rodriguez</t>
  </si>
  <si>
    <t>deisy.archila@fng.gov.co</t>
  </si>
  <si>
    <t>Dirección de Estructuración e Innovación de Productos y Gestión Empresarial</t>
  </si>
  <si>
    <t>Subdirector de Gestion Empresarial</t>
  </si>
  <si>
    <t>1098782585</t>
  </si>
  <si>
    <t>Juan David Gama Mojica</t>
  </si>
  <si>
    <t>1010238319</t>
  </si>
  <si>
    <t>Daniela Rivera Joya</t>
  </si>
  <si>
    <t>daniela.rivera@fng.gov.co</t>
  </si>
  <si>
    <t>Analista de Estructuracion y Gestión Empresarial</t>
  </si>
  <si>
    <t>1032410007</t>
  </si>
  <si>
    <t>Jenny Loreind Amaya Torres</t>
  </si>
  <si>
    <t>1014261483</t>
  </si>
  <si>
    <t>Manuel Alejandro Lucero Ortega</t>
  </si>
  <si>
    <t>manuel.lucero@fng.gov.co</t>
  </si>
  <si>
    <t>Profesional Senior de Estrategias Financieras</t>
  </si>
  <si>
    <t>1018463081</t>
  </si>
  <si>
    <t>Miguel Angel Jaramillo Quintero</t>
  </si>
  <si>
    <t>miguel.jaramillo@fng.gov.co</t>
  </si>
  <si>
    <t>Especialista de Producto y Servicios</t>
  </si>
  <si>
    <t>1022372546</t>
  </si>
  <si>
    <t>Jhan Adair Ortiz Ramirez</t>
  </si>
  <si>
    <t>jhan.ortiz@fng.gov.co</t>
  </si>
  <si>
    <t>3</t>
  </si>
  <si>
    <t>jenny.amaya@fng.gov.co</t>
  </si>
  <si>
    <t>Subdirector de Estructuracion de Producto e Innovacion</t>
  </si>
  <si>
    <t>1054681002</t>
  </si>
  <si>
    <t>Laura Andrea Gomez Guerrero</t>
  </si>
  <si>
    <t>laura.gomez@fng.gov.co</t>
  </si>
  <si>
    <t>Profesional Senior de Gestión y Desarrollo Empresarial</t>
  </si>
  <si>
    <t>juan.gama@fng.gov.co</t>
  </si>
  <si>
    <t>Director de de Estructuración e Innovación de Productos y Gestión Empresarial</t>
  </si>
  <si>
    <t>1140899202</t>
  </si>
  <si>
    <t>Alejandra Maria Marin Caro</t>
  </si>
  <si>
    <t>alejandra.marin@fng.gov.co</t>
  </si>
  <si>
    <t>1000708896</t>
  </si>
  <si>
    <t>Maria Alejandra Perez Rojas</t>
  </si>
  <si>
    <t>maria.perez@fng.gov.co</t>
  </si>
  <si>
    <t>Dirección de Experiencia</t>
  </si>
  <si>
    <t>Profesional  de Experiencia y Cultura de Servicio</t>
  </si>
  <si>
    <t>1019070310</t>
  </si>
  <si>
    <t>Laura Janneth Santana Rivera</t>
  </si>
  <si>
    <t>1016095934</t>
  </si>
  <si>
    <t>Andres Felipe Morales Contreras</t>
  </si>
  <si>
    <t>andres.morales@fng.gov.co</t>
  </si>
  <si>
    <t>Profesional de Experiencia y Optimización de Procesos</t>
  </si>
  <si>
    <t>1019048637</t>
  </si>
  <si>
    <t>Eduardo Luis De Oro Romero</t>
  </si>
  <si>
    <t>eduardo.deoro@fng.gov.co</t>
  </si>
  <si>
    <t>Subdirector de Experiencia Comercial y Producto</t>
  </si>
  <si>
    <t>1075223684</t>
  </si>
  <si>
    <t>Diana Carolina Ocaña Tovar</t>
  </si>
  <si>
    <t>laura.santana@fng.gov.co</t>
  </si>
  <si>
    <t>Subdirector Experiencia de Negocio</t>
  </si>
  <si>
    <t>1026259257</t>
  </si>
  <si>
    <t>Erbin Mauricio Bayona Gomez</t>
  </si>
  <si>
    <t>erbin.bayona@fng.gov.co</t>
  </si>
  <si>
    <t>Coordinador Experiencia Grandes Intermediarios Financieros</t>
  </si>
  <si>
    <t>1032471847</t>
  </si>
  <si>
    <t>Karen Zulenny Ariza Calderon</t>
  </si>
  <si>
    <t>karen.ariza@fng.gov.co</t>
  </si>
  <si>
    <t>Profesional de Gestión de Experiencia</t>
  </si>
  <si>
    <t>1057412811</t>
  </si>
  <si>
    <t>Hector Fabian Bermudez Moreno</t>
  </si>
  <si>
    <t>hector.bermudez@fng.gov.co</t>
  </si>
  <si>
    <t>Coordinador Experiencia Medianos Intermediarios Financieros</t>
  </si>
  <si>
    <t>1057606854</t>
  </si>
  <si>
    <t>Maria Paula Camargo Perez</t>
  </si>
  <si>
    <t>maria.camargo@fng.gov.co</t>
  </si>
  <si>
    <t>Profesional de Optimización de Procesos y Mediciones</t>
  </si>
  <si>
    <t>carolina.ocana@fng.gov.co</t>
  </si>
  <si>
    <t>Director de Experiencia</t>
  </si>
  <si>
    <t>1012354290</t>
  </si>
  <si>
    <t>Sandra Milena Galindo Garzon</t>
  </si>
  <si>
    <t>sandra.galindo@fng.gov.co</t>
  </si>
  <si>
    <t>Dirección de Felicidad</t>
  </si>
  <si>
    <t>Profesional de Gestión del Conocimiento</t>
  </si>
  <si>
    <t>52191404</t>
  </si>
  <si>
    <t>Esther Julia Hernandez Lopez</t>
  </si>
  <si>
    <t>1014188581</t>
  </si>
  <si>
    <t>Laura Natalia Sanchez Velasco</t>
  </si>
  <si>
    <t>laura.sanchez@fng.gov.co</t>
  </si>
  <si>
    <t>Profesional de Infraestructura Física</t>
  </si>
  <si>
    <t>64704901</t>
  </si>
  <si>
    <t>Angela Maria Chica Zuccardi</t>
  </si>
  <si>
    <t>1110512577</t>
  </si>
  <si>
    <t>Jenifer Paola Usma Arias</t>
  </si>
  <si>
    <t>jenifer.usma@fng.gov.co</t>
  </si>
  <si>
    <t>Profesional de Bienestar Empresarial</t>
  </si>
  <si>
    <t>1193373790</t>
  </si>
  <si>
    <t>Maria Jose Neira Saenz</t>
  </si>
  <si>
    <t>maria.neira@fng.gov.co</t>
  </si>
  <si>
    <t>Profesional de Gestión Administrativa</t>
  </si>
  <si>
    <t>3203390</t>
  </si>
  <si>
    <t>John Jairo Calderon Calderon</t>
  </si>
  <si>
    <t>john.calderon@fng.gov.co</t>
  </si>
  <si>
    <t>39544978</t>
  </si>
  <si>
    <t>Claudia Esther Tafur Alarcon</t>
  </si>
  <si>
    <t>claudia.tafur@fng.gov.co</t>
  </si>
  <si>
    <t>Profesional de Servicios Administrativos</t>
  </si>
  <si>
    <t>52872500</t>
  </si>
  <si>
    <t>Paola Fernanda Yate Parra</t>
  </si>
  <si>
    <t>esther.hernandez@fng.gov.co</t>
  </si>
  <si>
    <t>Director de Felicidad</t>
  </si>
  <si>
    <t>52303234</t>
  </si>
  <si>
    <t>Luz Adriana Camacho Torres</t>
  </si>
  <si>
    <t>luz.camacho@fng.gov.co</t>
  </si>
  <si>
    <t>Auxiliar de Gestión Administrativa</t>
  </si>
  <si>
    <t>52647494</t>
  </si>
  <si>
    <t>Monica Bibiana Martinez Mora</t>
  </si>
  <si>
    <t>monica.martinez@fng.gov.co</t>
  </si>
  <si>
    <t>Profesional Senior de Bienestar Empresarial</t>
  </si>
  <si>
    <t>52715896</t>
  </si>
  <si>
    <t>Sandra Milena Olarte Moscoso</t>
  </si>
  <si>
    <t>sandra.olarte@fng.gov.co</t>
  </si>
  <si>
    <t>Subdirector de Felicidad</t>
  </si>
  <si>
    <t>52833710</t>
  </si>
  <si>
    <t>Luz Angela Cuevas Carvajalino</t>
  </si>
  <si>
    <t>luz.cuevas@fng.gov.co</t>
  </si>
  <si>
    <t>Profesional de Selección y Desarrollo</t>
  </si>
  <si>
    <t>paola.yate@fng.gov.co</t>
  </si>
  <si>
    <t>Subdirector de Gestión Administrativa</t>
  </si>
  <si>
    <t>52898383</t>
  </si>
  <si>
    <t>Angelly Bibiana Rojas Castellanos</t>
  </si>
  <si>
    <t>angelly.rojas@fng.gov.co</t>
  </si>
  <si>
    <t>Profesional Senior de Compensación y Beneficios</t>
  </si>
  <si>
    <t>angela.chica@fng.gov.co</t>
  </si>
  <si>
    <t>Subdirector de Infraestructura Física</t>
  </si>
  <si>
    <t>65771853</t>
  </si>
  <si>
    <t>Lenda Patricia Avila Barrero</t>
  </si>
  <si>
    <t>lenda.avila@fng.gov.co</t>
  </si>
  <si>
    <t>Profesional Senior de Seguridad y Salud en el Trabajo</t>
  </si>
  <si>
    <t>79394149</t>
  </si>
  <si>
    <t>Daniel Porras Gutierrez</t>
  </si>
  <si>
    <t>daniel.porras@fng.gov.co</t>
  </si>
  <si>
    <t>Analista de Compensación</t>
  </si>
  <si>
    <t>79989261</t>
  </si>
  <si>
    <t>Jose Martin Romero Cabezas</t>
  </si>
  <si>
    <t>jose.romero@fng.gov.co</t>
  </si>
  <si>
    <t>Profesional Senior de Gestión Documental</t>
  </si>
  <si>
    <t>80424921</t>
  </si>
  <si>
    <t>Wilfredo Jimenez Ladino</t>
  </si>
  <si>
    <t>wilfredo.jimenez@fng.gov.co</t>
  </si>
  <si>
    <t>ANALISTA ADMINISTRATIVO Y DE SERVICIOS GENERALES</t>
  </si>
  <si>
    <t>1015407965</t>
  </si>
  <si>
    <t>Nataly Vera Castellanos</t>
  </si>
  <si>
    <t>nataly.vera@fng.gov.co</t>
  </si>
  <si>
    <t>Dirección de Gestión y Recuperación de Cartera</t>
  </si>
  <si>
    <t>Director de Gestión y Recuperación de Cartera</t>
  </si>
  <si>
    <t>1016035286</t>
  </si>
  <si>
    <t>Leidy Paola Galindo Jimenez</t>
  </si>
  <si>
    <t>leidy.galindo@fng.gov.co</t>
  </si>
  <si>
    <t>Profesional Senior de Cartera</t>
  </si>
  <si>
    <t>38360566</t>
  </si>
  <si>
    <t>Elizabeth Jane Martin Perez</t>
  </si>
  <si>
    <t>1024558458</t>
  </si>
  <si>
    <t>Sergio Ferney Martinez Cabezas</t>
  </si>
  <si>
    <t>sergio.martinez@fng.gov.co</t>
  </si>
  <si>
    <t>Profesional de Gestión de Cartera</t>
  </si>
  <si>
    <t>80067757</t>
  </si>
  <si>
    <t>Manuel Fernando Renteria Velasquez</t>
  </si>
  <si>
    <t>1026290987</t>
  </si>
  <si>
    <t>Laura Fernanda Franco Ovalle</t>
  </si>
  <si>
    <t>laura.franco@fng.gov.co</t>
  </si>
  <si>
    <t>1030522083</t>
  </si>
  <si>
    <t>Milton Camilo Carranza Muñoz</t>
  </si>
  <si>
    <t>milton.carranza@fng.gov.co</t>
  </si>
  <si>
    <t>Profesional Ventas de Cartera</t>
  </si>
  <si>
    <t>1049620669</t>
  </si>
  <si>
    <t>Yennyfer Julieth Rodriguez Crispin</t>
  </si>
  <si>
    <t>yennyfer.rodriguez@fng.gov.co</t>
  </si>
  <si>
    <t>Profesional Senior de Gestión Jurídica de Cartera</t>
  </si>
  <si>
    <t>1110591996</t>
  </si>
  <si>
    <t>Diego Alexander Castillo Saavedra</t>
  </si>
  <si>
    <t>diego.castillo@fng.gov.co</t>
  </si>
  <si>
    <t>Profesional de Aplicación de Ingresos</t>
  </si>
  <si>
    <t>elizabeth.martin@fng.gov.co</t>
  </si>
  <si>
    <t>Subdirector de Cartera</t>
  </si>
  <si>
    <t>79834783</t>
  </si>
  <si>
    <t>Luis Carlos Real Mendez</t>
  </si>
  <si>
    <t>luis.real@fng.gov.co</t>
  </si>
  <si>
    <t>Profesional de Información de Cartera</t>
  </si>
  <si>
    <t>manuel.renteria@fng.gov.co</t>
  </si>
  <si>
    <t>Subdirector Gestión Jurídica de Cartera</t>
  </si>
  <si>
    <t>1019073962</t>
  </si>
  <si>
    <t>Leidy Johanna Velandia Cabra</t>
  </si>
  <si>
    <t>leidy.velandia@fng.gov.co</t>
  </si>
  <si>
    <t>Dirección de Infraestructura Tecnológica</t>
  </si>
  <si>
    <t>Administrador Microsoft</t>
  </si>
  <si>
    <t>80171332</t>
  </si>
  <si>
    <t>Andres David Yaguez Santana</t>
  </si>
  <si>
    <t>1023908288</t>
  </si>
  <si>
    <t>Oscar Dario Farfan Pineda</t>
  </si>
  <si>
    <t>oscar.farfan@fng.gov.co</t>
  </si>
  <si>
    <t>Administrador de Base de Datos</t>
  </si>
  <si>
    <t>1030530449</t>
  </si>
  <si>
    <t>Sergio Steven Cuesta Luna</t>
  </si>
  <si>
    <t>sergio.cuesta@fng.gov.co</t>
  </si>
  <si>
    <t>Administrador de Servidores y Data Center</t>
  </si>
  <si>
    <t>1128407632</t>
  </si>
  <si>
    <t>Daniel Betancur Salazar</t>
  </si>
  <si>
    <t>daniel.betancur@fng.gov.co</t>
  </si>
  <si>
    <t>Director de Infraestructura Tecnológica</t>
  </si>
  <si>
    <t>4116931</t>
  </si>
  <si>
    <t>Nelson Enrique Medina Carreño</t>
  </si>
  <si>
    <t>nelson.medina@fng.gov.co</t>
  </si>
  <si>
    <t>Profesional Mesa de Servicio</t>
  </si>
  <si>
    <t>52118886</t>
  </si>
  <si>
    <t>Patricia Rojas Tristancho</t>
  </si>
  <si>
    <t>patricia.rojas@fng.gov.co</t>
  </si>
  <si>
    <t>Subdirector de Servicios Tecnológicos</t>
  </si>
  <si>
    <t>52932793</t>
  </si>
  <si>
    <t>Sandra Nayibe Ospina Bernal</t>
  </si>
  <si>
    <t>sandra.ospina@fng.gov.co</t>
  </si>
  <si>
    <t>Lider Mesa de Servicio</t>
  </si>
  <si>
    <t>79842413</t>
  </si>
  <si>
    <t>Hector Hernando Gonzalez Rodriguez</t>
  </si>
  <si>
    <t>hector.gonzalez@fng.gov.co</t>
  </si>
  <si>
    <t>Administrador de Seguridad Informática</t>
  </si>
  <si>
    <t>80061231</t>
  </si>
  <si>
    <t>Jair Antonio Figueredo Martinez</t>
  </si>
  <si>
    <t>jair.figueredo@fng.gov.co</t>
  </si>
  <si>
    <t>Agente Mesa de Servicio de TI</t>
  </si>
  <si>
    <t>andres.yaguez@fng.gov.co</t>
  </si>
  <si>
    <t>Subdirector de Infraestructura y Ciberseguridad</t>
  </si>
  <si>
    <t>80194701</t>
  </si>
  <si>
    <t>Diego Andres Toazura Castiblanco</t>
  </si>
  <si>
    <t>diego.toazura@fng.gov.co</t>
  </si>
  <si>
    <t>1010197797</t>
  </si>
  <si>
    <t>Juan David Rubio Galindo</t>
  </si>
  <si>
    <t>juan.rubio@fng.gov.co</t>
  </si>
  <si>
    <t>Dirección de Inversiones</t>
  </si>
  <si>
    <t>Especialista de Inversiones</t>
  </si>
  <si>
    <t>80226738</t>
  </si>
  <si>
    <t>Jairo Andres Vasquez Coba</t>
  </si>
  <si>
    <t>1020779913</t>
  </si>
  <si>
    <t>Angelica Ester Duarte Rojas</t>
  </si>
  <si>
    <t>angelica.duarte@fng.gov.co</t>
  </si>
  <si>
    <t>1020835045</t>
  </si>
  <si>
    <t>Valentina Duran Rodriguez</t>
  </si>
  <si>
    <t>valentina.duran@fng.gov.co</t>
  </si>
  <si>
    <t>Profesional de Inversiones</t>
  </si>
  <si>
    <t>52430063</t>
  </si>
  <si>
    <t>Angela Mercedes Rodriguez Rincon</t>
  </si>
  <si>
    <t>angela.rodriguez@fng.gov.co</t>
  </si>
  <si>
    <t>jairo.vasquez@fng.gov.co</t>
  </si>
  <si>
    <t>Director de Inversiones</t>
  </si>
  <si>
    <t>1007373072</t>
  </si>
  <si>
    <t>Karen Nallive Cristiano Alarcón</t>
  </si>
  <si>
    <t>karen.cristiano@fng.gov.co</t>
  </si>
  <si>
    <t>Dirección de Marca Institucional</t>
  </si>
  <si>
    <t>Diseñador Gráfico</t>
  </si>
  <si>
    <t>1018471416</t>
  </si>
  <si>
    <t>Juan Sebastian Holguin Cardona</t>
  </si>
  <si>
    <t>1015422322</t>
  </si>
  <si>
    <t>Manuel Leonardo Basto Rodríguez</t>
  </si>
  <si>
    <t>manuel.basto@fng.gov.co</t>
  </si>
  <si>
    <t>Realizador Audiovisual</t>
  </si>
  <si>
    <t>juan.holguin@fng.gov.co</t>
  </si>
  <si>
    <t>Subdirector de Comunicaciones y Mercadeo</t>
  </si>
  <si>
    <t>1019022585</t>
  </si>
  <si>
    <t>John Alexander Vaca</t>
  </si>
  <si>
    <t>john.vaca@fng.gov.co</t>
  </si>
  <si>
    <t>Creativo</t>
  </si>
  <si>
    <t>1020827815</t>
  </si>
  <si>
    <t>Daniel Sebastian Rodriguez Venegas</t>
  </si>
  <si>
    <t>daniel.rodriguez@fng.gov.co</t>
  </si>
  <si>
    <t>Creador de Contenidos Digitales</t>
  </si>
  <si>
    <t>1026300060</t>
  </si>
  <si>
    <t>Camila Andrea Ceballos Vaca</t>
  </si>
  <si>
    <t>camila.ceballos@fng.gov.co</t>
  </si>
  <si>
    <t>Profesional de Estrategia de Mercadeo</t>
  </si>
  <si>
    <t>1031139440</t>
  </si>
  <si>
    <t>Oscar Eduardo Guana Raba</t>
  </si>
  <si>
    <t>oscar.guana@fng.gov.co</t>
  </si>
  <si>
    <t>Técnico Audiovisual</t>
  </si>
  <si>
    <t>1032364981</t>
  </si>
  <si>
    <t>Lilibeth Johana Duran Perez</t>
  </si>
  <si>
    <t>lilibeth.duran@fng.gov.co</t>
  </si>
  <si>
    <t>Web Master</t>
  </si>
  <si>
    <t>407868</t>
  </si>
  <si>
    <t>Nancy Elizabeth Olivera Baez</t>
  </si>
  <si>
    <t>nancy.olivera@fng.gov.co</t>
  </si>
  <si>
    <t>Director Marca Institucional</t>
  </si>
  <si>
    <t>1019113849</t>
  </si>
  <si>
    <t>Jennifer Tatiana Fuentes Camargo</t>
  </si>
  <si>
    <t>jennifer.fuentes@fng.gov.co</t>
  </si>
  <si>
    <t>Dirección de Microfinanzas y Programas Especiales</t>
  </si>
  <si>
    <t>Profesional Senior de Programas Especiales</t>
  </si>
  <si>
    <t>1095794713</t>
  </si>
  <si>
    <t>Mayra Paola Perez Adarme</t>
  </si>
  <si>
    <t>paola.perez@fng.gov.co</t>
  </si>
  <si>
    <t>Subdirector de Programas Especiales</t>
  </si>
  <si>
    <t>9395436</t>
  </si>
  <si>
    <t>Jorge Enrique Arevalo Caceres</t>
  </si>
  <si>
    <t>1110493130</t>
  </si>
  <si>
    <t>Michael Stiven Lopez Guzman</t>
  </si>
  <si>
    <t>michael.lopez@fng.gov.co</t>
  </si>
  <si>
    <t>Profesional Senior de Gestión Territorial</t>
  </si>
  <si>
    <t>53123300</t>
  </si>
  <si>
    <t>Maria Natalia Lucena Borrero</t>
  </si>
  <si>
    <t>52050179</t>
  </si>
  <si>
    <t>Maria Ines Gonzalez Silva</t>
  </si>
  <si>
    <t>maria.gonzalez@fng.gov.co</t>
  </si>
  <si>
    <t>52978307</t>
  </si>
  <si>
    <t>Alexandra Albornoz Ardila</t>
  </si>
  <si>
    <t>alexandra.albornoz@fng.gov.co</t>
  </si>
  <si>
    <t>Profesional de Microfinanzas y Educación Financiera</t>
  </si>
  <si>
    <t>93410556</t>
  </si>
  <si>
    <t>Jhon Jairo Parra Ropero</t>
  </si>
  <si>
    <t>52988415</t>
  </si>
  <si>
    <t>Diana Yamile Sanchez Castro</t>
  </si>
  <si>
    <t>diana.sanchez@fng.gov.co</t>
  </si>
  <si>
    <t>Profesional Senior de Microfinanzas y Educación Financiera</t>
  </si>
  <si>
    <t>maria.lucena@fng.gov.co</t>
  </si>
  <si>
    <t>Subdirector de Gestión Territorial y Agroindustria</t>
  </si>
  <si>
    <t>jhon.parra@fng.gov.co</t>
  </si>
  <si>
    <t>Subdirector de Educación Económica y Financiera</t>
  </si>
  <si>
    <t>jorge.arevalo@fng.gov.co</t>
  </si>
  <si>
    <t>Director de Microfinanzas y Programas Especiales</t>
  </si>
  <si>
    <t>1020808165</t>
  </si>
  <si>
    <t>Jonathan Felipe Sanchez Montenegro</t>
  </si>
  <si>
    <t>jonathan.sanchez@fng.gov.co</t>
  </si>
  <si>
    <t>Dirección de Modelos Técnicos</t>
  </si>
  <si>
    <t>Profesional de Modelos Técnicos</t>
  </si>
  <si>
    <t>1032469629</t>
  </si>
  <si>
    <t>Brayan Alejandro Rangel Correa</t>
  </si>
  <si>
    <t>1020846054</t>
  </si>
  <si>
    <t>Nathalie Nicolle Bareño Naranjo</t>
  </si>
  <si>
    <t>nathalie.bareno@fng.gov.co</t>
  </si>
  <si>
    <t>alejandro.rangel@fng.gov.co</t>
  </si>
  <si>
    <t>Subdirector de Modelos Técnicos</t>
  </si>
  <si>
    <t>14137099</t>
  </si>
  <si>
    <t>Alex Johann Zambrano Carbonell</t>
  </si>
  <si>
    <t>1070973827</t>
  </si>
  <si>
    <t>Heidy Natali Triviño Moreno</t>
  </si>
  <si>
    <t>heidy.trivino@fng.gov.co</t>
  </si>
  <si>
    <t>Profesional Senior de Modelos Técnicos</t>
  </si>
  <si>
    <t>alex.zambrano@fng.gov.co</t>
  </si>
  <si>
    <t>Director de Modelos Técnicos</t>
  </si>
  <si>
    <t>1020742649</t>
  </si>
  <si>
    <t>Camilo Andres Jimenez Chacon</t>
  </si>
  <si>
    <t>1001095511</t>
  </si>
  <si>
    <t>Karen Daniela Roncancio Fino</t>
  </si>
  <si>
    <t>karen.roncancio@fng.gov.co</t>
  </si>
  <si>
    <t>Dirección de Operaciones</t>
  </si>
  <si>
    <t>Profesional de Reclamación de Garantías</t>
  </si>
  <si>
    <t>65700309</t>
  </si>
  <si>
    <t>Aidee Osuna Garzon</t>
  </si>
  <si>
    <t>1012464095</t>
  </si>
  <si>
    <t>Natalia Acosta Peña</t>
  </si>
  <si>
    <t>natalia.acosta@fng.gov.co</t>
  </si>
  <si>
    <t>Profesional Devolución de Comisiones</t>
  </si>
  <si>
    <t>52717990</t>
  </si>
  <si>
    <t>Sonia Milena Monroy Rodriguez</t>
  </si>
  <si>
    <t>1015467307</t>
  </si>
  <si>
    <t>Daniel Felipe Suarez Paez</t>
  </si>
  <si>
    <t>daniel.suarez@fng.gov.co</t>
  </si>
  <si>
    <t>Profesional Senior de Garantías</t>
  </si>
  <si>
    <t>11</t>
  </si>
  <si>
    <t>1016071976</t>
  </si>
  <si>
    <t>Ronald Mauricio Sanchez Salamanca</t>
  </si>
  <si>
    <t>ronald.sanchez@fng.gov.co</t>
  </si>
  <si>
    <t>Profesional Líneas Especiales de Garantías</t>
  </si>
  <si>
    <t>12</t>
  </si>
  <si>
    <t>1018452842</t>
  </si>
  <si>
    <t>Jairo Esteban Baez Garcia</t>
  </si>
  <si>
    <t>jairo.baez@fng.gov.co</t>
  </si>
  <si>
    <t>Analista de Pagos</t>
  </si>
  <si>
    <t>1019118105</t>
  </si>
  <si>
    <t>Anyi Yaritza Barreto Arana</t>
  </si>
  <si>
    <t>anyi.barreto@fng.gov.co</t>
  </si>
  <si>
    <t>Profesional Liquidación de Comisiones</t>
  </si>
  <si>
    <t>1020713878</t>
  </si>
  <si>
    <t>Edna Lucia Alba Vargas</t>
  </si>
  <si>
    <t>edna.alba@fng.gov.co</t>
  </si>
  <si>
    <t>1026300323</t>
  </si>
  <si>
    <t>Johan Camilo Duque Carreño</t>
  </si>
  <si>
    <t>johan.duque@fng.gov.co</t>
  </si>
  <si>
    <t>1030564304</t>
  </si>
  <si>
    <t>Manuel Alejandro Ramirez Dueñas</t>
  </si>
  <si>
    <t>manuel.ramirez@fng.gov.co</t>
  </si>
  <si>
    <t>Profesional Administrador de Portales Bancarios</t>
  </si>
  <si>
    <t>51898832</t>
  </si>
  <si>
    <t>Sandra Patricia Amaya Reina</t>
  </si>
  <si>
    <t>1030655199</t>
  </si>
  <si>
    <t>Hamilton Steve Galindo Centeno</t>
  </si>
  <si>
    <t>hamilton.galindo@fng.gov.co</t>
  </si>
  <si>
    <t>10</t>
  </si>
  <si>
    <t>1030661099</t>
  </si>
  <si>
    <t>Angie Alejandra Contreras Benavides</t>
  </si>
  <si>
    <t>angie.contreras@fng.gov.co</t>
  </si>
  <si>
    <t>Profesional de Operaciones</t>
  </si>
  <si>
    <t>1031170467</t>
  </si>
  <si>
    <t>Dominik Khatirin Cifuentes Barbosa</t>
  </si>
  <si>
    <t>dominik.cifuentes@fng.gov.co</t>
  </si>
  <si>
    <t>Analista Devolución de Comisiones</t>
  </si>
  <si>
    <t>1063153289</t>
  </si>
  <si>
    <t>Fainorys Rueda Jimenez</t>
  </si>
  <si>
    <t>fainorys.rueda@fng.gov.co</t>
  </si>
  <si>
    <t>1070921366</t>
  </si>
  <si>
    <t>Redison Rios Carreño</t>
  </si>
  <si>
    <t>redinson.rios@fng.gov.co</t>
  </si>
  <si>
    <t>1070960528</t>
  </si>
  <si>
    <t>Heimy Yurany Prieto Pulido</t>
  </si>
  <si>
    <t>heimy.prieto@fng.gov.co</t>
  </si>
  <si>
    <t>Analista de Garantías</t>
  </si>
  <si>
    <t>1101756851</t>
  </si>
  <si>
    <t>Deisy Fabiola Ariza Fajardo</t>
  </si>
  <si>
    <t>deisy.ariza@fng.gov.co</t>
  </si>
  <si>
    <t>1108832649</t>
  </si>
  <si>
    <t>Juan David Oviedo Garcia</t>
  </si>
  <si>
    <t>juan.oviedo@fng.gov.co</t>
  </si>
  <si>
    <t>46378445</t>
  </si>
  <si>
    <t>Luz Andrea Gonzalez Saavedra</t>
  </si>
  <si>
    <t>luz.gonzalez@fng.gov.co</t>
  </si>
  <si>
    <t>Profesional Senior de Operaciones</t>
  </si>
  <si>
    <t>sandra.amaya@fng.gov.co</t>
  </si>
  <si>
    <t>Director de Operaciones</t>
  </si>
  <si>
    <t>79356993</t>
  </si>
  <si>
    <t>Javier Mauricio Manrique Ruiz</t>
  </si>
  <si>
    <t>sonia.monrroy@fng.gov.co</t>
  </si>
  <si>
    <t>Subdirector de Operaciones</t>
  </si>
  <si>
    <t>52953253</t>
  </si>
  <si>
    <t>Julieth Carolina Riveros Rodriguez</t>
  </si>
  <si>
    <t>julieth.riveros@fng.gov.co</t>
  </si>
  <si>
    <t>Profesional Senior de Reclamación de Garantías</t>
  </si>
  <si>
    <t>53165393</t>
  </si>
  <si>
    <t>Adriana Marcela Agudelo Ramos</t>
  </si>
  <si>
    <t>adriana.agudelo@fng.gov.co</t>
  </si>
  <si>
    <t>ANALISTA DE GARANTIAS</t>
  </si>
  <si>
    <t>aidee.osuna@fng.gov.co</t>
  </si>
  <si>
    <t>Subdirector de Garantías</t>
  </si>
  <si>
    <t>79505022</t>
  </si>
  <si>
    <t>Leonardo Castiblanco Prieto</t>
  </si>
  <si>
    <t>leonardo.castiblanco@fng.gov.co</t>
  </si>
  <si>
    <t>80491393</t>
  </si>
  <si>
    <t>Alejandro David Moreno Ortiz</t>
  </si>
  <si>
    <t>alejandro.moreno@fng.gov.co</t>
  </si>
  <si>
    <t>80811321</t>
  </si>
  <si>
    <t>Hector Liber Salgar</t>
  </si>
  <si>
    <t>hector.salgar@fng.gov.co</t>
  </si>
  <si>
    <t>Analista Tecnico</t>
  </si>
  <si>
    <t>80858115</t>
  </si>
  <si>
    <t>Jhohan Edisson Bustos Murcia</t>
  </si>
  <si>
    <t>jhohan.bustos@fng.gov.co</t>
  </si>
  <si>
    <t>Profesional de Garantias</t>
  </si>
  <si>
    <t>1003752030</t>
  </si>
  <si>
    <t>Laura Camila Gutierrez Lancheros</t>
  </si>
  <si>
    <t>laura.gutierrez@fng.gov.co</t>
  </si>
  <si>
    <t>Dirección de Planeación y Gestion Integral</t>
  </si>
  <si>
    <t>Cientifico de Datos Junior</t>
  </si>
  <si>
    <t>1014266486</t>
  </si>
  <si>
    <t>Johan Felipe Cortes Cediel</t>
  </si>
  <si>
    <t>1010237562</t>
  </si>
  <si>
    <t>Cesar Camilo Garcia Pardo</t>
  </si>
  <si>
    <t>cesar.garcia@fng.gov.co</t>
  </si>
  <si>
    <t>Cientifico de Datos</t>
  </si>
  <si>
    <t>johan.cortes@fng.gov.co</t>
  </si>
  <si>
    <t>Subdirector de Arquitectura de Datos</t>
  </si>
  <si>
    <t>1110486655</t>
  </si>
  <si>
    <t>Sebastian Gilberto Sanchez Meneses</t>
  </si>
  <si>
    <t>1018477144</t>
  </si>
  <si>
    <t>Ivan Andres Noreña Salinas</t>
  </si>
  <si>
    <t>ivan.norena@fng.gov.co</t>
  </si>
  <si>
    <t>Profesional Senior de Estudios Economicos</t>
  </si>
  <si>
    <t>1026271348</t>
  </si>
  <si>
    <t>Hernan Felipe Ramírez Rozo</t>
  </si>
  <si>
    <t>1018502151</t>
  </si>
  <si>
    <t>Juan Sebastian Londoño Azuero</t>
  </si>
  <si>
    <t>juan.londono@fng.gov.co</t>
  </si>
  <si>
    <t>Profesional en Analisis del Negocio</t>
  </si>
  <si>
    <t>1022323541</t>
  </si>
  <si>
    <t>Ibonne Paola Quiroga Martinez</t>
  </si>
  <si>
    <t>ibonne.quiroga@fng.gov.co</t>
  </si>
  <si>
    <t>1023911979</t>
  </si>
  <si>
    <t>Laura Ximena Herrera Martinez</t>
  </si>
  <si>
    <t>laura.herrera@fng.gov.co</t>
  </si>
  <si>
    <t>Profesional Senior de Planeación y Gestion Integral</t>
  </si>
  <si>
    <t>1049794723</t>
  </si>
  <si>
    <t>Omar Fernando Perez Medina</t>
  </si>
  <si>
    <t>1026269352</t>
  </si>
  <si>
    <t>Yuri Yesenia Rubiano Enciso</t>
  </si>
  <si>
    <t>yuri.rubiano@fng.gov.co</t>
  </si>
  <si>
    <t>Especialista de Auditoría, Control Organizacional y Seguimiento a la Gestión</t>
  </si>
  <si>
    <t>hernan.ramirez@fng.gov.co</t>
  </si>
  <si>
    <t>Subdirector de Estudios Económicos</t>
  </si>
  <si>
    <t>1030527520</t>
  </si>
  <si>
    <t>Carlos Andres Rodriguez Rodriguez</t>
  </si>
  <si>
    <t>carlos.rodriguez@fng.gov.co</t>
  </si>
  <si>
    <t>Profesional de Seguimiento a la Gestion</t>
  </si>
  <si>
    <t>1031150663</t>
  </si>
  <si>
    <t>Luis Carlos Fernandez Vargas</t>
  </si>
  <si>
    <t>luis.fernandez@fng.gov.co</t>
  </si>
  <si>
    <t>Ingeniero de Datos e Inteligencia Artificial</t>
  </si>
  <si>
    <t>omar.perez@fng.gov.co</t>
  </si>
  <si>
    <t>Subdirector de Planeación Estratégica y Gestión de Procesos</t>
  </si>
  <si>
    <t>1057600107</t>
  </si>
  <si>
    <t>Anderson Chaparro Sanchez</t>
  </si>
  <si>
    <t>anderson.chaparro@fng.gov.co</t>
  </si>
  <si>
    <t>Profesional de Gestión Estratégica</t>
  </si>
  <si>
    <t>1071548571</t>
  </si>
  <si>
    <t>Yeinseen Alejandra Mora Diaz</t>
  </si>
  <si>
    <t>yeinseen.mora@fng.gov.co</t>
  </si>
  <si>
    <t>Profesional de Planeacion y Procesos</t>
  </si>
  <si>
    <t>1105790866</t>
  </si>
  <si>
    <t>Luis Felipe Guzman Pulido</t>
  </si>
  <si>
    <t>luis.guzman@fng.gov.co</t>
  </si>
  <si>
    <t>Analista de Procesos y Proyectos</t>
  </si>
  <si>
    <t>sebastian.sanchez@fng.gov.co</t>
  </si>
  <si>
    <t>Director de Planeación y Gestión Integral</t>
  </si>
  <si>
    <t>79413200</t>
  </si>
  <si>
    <t>Martin Francisco Ospina Niño</t>
  </si>
  <si>
    <t>martin.ospina@fng.gov.co</t>
  </si>
  <si>
    <t>Profesional Senior de Proyectos</t>
  </si>
  <si>
    <t>1013641380</t>
  </si>
  <si>
    <t>Andres Eduardo Sosa Preciado</t>
  </si>
  <si>
    <t>andres.sosa@fng.gov.co</t>
  </si>
  <si>
    <t>Dirección de Proyectos de Transformación Digital e Innovación</t>
  </si>
  <si>
    <t>249407</t>
  </si>
  <si>
    <t>Manuel Fernando Avalos Esquerre</t>
  </si>
  <si>
    <t>1032462577</t>
  </si>
  <si>
    <t>Oscar Alejandro Lara Herrera</t>
  </si>
  <si>
    <t>oscar.lara@fng.gov.co</t>
  </si>
  <si>
    <t>Líder Funcional Enlace de Operaciones y Riesgos</t>
  </si>
  <si>
    <t>manuel.avalos@fng.gov.co</t>
  </si>
  <si>
    <t>Director de Proyectos de Transformación Digital e Innovación</t>
  </si>
  <si>
    <t>93374068</t>
  </si>
  <si>
    <t>Juan Carlos Rodriguez Perdomo</t>
  </si>
  <si>
    <t>juan.rodriguez@fng.gov.co</t>
  </si>
  <si>
    <t>1019091260</t>
  </si>
  <si>
    <t>Marielena Rojas Vacca</t>
  </si>
  <si>
    <t>marielena.rojas@fng.gov.co</t>
  </si>
  <si>
    <t>Dirección de Riesgos de Garantías</t>
  </si>
  <si>
    <t>Profesional Senior de Riesgos de Garantías</t>
  </si>
  <si>
    <t>11511000</t>
  </si>
  <si>
    <t>Javier Horacio Gonzalez Amortegui</t>
  </si>
  <si>
    <t>1020779731</t>
  </si>
  <si>
    <t>Paloma Azucena Molano Rojas</t>
  </si>
  <si>
    <t>paloma.molano@fng.gov.co</t>
  </si>
  <si>
    <t>Profesional de Riesgos de Garantías</t>
  </si>
  <si>
    <t>1070332636</t>
  </si>
  <si>
    <t>Angel David Torres Becerra</t>
  </si>
  <si>
    <t>angel.torres@fng.gov.co</t>
  </si>
  <si>
    <t>1072654030</t>
  </si>
  <si>
    <t>Andres Giovanny Hernandez Bonilla</t>
  </si>
  <si>
    <t>andres.hernandez@fng.gov.co</t>
  </si>
  <si>
    <t>Director de Riesgos de Garantías</t>
  </si>
  <si>
    <t>javier.gonzalez@fng.gov.co</t>
  </si>
  <si>
    <t>Subdirector de Riesgos de Garantías</t>
  </si>
  <si>
    <t>1000218395</t>
  </si>
  <si>
    <t>Javier Camilo Mondragon Ravelo</t>
  </si>
  <si>
    <t>javier.mondragon@fng.gov.co</t>
  </si>
  <si>
    <t>Dirección de Soluciones y Soporte Comercial</t>
  </si>
  <si>
    <t>Auxiliar de Soluciones y Soporte al Ciudadano</t>
  </si>
  <si>
    <t>52519886</t>
  </si>
  <si>
    <t>Johanna Carolina Puentes Ramirez</t>
  </si>
  <si>
    <t>1015454598</t>
  </si>
  <si>
    <t>Jineth Vanessa Garay Barrera</t>
  </si>
  <si>
    <t>vanessa.garay@fng.gov.co</t>
  </si>
  <si>
    <t>Profesional de Soluciones a Intermediarios Financieros</t>
  </si>
  <si>
    <t>1019067877</t>
  </si>
  <si>
    <t>Virginia Del Carmen Rosado Trespalacios</t>
  </si>
  <si>
    <t>virginia.rosado@fng.gov.co</t>
  </si>
  <si>
    <t>Analista de Calidad y Oportunidad de las Respuestas</t>
  </si>
  <si>
    <t>1022363593</t>
  </si>
  <si>
    <t>Sergio Daniel Sotelo Castañeda</t>
  </si>
  <si>
    <t>sergio.sotelo@fng.gov.co</t>
  </si>
  <si>
    <t>Líder de Soluciones y Soporte al Ciudadano</t>
  </si>
  <si>
    <t>1022977661</t>
  </si>
  <si>
    <t>Maryi Lorena Torres Rivera</t>
  </si>
  <si>
    <t>lorena.torres@fng.gov.co</t>
  </si>
  <si>
    <t>Especialista de Intermediarios Financieros</t>
  </si>
  <si>
    <t>1026269804</t>
  </si>
  <si>
    <t>Jaiber Ricardo Diaz Mahecha</t>
  </si>
  <si>
    <t>ricardo.diaz@fng.gov.co</t>
  </si>
  <si>
    <t>Profesional Atención a Ciudadanos</t>
  </si>
  <si>
    <t>1032428361</t>
  </si>
  <si>
    <t>Jeny Paola Riaño Tapiero</t>
  </si>
  <si>
    <t>paola.riano@fng.gov.co</t>
  </si>
  <si>
    <t>Especialista en calidad y oportunidad de respuesta</t>
  </si>
  <si>
    <t>11225825</t>
  </si>
  <si>
    <t>Jose Manuel Fierro Sanchez</t>
  </si>
  <si>
    <t>manuel.fierro@fng.gov.co</t>
  </si>
  <si>
    <t>Profesional de Soluciones Tecnológicas</t>
  </si>
  <si>
    <t>24340654</t>
  </si>
  <si>
    <t>Carolina Botero Ossa</t>
  </si>
  <si>
    <t>carolina.botero@fng.gov.co</t>
  </si>
  <si>
    <t>Director de Soluciones y Soporte Comercial</t>
  </si>
  <si>
    <t>johanna.puentes@fng.gov.co</t>
  </si>
  <si>
    <t>Subdirector de Soluciones y Soporte Comercial</t>
  </si>
  <si>
    <t>79720218</t>
  </si>
  <si>
    <t>Gabriel Giovanni Briceño Garcia</t>
  </si>
  <si>
    <t>gabriel.briceno@fng.gov.co</t>
  </si>
  <si>
    <t>Analista de Soluciones a Intermediarios Financieros</t>
  </si>
  <si>
    <t>80775271</t>
  </si>
  <si>
    <t>Jesus Alarcon Torres</t>
  </si>
  <si>
    <t>jesus.alarcon@fng.gov.co</t>
  </si>
  <si>
    <t>Especialista de Soluciones Tecnologicas</t>
  </si>
  <si>
    <t>1000594457</t>
  </si>
  <si>
    <t>Ivan Javier Parra Espejo</t>
  </si>
  <si>
    <t>ivan.parra@fng.gov.co</t>
  </si>
  <si>
    <t>Dirección de Tesorería</t>
  </si>
  <si>
    <t>PROFESIONAL DE OPERACIONES DE TESORERIA</t>
  </si>
  <si>
    <t>1031124339</t>
  </si>
  <si>
    <t>Yulder Stic Valencia Santos</t>
  </si>
  <si>
    <t>1022980853</t>
  </si>
  <si>
    <t>Wendy Yineth Peña Palacios</t>
  </si>
  <si>
    <t>wendy.pena@fng.gov.co</t>
  </si>
  <si>
    <t>Profesional Senior de Back Office</t>
  </si>
  <si>
    <t>1024498660</t>
  </si>
  <si>
    <t>Allyne Castro Sierra</t>
  </si>
  <si>
    <t>allyne.castro@fng.gov.co</t>
  </si>
  <si>
    <t>Profesional Senior de Caja y Bancos</t>
  </si>
  <si>
    <t>1024532381</t>
  </si>
  <si>
    <t>Cristian Camilo Herrera Cascavita</t>
  </si>
  <si>
    <t>cristian.herrera@fng.gov.co</t>
  </si>
  <si>
    <t>Profesional de Caja y Bancos</t>
  </si>
  <si>
    <t>yulder.valencia@fng.gov.co</t>
  </si>
  <si>
    <t>Subdirector de Tesorería</t>
  </si>
  <si>
    <t>52269165</t>
  </si>
  <si>
    <t>Nidia Janneth Castillo Varela</t>
  </si>
  <si>
    <t>1070606494</t>
  </si>
  <si>
    <t>Jhon Alexander Alvarez Vergara</t>
  </si>
  <si>
    <t>jhon.alvarez@fng.gov.co</t>
  </si>
  <si>
    <t>1075234815</t>
  </si>
  <si>
    <t>Karla Maria Javela Herrera</t>
  </si>
  <si>
    <t>karla.javela@fng.gov.co</t>
  </si>
  <si>
    <t>Profesional Senior de Tesorería</t>
  </si>
  <si>
    <t>nidia.castillo@fng.gov.co</t>
  </si>
  <si>
    <t>Director de Tesorería</t>
  </si>
  <si>
    <t>1015397830</t>
  </si>
  <si>
    <t>Luis Miguel Joya Sanchez</t>
  </si>
  <si>
    <t>luis.joya@fng.gov.co</t>
  </si>
  <si>
    <t>Dirección de Vinculación, Aseguramiento y Calidad</t>
  </si>
  <si>
    <t>Profesional Senior Aseguramiento y Calidad de Garantías</t>
  </si>
  <si>
    <t>1033739239</t>
  </si>
  <si>
    <t>Lina Maria Sarmiento Bolivar</t>
  </si>
  <si>
    <t>1020796608</t>
  </si>
  <si>
    <t>Maria Alejandra Buitrago Jimenez</t>
  </si>
  <si>
    <t>maria.buitrago@fng.gov.co</t>
  </si>
  <si>
    <t>Profesional de Seguimiento y Control de Datos</t>
  </si>
  <si>
    <t>1024537211</t>
  </si>
  <si>
    <t>Julieth Zulay Bocanegra Salinas</t>
  </si>
  <si>
    <t>julieth.bocanegra@fng.gov.co</t>
  </si>
  <si>
    <t>Profesional de Vinculaciones y Formalización</t>
  </si>
  <si>
    <t>lina.sarmiento@fng.gov.co</t>
  </si>
  <si>
    <t>Subdirector de Vinculación, Aseguramiento y Calidad</t>
  </si>
  <si>
    <t>52082120</t>
  </si>
  <si>
    <t>Lucinda Leyva Ariza</t>
  </si>
  <si>
    <t>1100949416</t>
  </si>
  <si>
    <t>Elsa Susana Reyes Quintanilla</t>
  </si>
  <si>
    <t>elsa.reyes@fng.gov.co</t>
  </si>
  <si>
    <t>lucy.leyva@fng.gov.co</t>
  </si>
  <si>
    <t>Director de Vinculación, Aseguramiento y Calidad</t>
  </si>
  <si>
    <t>80013310</t>
  </si>
  <si>
    <t>Oscar Fabian Reyes Tovar</t>
  </si>
  <si>
    <t>oscar.reyes@fng.gov.co</t>
  </si>
  <si>
    <t>Profesional de Aseguramiento y Calidad</t>
  </si>
  <si>
    <t>1010212185</t>
  </si>
  <si>
    <t>Monica Isabel Aguirre Pachon</t>
  </si>
  <si>
    <t>monica.aguirre@fng.gov.co</t>
  </si>
  <si>
    <t>Dirección del Sistema Integral de Administración de Riesgos - SIAR</t>
  </si>
  <si>
    <t>Profesional de Riesgos No Financieros - SARO</t>
  </si>
  <si>
    <t>1032388532</t>
  </si>
  <si>
    <t>Lina Patricia Garcia Ramirez</t>
  </si>
  <si>
    <t>1014300028</t>
  </si>
  <si>
    <t>Kevin Santiago Gil Murillo</t>
  </si>
  <si>
    <t>kevin.gil@fng.gov.co</t>
  </si>
  <si>
    <t>Profesional Senior de Riesgos de Portafolio</t>
  </si>
  <si>
    <t>1020793129</t>
  </si>
  <si>
    <t>Maria Catalina Cano Ramos</t>
  </si>
  <si>
    <t>maria.cano@fng.gov.co</t>
  </si>
  <si>
    <t>Subdirector de Riesgos de Portafolio</t>
  </si>
  <si>
    <t>13746917</t>
  </si>
  <si>
    <t>Jesus David Rincon Coral</t>
  </si>
  <si>
    <t>1023955427</t>
  </si>
  <si>
    <t>Wilson Andres Ferraro Cardenas</t>
  </si>
  <si>
    <t>wilson.ferraro@fng.gov.co</t>
  </si>
  <si>
    <t>Profesional de Riesgos de Portafolio</t>
  </si>
  <si>
    <t>lina.garcia@fng.gov.co</t>
  </si>
  <si>
    <t>Subdirector de Riesgos No Financieros</t>
  </si>
  <si>
    <t>1072706982</t>
  </si>
  <si>
    <t>Diana Marcela Monroy Garcia</t>
  </si>
  <si>
    <t>diana.monroy@fng.gov.co</t>
  </si>
  <si>
    <t>Profesional de Riesgos no Financieros</t>
  </si>
  <si>
    <t>jesus.rincon@fng.gov.co</t>
  </si>
  <si>
    <t>Director del Sistema Integral de Administración de Riesgos - SIAR</t>
  </si>
  <si>
    <t>79815174</t>
  </si>
  <si>
    <t>Nelson Jimenez Torres</t>
  </si>
  <si>
    <t>nelson.jimenez@fng.gov.co</t>
  </si>
  <si>
    <t>Profesional de Riesgos No Financieros - PCN</t>
  </si>
  <si>
    <t>52531946</t>
  </si>
  <si>
    <t>Laura Mercedes Peña Rodriguez</t>
  </si>
  <si>
    <t>laura.pena@fng.gov.co</t>
  </si>
  <si>
    <t>Dirección Financiera</t>
  </si>
  <si>
    <t>Director Financiero</t>
  </si>
  <si>
    <t>80851145</t>
  </si>
  <si>
    <t>Paul Haddad Casallas</t>
  </si>
  <si>
    <t>paul.haddad@fng.gov.co</t>
  </si>
  <si>
    <t>Subdirector de Planeación Financiera</t>
  </si>
  <si>
    <t>1015448240</t>
  </si>
  <si>
    <t>Daniel Nicolas Aleman Bernal</t>
  </si>
  <si>
    <t>daniel.aleman@fng.gov.co</t>
  </si>
  <si>
    <t>Dirección Jurídica</t>
  </si>
  <si>
    <t>Profesional de Gestión Jurídica del Negocio</t>
  </si>
  <si>
    <t>1075628724</t>
  </si>
  <si>
    <t>Natalia Andrea Perez Mancera</t>
  </si>
  <si>
    <t>1020837750</t>
  </si>
  <si>
    <t>Liliana Alexandra Zorro Chaparro</t>
  </si>
  <si>
    <t>liliana.zorro@fng.gov.co</t>
  </si>
  <si>
    <t>Profesional de Defensa Judicial</t>
  </si>
  <si>
    <t>1023884973</t>
  </si>
  <si>
    <t>Lina Johana Cortes Maldonado</t>
  </si>
  <si>
    <t>lina.cortes@fng.gov.co</t>
  </si>
  <si>
    <t>Subdirector de Defensa Judicial</t>
  </si>
  <si>
    <t>94062994</t>
  </si>
  <si>
    <t>Andres Elias Pineda Abuchar</t>
  </si>
  <si>
    <t>1030624761</t>
  </si>
  <si>
    <t>Merlin Angelyne Castro Gonzalez</t>
  </si>
  <si>
    <t>merlin.castro@fng.gov.co</t>
  </si>
  <si>
    <t>Profesional de Gestión Jurídica</t>
  </si>
  <si>
    <t>1075312463</t>
  </si>
  <si>
    <t>Valentina Oliveros Riaño</t>
  </si>
  <si>
    <t>valentina.oliveros@fng.gov.co</t>
  </si>
  <si>
    <t>Profesional Senior de Gestión Jurídica del Negocio</t>
  </si>
  <si>
    <t>natalia.perez@fng.gov.co</t>
  </si>
  <si>
    <t>Subdirector de Gestión Jurídica del Negocio</t>
  </si>
  <si>
    <t>1083029184</t>
  </si>
  <si>
    <t>Sebastian David Diaz Perea</t>
  </si>
  <si>
    <t>sebastian.diaz@fng.gov.co</t>
  </si>
  <si>
    <t>Profesional Senior de defensa Judicial</t>
  </si>
  <si>
    <t>andres.pineda@fng.gov.co</t>
  </si>
  <si>
    <t>Director Jurídico</t>
  </si>
  <si>
    <t>1012368664</t>
  </si>
  <si>
    <t>Gina Paola Hernandez Florez</t>
  </si>
  <si>
    <t>gina.hernandez@fng.gov.co</t>
  </si>
  <si>
    <t>Dirección Tributaria</t>
  </si>
  <si>
    <t>Especialista en Impuestos</t>
  </si>
  <si>
    <t>52791945</t>
  </si>
  <si>
    <t>Liliana Yaneth Avellaneda Barbosa</t>
  </si>
  <si>
    <t>1072895913</t>
  </si>
  <si>
    <t>Laura Alecsandra Pardo Rodriguez</t>
  </si>
  <si>
    <t>laura.pardo@fng.gov.co</t>
  </si>
  <si>
    <t>Profesional Tributario</t>
  </si>
  <si>
    <t>28936915</t>
  </si>
  <si>
    <t>Ruth Vivian Guzman Briñez</t>
  </si>
  <si>
    <t>ruth.guzman@fng.gov.co</t>
  </si>
  <si>
    <t>liliana.avellaneda@fng.gov.co</t>
  </si>
  <si>
    <t>Director Tributario</t>
  </si>
  <si>
    <t>1015445230</t>
  </si>
  <si>
    <t>Cindy Jhoanna Hernandez Ortiz</t>
  </si>
  <si>
    <t>cindy.hernandez@fng.gov.co</t>
  </si>
  <si>
    <t>Oficina de Control Interno</t>
  </si>
  <si>
    <t>Auditor Senior de Control Interno</t>
  </si>
  <si>
    <t>52718694</t>
  </si>
  <si>
    <t>Maria Angelica Bulla Torres</t>
  </si>
  <si>
    <t>1016109843</t>
  </si>
  <si>
    <t>Iveth Dajanna Roa Martinez</t>
  </si>
  <si>
    <t>iveth.roa@fng.gov.co</t>
  </si>
  <si>
    <t>52506147</t>
  </si>
  <si>
    <t>Viviana Castro Ballen</t>
  </si>
  <si>
    <t>viviana.castro@fng.gov.co</t>
  </si>
  <si>
    <t>Auditor de Control Interno</t>
  </si>
  <si>
    <t>maria.bulla@fng.gov.co</t>
  </si>
  <si>
    <t>Subdirector de Oficina de Control Interno</t>
  </si>
  <si>
    <t>79554242</t>
  </si>
  <si>
    <t>Alex Hernando Lopez Lopez</t>
  </si>
  <si>
    <t>alex.lopez@fng.gov.co</t>
  </si>
  <si>
    <t>Jefe de Oficina de Control Interno</t>
  </si>
  <si>
    <t/>
  </si>
  <si>
    <t>1010235016</t>
  </si>
  <si>
    <t>Maria Paula Quevedo Laverde</t>
  </si>
  <si>
    <t>maria.quevedo@fng.gov.co</t>
  </si>
  <si>
    <t>Presidencia</t>
  </si>
  <si>
    <t>Secretaria Privada de Presidencia</t>
  </si>
  <si>
    <t>35478032</t>
  </si>
  <si>
    <t>Piedad Muñoz Rojas</t>
  </si>
  <si>
    <t>piedad.munoz@fng.gov.co</t>
  </si>
  <si>
    <t>Presidente de Entidad Descentralizada (E)</t>
  </si>
  <si>
    <t>52271801</t>
  </si>
  <si>
    <t>Cecilia Del Rocio Gomez Romero</t>
  </si>
  <si>
    <t>cecilia.gomez@fng.gov.co</t>
  </si>
  <si>
    <t>Asistente de Presidencia</t>
  </si>
  <si>
    <t>80420725</t>
  </si>
  <si>
    <t>Jose Omar Buitrago Morales</t>
  </si>
  <si>
    <t>omar.buitrago@fng.gov.co</t>
  </si>
  <si>
    <t>Conductor</t>
  </si>
  <si>
    <t>patricia.garzon@fng.gov.co</t>
  </si>
  <si>
    <t>Vicepresidencia Comercial</t>
  </si>
  <si>
    <t>Vicepresidente Comercial</t>
  </si>
  <si>
    <t>javier.manrique@fng.gov.co</t>
  </si>
  <si>
    <t>Vicepresidencia de Operaciones</t>
  </si>
  <si>
    <t>Vicepresidente de Operaciones</t>
  </si>
  <si>
    <t>camilo.jimenez@fng.gov.co</t>
  </si>
  <si>
    <t>Vicepresidencia de Riesgos</t>
  </si>
  <si>
    <t>Vicepresidente de Riesgos</t>
  </si>
  <si>
    <t>katty.eljach@fng.gov.co</t>
  </si>
  <si>
    <t>Vicepresidencia de Transformación Digital e Innovación</t>
  </si>
  <si>
    <t>Vicepresidente de Transformación Digital e Innovación</t>
  </si>
  <si>
    <t>80777848</t>
  </si>
  <si>
    <t>Javier Andres Moncada Torres</t>
  </si>
  <si>
    <t>javier.moncada@fng.gov.co</t>
  </si>
  <si>
    <t>Ingeniero de Procesos y Gobierno Digital</t>
  </si>
  <si>
    <t>1064842899</t>
  </si>
  <si>
    <t>Alexa Del Carmen Sanchez Herrera</t>
  </si>
  <si>
    <t>alexa.sanchez@fng.gov.co</t>
  </si>
  <si>
    <t>Vicepresidencia Ejecutiva</t>
  </si>
  <si>
    <t>Asistente de Vicepresidencia Ejecutiva</t>
  </si>
  <si>
    <t>ivan.ruiz@fng.gov.co</t>
  </si>
  <si>
    <t>Vicepresidente Ejecutivo</t>
  </si>
  <si>
    <t>luis.ramirez@fng.gov.co</t>
  </si>
  <si>
    <t>Vicepresidencia Financiera</t>
  </si>
  <si>
    <t>Vicepresidente Financiero</t>
  </si>
  <si>
    <t>daniel.ramirez@fng.gov.co</t>
  </si>
  <si>
    <t>Vicepresidencia Jurídica</t>
  </si>
  <si>
    <t>Vicepresidente Jurídico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</si>
</sst>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9"/>
      <color theme="0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82C36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EFEEE-58F5-D64F-BBDF-BDE37CEBF0E9}">
  <dimension ref="A1:M276"/>
  <sheetViews>
    <sheetView tabSelected="1" workbookViewId="0">
      <selection sqref="A1:XFD1048576"/>
    </sheetView>
  </sheetViews>
  <sheetFormatPr baseColWidth="10" defaultColWidth="11.5" defaultRowHeight="12" x14ac:dyDescent="0.15"/>
  <cols>
    <col min="1" max="1" width="11" style="3" bestFit="1" customWidth="1"/>
    <col min="2" max="2" width="34.5" style="3" bestFit="1" customWidth="1"/>
    <col min="3" max="3" width="28.83203125" style="3" bestFit="1" customWidth="1"/>
    <col min="4" max="4" width="44.1640625" style="3" customWidth="1"/>
    <col min="5" max="5" width="65.83203125" style="3" bestFit="1" customWidth="1"/>
    <col min="6" max="6" width="14.6640625" style="3" bestFit="1" customWidth="1"/>
    <col min="7" max="7" width="33.5" style="3" bestFit="1" customWidth="1"/>
    <col min="8" max="8" width="11.5" style="6"/>
    <col min="9" max="9" width="16.1640625" style="6" bestFit="1" customWidth="1"/>
    <col min="10" max="16384" width="11.5" style="3"/>
  </cols>
  <sheetData>
    <row r="1" spans="1:13" ht="28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</row>
    <row r="2" spans="1:13" x14ac:dyDescent="0.15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5" t="s">
        <v>16</v>
      </c>
      <c r="I2" s="5" t="str">
        <f>+H2</f>
        <v>5</v>
      </c>
    </row>
    <row r="3" spans="1:13" x14ac:dyDescent="0.15">
      <c r="A3" s="4" t="s">
        <v>17</v>
      </c>
      <c r="B3" s="4" t="s">
        <v>18</v>
      </c>
      <c r="C3" s="4" t="s">
        <v>19</v>
      </c>
      <c r="D3" s="4" t="s">
        <v>12</v>
      </c>
      <c r="E3" s="4" t="s">
        <v>20</v>
      </c>
      <c r="F3" s="4" t="s">
        <v>21</v>
      </c>
      <c r="G3" s="4" t="s">
        <v>22</v>
      </c>
      <c r="H3" s="5" t="s">
        <v>16</v>
      </c>
      <c r="I3" s="5">
        <f t="shared" ref="I3:I66" si="0">+I2+H3</f>
        <v>10</v>
      </c>
    </row>
    <row r="4" spans="1:13" x14ac:dyDescent="0.15">
      <c r="A4" s="4" t="s">
        <v>23</v>
      </c>
      <c r="B4" s="4" t="s">
        <v>24</v>
      </c>
      <c r="C4" s="4" t="s">
        <v>25</v>
      </c>
      <c r="D4" s="4" t="s">
        <v>12</v>
      </c>
      <c r="E4" s="4" t="s">
        <v>26</v>
      </c>
      <c r="F4" s="4" t="s">
        <v>27</v>
      </c>
      <c r="G4" s="4" t="s">
        <v>28</v>
      </c>
      <c r="H4" s="5" t="s">
        <v>16</v>
      </c>
      <c r="I4" s="5">
        <f t="shared" si="0"/>
        <v>15</v>
      </c>
    </row>
    <row r="5" spans="1:13" x14ac:dyDescent="0.15">
      <c r="A5" s="4" t="s">
        <v>29</v>
      </c>
      <c r="B5" s="4" t="s">
        <v>30</v>
      </c>
      <c r="C5" s="4" t="s">
        <v>31</v>
      </c>
      <c r="D5" s="4" t="s">
        <v>12</v>
      </c>
      <c r="E5" s="4" t="s">
        <v>32</v>
      </c>
      <c r="F5" s="4" t="s">
        <v>27</v>
      </c>
      <c r="G5" s="4" t="s">
        <v>28</v>
      </c>
      <c r="H5" s="5" t="s">
        <v>16</v>
      </c>
      <c r="I5" s="5">
        <f t="shared" si="0"/>
        <v>20</v>
      </c>
    </row>
    <row r="6" spans="1:13" x14ac:dyDescent="0.15">
      <c r="A6" s="4" t="s">
        <v>33</v>
      </c>
      <c r="B6" s="4" t="s">
        <v>34</v>
      </c>
      <c r="C6" s="4" t="s">
        <v>35</v>
      </c>
      <c r="D6" s="4" t="s">
        <v>12</v>
      </c>
      <c r="E6" s="4" t="s">
        <v>36</v>
      </c>
      <c r="F6" s="4" t="s">
        <v>14</v>
      </c>
      <c r="G6" s="4" t="s">
        <v>15</v>
      </c>
      <c r="H6" s="5" t="s">
        <v>16</v>
      </c>
      <c r="I6" s="5">
        <f t="shared" si="0"/>
        <v>25</v>
      </c>
    </row>
    <row r="7" spans="1:13" x14ac:dyDescent="0.15">
      <c r="A7" s="4" t="s">
        <v>37</v>
      </c>
      <c r="B7" s="4" t="s">
        <v>38</v>
      </c>
      <c r="C7" s="4" t="s">
        <v>39</v>
      </c>
      <c r="D7" s="4" t="s">
        <v>12</v>
      </c>
      <c r="E7" s="4" t="s">
        <v>40</v>
      </c>
      <c r="F7" s="4" t="s">
        <v>41</v>
      </c>
      <c r="G7" s="4" t="s">
        <v>42</v>
      </c>
      <c r="H7" s="5" t="s">
        <v>16</v>
      </c>
      <c r="I7" s="5">
        <f t="shared" si="0"/>
        <v>30</v>
      </c>
    </row>
    <row r="8" spans="1:13" x14ac:dyDescent="0.15">
      <c r="A8" s="4" t="s">
        <v>43</v>
      </c>
      <c r="B8" s="4" t="s">
        <v>44</v>
      </c>
      <c r="C8" s="4" t="s">
        <v>45</v>
      </c>
      <c r="D8" s="4" t="s">
        <v>12</v>
      </c>
      <c r="E8" s="4" t="s">
        <v>46</v>
      </c>
      <c r="F8" s="4" t="s">
        <v>41</v>
      </c>
      <c r="G8" s="4" t="s">
        <v>42</v>
      </c>
      <c r="H8" s="5" t="s">
        <v>16</v>
      </c>
      <c r="I8" s="5">
        <f t="shared" si="0"/>
        <v>35</v>
      </c>
    </row>
    <row r="9" spans="1:13" x14ac:dyDescent="0.15">
      <c r="A9" s="4" t="s">
        <v>14</v>
      </c>
      <c r="B9" s="4" t="s">
        <v>15</v>
      </c>
      <c r="C9" s="4" t="s">
        <v>47</v>
      </c>
      <c r="D9" s="4" t="s">
        <v>12</v>
      </c>
      <c r="E9" s="4" t="s">
        <v>48</v>
      </c>
      <c r="F9" s="4" t="s">
        <v>27</v>
      </c>
      <c r="G9" s="4" t="s">
        <v>28</v>
      </c>
      <c r="H9" s="5" t="s">
        <v>16</v>
      </c>
      <c r="I9" s="5">
        <f t="shared" si="0"/>
        <v>40</v>
      </c>
    </row>
    <row r="10" spans="1:13" x14ac:dyDescent="0.15">
      <c r="A10" s="4" t="s">
        <v>49</v>
      </c>
      <c r="B10" s="4" t="s">
        <v>50</v>
      </c>
      <c r="C10" s="4" t="s">
        <v>51</v>
      </c>
      <c r="D10" s="4" t="s">
        <v>12</v>
      </c>
      <c r="E10" s="4" t="s">
        <v>52</v>
      </c>
      <c r="F10" s="4" t="s">
        <v>27</v>
      </c>
      <c r="G10" s="4" t="s">
        <v>28</v>
      </c>
      <c r="H10" s="5" t="s">
        <v>16</v>
      </c>
      <c r="I10" s="5">
        <f t="shared" si="0"/>
        <v>45</v>
      </c>
    </row>
    <row r="11" spans="1:13" x14ac:dyDescent="0.15">
      <c r="A11" s="4" t="s">
        <v>53</v>
      </c>
      <c r="B11" s="4" t="s">
        <v>54</v>
      </c>
      <c r="C11" s="4" t="s">
        <v>55</v>
      </c>
      <c r="D11" s="4" t="s">
        <v>12</v>
      </c>
      <c r="E11" s="4" t="s">
        <v>56</v>
      </c>
      <c r="F11" s="4" t="s">
        <v>57</v>
      </c>
      <c r="G11" s="4" t="s">
        <v>58</v>
      </c>
      <c r="H11" s="5" t="s">
        <v>16</v>
      </c>
      <c r="I11" s="5">
        <f t="shared" si="0"/>
        <v>50</v>
      </c>
    </row>
    <row r="12" spans="1:13" x14ac:dyDescent="0.15">
      <c r="A12" s="4" t="s">
        <v>21</v>
      </c>
      <c r="B12" s="4" t="s">
        <v>22</v>
      </c>
      <c r="C12" s="4" t="s">
        <v>59</v>
      </c>
      <c r="D12" s="4" t="s">
        <v>12</v>
      </c>
      <c r="E12" s="4" t="s">
        <v>60</v>
      </c>
      <c r="F12" s="4" t="s">
        <v>27</v>
      </c>
      <c r="G12" s="4" t="s">
        <v>28</v>
      </c>
      <c r="H12" s="5" t="s">
        <v>16</v>
      </c>
      <c r="I12" s="5">
        <f t="shared" si="0"/>
        <v>55</v>
      </c>
    </row>
    <row r="13" spans="1:13" x14ac:dyDescent="0.15">
      <c r="A13" s="4" t="s">
        <v>61</v>
      </c>
      <c r="B13" s="4" t="s">
        <v>62</v>
      </c>
      <c r="C13" s="4" t="s">
        <v>63</v>
      </c>
      <c r="D13" s="4" t="s">
        <v>12</v>
      </c>
      <c r="E13" s="4" t="s">
        <v>64</v>
      </c>
      <c r="F13" s="4" t="s">
        <v>49</v>
      </c>
      <c r="G13" s="4" t="s">
        <v>50</v>
      </c>
      <c r="H13" s="5" t="s">
        <v>16</v>
      </c>
      <c r="I13" s="5">
        <f t="shared" si="0"/>
        <v>60</v>
      </c>
    </row>
    <row r="14" spans="1:13" x14ac:dyDescent="0.15">
      <c r="A14" s="4" t="s">
        <v>57</v>
      </c>
      <c r="B14" s="4" t="s">
        <v>58</v>
      </c>
      <c r="C14" s="4" t="s">
        <v>65</v>
      </c>
      <c r="D14" s="4" t="s">
        <v>12</v>
      </c>
      <c r="E14" s="4" t="s">
        <v>66</v>
      </c>
      <c r="F14" s="4" t="s">
        <v>27</v>
      </c>
      <c r="G14" s="4" t="s">
        <v>28</v>
      </c>
      <c r="H14" s="5" t="s">
        <v>16</v>
      </c>
      <c r="I14" s="5">
        <f t="shared" si="0"/>
        <v>65</v>
      </c>
    </row>
    <row r="15" spans="1:13" x14ac:dyDescent="0.15">
      <c r="A15" s="4" t="s">
        <v>67</v>
      </c>
      <c r="B15" s="4" t="s">
        <v>68</v>
      </c>
      <c r="C15" s="4" t="s">
        <v>69</v>
      </c>
      <c r="D15" s="4" t="s">
        <v>12</v>
      </c>
      <c r="E15" s="4" t="s">
        <v>70</v>
      </c>
      <c r="F15" s="4" t="s">
        <v>49</v>
      </c>
      <c r="G15" s="4" t="s">
        <v>50</v>
      </c>
      <c r="H15" s="5" t="s">
        <v>16</v>
      </c>
      <c r="I15" s="5">
        <f t="shared" si="0"/>
        <v>70</v>
      </c>
    </row>
    <row r="16" spans="1:13" x14ac:dyDescent="0.15">
      <c r="A16" s="4" t="s">
        <v>71</v>
      </c>
      <c r="B16" s="4" t="s">
        <v>72</v>
      </c>
      <c r="C16" s="4" t="s">
        <v>73</v>
      </c>
      <c r="D16" s="4" t="s">
        <v>12</v>
      </c>
      <c r="E16" s="4" t="s">
        <v>74</v>
      </c>
      <c r="F16" s="4" t="s">
        <v>49</v>
      </c>
      <c r="G16" s="4" t="s">
        <v>50</v>
      </c>
      <c r="H16" s="5" t="s">
        <v>16</v>
      </c>
      <c r="I16" s="5">
        <f t="shared" si="0"/>
        <v>75</v>
      </c>
    </row>
    <row r="17" spans="1:9" x14ac:dyDescent="0.15">
      <c r="A17" s="4" t="s">
        <v>41</v>
      </c>
      <c r="B17" s="4" t="s">
        <v>42</v>
      </c>
      <c r="C17" s="4" t="s">
        <v>75</v>
      </c>
      <c r="D17" s="4" t="s">
        <v>12</v>
      </c>
      <c r="E17" s="4" t="s">
        <v>76</v>
      </c>
      <c r="F17" s="4" t="s">
        <v>27</v>
      </c>
      <c r="G17" s="4" t="s">
        <v>28</v>
      </c>
      <c r="H17" s="5" t="s">
        <v>16</v>
      </c>
      <c r="I17" s="5">
        <f t="shared" si="0"/>
        <v>80</v>
      </c>
    </row>
    <row r="18" spans="1:9" x14ac:dyDescent="0.15">
      <c r="A18" s="4" t="s">
        <v>77</v>
      </c>
      <c r="B18" s="4" t="s">
        <v>78</v>
      </c>
      <c r="C18" s="4" t="s">
        <v>79</v>
      </c>
      <c r="D18" s="4" t="s">
        <v>12</v>
      </c>
      <c r="E18" s="4" t="s">
        <v>80</v>
      </c>
      <c r="F18" s="4" t="s">
        <v>29</v>
      </c>
      <c r="G18" s="4" t="s">
        <v>30</v>
      </c>
      <c r="H18" s="5" t="s">
        <v>16</v>
      </c>
      <c r="I18" s="5">
        <f t="shared" si="0"/>
        <v>85</v>
      </c>
    </row>
    <row r="19" spans="1:9" x14ac:dyDescent="0.15">
      <c r="A19" s="4" t="s">
        <v>81</v>
      </c>
      <c r="B19" s="4" t="s">
        <v>82</v>
      </c>
      <c r="C19" s="4" t="s">
        <v>83</v>
      </c>
      <c r="D19" s="4" t="s">
        <v>12</v>
      </c>
      <c r="E19" s="4" t="s">
        <v>40</v>
      </c>
      <c r="F19" s="4" t="s">
        <v>41</v>
      </c>
      <c r="G19" s="4" t="s">
        <v>42</v>
      </c>
      <c r="H19" s="5" t="s">
        <v>16</v>
      </c>
      <c r="I19" s="5">
        <f t="shared" si="0"/>
        <v>90</v>
      </c>
    </row>
    <row r="20" spans="1:9" x14ac:dyDescent="0.15">
      <c r="A20" s="4" t="s">
        <v>84</v>
      </c>
      <c r="B20" s="4" t="s">
        <v>85</v>
      </c>
      <c r="C20" s="4" t="s">
        <v>86</v>
      </c>
      <c r="D20" s="4" t="s">
        <v>12</v>
      </c>
      <c r="E20" s="4" t="s">
        <v>87</v>
      </c>
      <c r="F20" s="4" t="s">
        <v>23</v>
      </c>
      <c r="G20" s="4" t="s">
        <v>24</v>
      </c>
      <c r="H20" s="5" t="s">
        <v>16</v>
      </c>
      <c r="I20" s="5">
        <f t="shared" si="0"/>
        <v>95</v>
      </c>
    </row>
    <row r="21" spans="1:9" x14ac:dyDescent="0.15">
      <c r="A21" s="4" t="s">
        <v>88</v>
      </c>
      <c r="B21" s="4" t="s">
        <v>89</v>
      </c>
      <c r="C21" s="4" t="s">
        <v>90</v>
      </c>
      <c r="D21" s="4" t="s">
        <v>12</v>
      </c>
      <c r="E21" s="4" t="s">
        <v>91</v>
      </c>
      <c r="F21" s="4" t="s">
        <v>29</v>
      </c>
      <c r="G21" s="4" t="s">
        <v>30</v>
      </c>
      <c r="H21" s="5" t="s">
        <v>16</v>
      </c>
      <c r="I21" s="5">
        <f t="shared" si="0"/>
        <v>100</v>
      </c>
    </row>
    <row r="22" spans="1:9" x14ac:dyDescent="0.15">
      <c r="A22" s="4" t="s">
        <v>92</v>
      </c>
      <c r="B22" s="4" t="s">
        <v>93</v>
      </c>
      <c r="C22" s="4" t="s">
        <v>94</v>
      </c>
      <c r="D22" s="4" t="s">
        <v>12</v>
      </c>
      <c r="E22" s="4" t="s">
        <v>95</v>
      </c>
      <c r="F22" s="4" t="s">
        <v>29</v>
      </c>
      <c r="G22" s="4" t="s">
        <v>30</v>
      </c>
      <c r="H22" s="5" t="s">
        <v>16</v>
      </c>
      <c r="I22" s="5">
        <f t="shared" si="0"/>
        <v>105</v>
      </c>
    </row>
    <row r="23" spans="1:9" x14ac:dyDescent="0.15">
      <c r="A23" s="4" t="s">
        <v>96</v>
      </c>
      <c r="B23" s="4" t="s">
        <v>97</v>
      </c>
      <c r="C23" s="4" t="s">
        <v>98</v>
      </c>
      <c r="D23" s="4" t="s">
        <v>12</v>
      </c>
      <c r="E23" s="4" t="s">
        <v>64</v>
      </c>
      <c r="F23" s="4" t="s">
        <v>49</v>
      </c>
      <c r="G23" s="4" t="s">
        <v>50</v>
      </c>
      <c r="H23" s="5" t="s">
        <v>16</v>
      </c>
      <c r="I23" s="5">
        <f t="shared" si="0"/>
        <v>110</v>
      </c>
    </row>
    <row r="24" spans="1:9" x14ac:dyDescent="0.15">
      <c r="A24" s="4" t="s">
        <v>27</v>
      </c>
      <c r="B24" s="4" t="s">
        <v>28</v>
      </c>
      <c r="C24" s="4" t="s">
        <v>99</v>
      </c>
      <c r="D24" s="4" t="s">
        <v>12</v>
      </c>
      <c r="E24" s="4" t="s">
        <v>100</v>
      </c>
      <c r="F24" s="4" t="s">
        <v>101</v>
      </c>
      <c r="G24" s="4" t="s">
        <v>102</v>
      </c>
      <c r="H24" s="5" t="s">
        <v>103</v>
      </c>
      <c r="I24" s="5">
        <f t="shared" si="0"/>
        <v>114</v>
      </c>
    </row>
    <row r="25" spans="1:9" x14ac:dyDescent="0.15">
      <c r="A25" s="4" t="s">
        <v>104</v>
      </c>
      <c r="B25" s="4" t="s">
        <v>105</v>
      </c>
      <c r="C25" s="4" t="s">
        <v>106</v>
      </c>
      <c r="D25" s="4" t="s">
        <v>12</v>
      </c>
      <c r="E25" s="4" t="s">
        <v>107</v>
      </c>
      <c r="F25" s="4" t="s">
        <v>49</v>
      </c>
      <c r="G25" s="4" t="s">
        <v>50</v>
      </c>
      <c r="H25" s="5" t="s">
        <v>16</v>
      </c>
      <c r="I25" s="5">
        <f t="shared" si="0"/>
        <v>119</v>
      </c>
    </row>
    <row r="26" spans="1:9" x14ac:dyDescent="0.15">
      <c r="A26" s="4" t="s">
        <v>108</v>
      </c>
      <c r="B26" s="4" t="s">
        <v>109</v>
      </c>
      <c r="C26" s="4" t="s">
        <v>110</v>
      </c>
      <c r="D26" s="4" t="s">
        <v>111</v>
      </c>
      <c r="E26" s="4" t="s">
        <v>112</v>
      </c>
      <c r="F26" s="4" t="s">
        <v>113</v>
      </c>
      <c r="G26" s="4" t="s">
        <v>114</v>
      </c>
      <c r="H26" s="5" t="s">
        <v>16</v>
      </c>
      <c r="I26" s="5">
        <f t="shared" si="0"/>
        <v>124</v>
      </c>
    </row>
    <row r="27" spans="1:9" x14ac:dyDescent="0.15">
      <c r="A27" s="4" t="s">
        <v>115</v>
      </c>
      <c r="B27" s="4" t="s">
        <v>116</v>
      </c>
      <c r="C27" s="4" t="s">
        <v>117</v>
      </c>
      <c r="D27" s="4" t="s">
        <v>111</v>
      </c>
      <c r="E27" s="4" t="s">
        <v>118</v>
      </c>
      <c r="F27" s="4" t="s">
        <v>119</v>
      </c>
      <c r="G27" s="4" t="s">
        <v>120</v>
      </c>
      <c r="H27" s="5" t="s">
        <v>16</v>
      </c>
      <c r="I27" s="5">
        <f t="shared" si="0"/>
        <v>129</v>
      </c>
    </row>
    <row r="28" spans="1:9" x14ac:dyDescent="0.15">
      <c r="A28" s="4" t="s">
        <v>121</v>
      </c>
      <c r="B28" s="4" t="s">
        <v>122</v>
      </c>
      <c r="C28" s="4" t="s">
        <v>123</v>
      </c>
      <c r="D28" s="4" t="s">
        <v>111</v>
      </c>
      <c r="E28" s="4" t="s">
        <v>124</v>
      </c>
      <c r="F28" s="4" t="s">
        <v>125</v>
      </c>
      <c r="G28" s="4" t="s">
        <v>126</v>
      </c>
      <c r="H28" s="5" t="s">
        <v>127</v>
      </c>
      <c r="I28" s="5">
        <f t="shared" si="0"/>
        <v>135</v>
      </c>
    </row>
    <row r="29" spans="1:9" x14ac:dyDescent="0.15">
      <c r="A29" s="4" t="s">
        <v>125</v>
      </c>
      <c r="B29" s="4" t="s">
        <v>126</v>
      </c>
      <c r="C29" s="4" t="s">
        <v>128</v>
      </c>
      <c r="D29" s="4" t="s">
        <v>111</v>
      </c>
      <c r="E29" s="4" t="s">
        <v>129</v>
      </c>
      <c r="F29" s="4" t="s">
        <v>130</v>
      </c>
      <c r="G29" s="4" t="s">
        <v>131</v>
      </c>
      <c r="H29" s="5" t="s">
        <v>127</v>
      </c>
      <c r="I29" s="5">
        <f t="shared" si="0"/>
        <v>141</v>
      </c>
    </row>
    <row r="30" spans="1:9" x14ac:dyDescent="0.15">
      <c r="A30" s="4" t="s">
        <v>113</v>
      </c>
      <c r="B30" s="4" t="s">
        <v>114</v>
      </c>
      <c r="C30" s="4" t="s">
        <v>132</v>
      </c>
      <c r="D30" s="4" t="s">
        <v>111</v>
      </c>
      <c r="E30" s="4" t="s">
        <v>133</v>
      </c>
      <c r="F30" s="4" t="s">
        <v>125</v>
      </c>
      <c r="G30" s="4" t="s">
        <v>126</v>
      </c>
      <c r="H30" s="5" t="s">
        <v>16</v>
      </c>
      <c r="I30" s="5">
        <f t="shared" si="0"/>
        <v>146</v>
      </c>
    </row>
    <row r="31" spans="1:9" x14ac:dyDescent="0.15">
      <c r="A31" s="4" t="s">
        <v>134</v>
      </c>
      <c r="B31" s="4" t="s">
        <v>135</v>
      </c>
      <c r="C31" s="4" t="s">
        <v>136</v>
      </c>
      <c r="D31" s="4" t="s">
        <v>111</v>
      </c>
      <c r="E31" s="4" t="s">
        <v>137</v>
      </c>
      <c r="F31" s="4" t="s">
        <v>138</v>
      </c>
      <c r="G31" s="4" t="s">
        <v>139</v>
      </c>
      <c r="H31" s="5" t="s">
        <v>16</v>
      </c>
      <c r="I31" s="5">
        <f t="shared" si="0"/>
        <v>151</v>
      </c>
    </row>
    <row r="32" spans="1:9" x14ac:dyDescent="0.15">
      <c r="A32" s="4" t="s">
        <v>140</v>
      </c>
      <c r="B32" s="4" t="s">
        <v>141</v>
      </c>
      <c r="C32" s="4" t="s">
        <v>142</v>
      </c>
      <c r="D32" s="4" t="s">
        <v>111</v>
      </c>
      <c r="E32" s="4" t="s">
        <v>143</v>
      </c>
      <c r="F32" s="4" t="s">
        <v>125</v>
      </c>
      <c r="G32" s="4" t="s">
        <v>126</v>
      </c>
      <c r="H32" s="5" t="s">
        <v>16</v>
      </c>
      <c r="I32" s="5">
        <f t="shared" si="0"/>
        <v>156</v>
      </c>
    </row>
    <row r="33" spans="1:9" x14ac:dyDescent="0.15">
      <c r="A33" s="4" t="s">
        <v>138</v>
      </c>
      <c r="B33" s="4" t="s">
        <v>139</v>
      </c>
      <c r="C33" s="4" t="s">
        <v>144</v>
      </c>
      <c r="D33" s="4" t="s">
        <v>111</v>
      </c>
      <c r="E33" s="4" t="s">
        <v>145</v>
      </c>
      <c r="F33" s="4" t="s">
        <v>125</v>
      </c>
      <c r="G33" s="4" t="s">
        <v>126</v>
      </c>
      <c r="H33" s="5" t="s">
        <v>16</v>
      </c>
      <c r="I33" s="5">
        <f t="shared" si="0"/>
        <v>161</v>
      </c>
    </row>
    <row r="34" spans="1:9" x14ac:dyDescent="0.15">
      <c r="A34" s="4" t="s">
        <v>146</v>
      </c>
      <c r="B34" s="4" t="s">
        <v>147</v>
      </c>
      <c r="C34" s="4" t="s">
        <v>148</v>
      </c>
      <c r="D34" s="4" t="s">
        <v>149</v>
      </c>
      <c r="E34" s="4" t="s">
        <v>150</v>
      </c>
      <c r="F34" s="4" t="s">
        <v>151</v>
      </c>
      <c r="G34" s="4" t="s">
        <v>152</v>
      </c>
      <c r="H34" s="5" t="s">
        <v>153</v>
      </c>
      <c r="I34" s="5">
        <f t="shared" si="0"/>
        <v>161</v>
      </c>
    </row>
    <row r="35" spans="1:9" x14ac:dyDescent="0.15">
      <c r="A35" s="4" t="s">
        <v>154</v>
      </c>
      <c r="B35" s="4" t="s">
        <v>155</v>
      </c>
      <c r="C35" s="4" t="s">
        <v>156</v>
      </c>
      <c r="D35" s="4" t="s">
        <v>149</v>
      </c>
      <c r="E35" s="4" t="s">
        <v>150</v>
      </c>
      <c r="F35" s="4" t="s">
        <v>151</v>
      </c>
      <c r="G35" s="4" t="s">
        <v>152</v>
      </c>
      <c r="H35" s="5" t="s">
        <v>157</v>
      </c>
      <c r="I35" s="5">
        <f t="shared" si="0"/>
        <v>168</v>
      </c>
    </row>
    <row r="36" spans="1:9" x14ac:dyDescent="0.15">
      <c r="A36" s="4" t="s">
        <v>158</v>
      </c>
      <c r="B36" s="4" t="s">
        <v>159</v>
      </c>
      <c r="C36" s="4" t="s">
        <v>160</v>
      </c>
      <c r="D36" s="4" t="s">
        <v>149</v>
      </c>
      <c r="E36" s="4" t="s">
        <v>150</v>
      </c>
      <c r="F36" s="4" t="s">
        <v>151</v>
      </c>
      <c r="G36" s="4" t="s">
        <v>152</v>
      </c>
      <c r="H36" s="5" t="s">
        <v>157</v>
      </c>
      <c r="I36" s="5">
        <f t="shared" si="0"/>
        <v>175</v>
      </c>
    </row>
    <row r="37" spans="1:9" x14ac:dyDescent="0.15">
      <c r="A37" s="4" t="s">
        <v>161</v>
      </c>
      <c r="B37" s="4" t="s">
        <v>162</v>
      </c>
      <c r="C37" s="4" t="s">
        <v>163</v>
      </c>
      <c r="D37" s="4" t="s">
        <v>149</v>
      </c>
      <c r="E37" s="4" t="s">
        <v>150</v>
      </c>
      <c r="F37" s="4" t="s">
        <v>151</v>
      </c>
      <c r="G37" s="4" t="s">
        <v>152</v>
      </c>
      <c r="H37" s="5" t="s">
        <v>157</v>
      </c>
      <c r="I37" s="5">
        <f t="shared" si="0"/>
        <v>182</v>
      </c>
    </row>
    <row r="38" spans="1:9" x14ac:dyDescent="0.15">
      <c r="A38" s="4" t="s">
        <v>164</v>
      </c>
      <c r="B38" s="4" t="s">
        <v>165</v>
      </c>
      <c r="C38" s="4" t="s">
        <v>166</v>
      </c>
      <c r="D38" s="4" t="s">
        <v>149</v>
      </c>
      <c r="E38" s="4" t="s">
        <v>167</v>
      </c>
      <c r="F38" s="4" t="s">
        <v>151</v>
      </c>
      <c r="G38" s="4" t="s">
        <v>152</v>
      </c>
      <c r="H38" s="5" t="s">
        <v>168</v>
      </c>
      <c r="I38" s="5">
        <f t="shared" si="0"/>
        <v>191</v>
      </c>
    </row>
    <row r="39" spans="1:9" x14ac:dyDescent="0.15">
      <c r="A39" s="4" t="s">
        <v>169</v>
      </c>
      <c r="B39" s="4" t="s">
        <v>170</v>
      </c>
      <c r="C39" s="4" t="s">
        <v>171</v>
      </c>
      <c r="D39" s="4" t="s">
        <v>149</v>
      </c>
      <c r="E39" s="4" t="s">
        <v>150</v>
      </c>
      <c r="F39" s="4" t="s">
        <v>151</v>
      </c>
      <c r="G39" s="4" t="s">
        <v>152</v>
      </c>
      <c r="H39" s="5" t="s">
        <v>172</v>
      </c>
      <c r="I39" s="5">
        <f t="shared" si="0"/>
        <v>199</v>
      </c>
    </row>
    <row r="40" spans="1:9" x14ac:dyDescent="0.15">
      <c r="A40" s="4" t="s">
        <v>151</v>
      </c>
      <c r="B40" s="4" t="s">
        <v>152</v>
      </c>
      <c r="C40" s="4" t="s">
        <v>173</v>
      </c>
      <c r="D40" s="4" t="s">
        <v>149</v>
      </c>
      <c r="E40" s="4" t="s">
        <v>174</v>
      </c>
      <c r="F40" s="4" t="s">
        <v>175</v>
      </c>
      <c r="G40" s="4" t="s">
        <v>176</v>
      </c>
      <c r="H40" s="5" t="s">
        <v>157</v>
      </c>
      <c r="I40" s="5">
        <f t="shared" si="0"/>
        <v>206</v>
      </c>
    </row>
    <row r="41" spans="1:9" x14ac:dyDescent="0.15">
      <c r="A41" s="4" t="s">
        <v>177</v>
      </c>
      <c r="B41" s="4" t="s">
        <v>178</v>
      </c>
      <c r="C41" s="4" t="s">
        <v>179</v>
      </c>
      <c r="D41" s="4" t="s">
        <v>149</v>
      </c>
      <c r="E41" s="4" t="s">
        <v>150</v>
      </c>
      <c r="F41" s="4" t="s">
        <v>151</v>
      </c>
      <c r="G41" s="4" t="s">
        <v>152</v>
      </c>
      <c r="H41" s="5" t="s">
        <v>127</v>
      </c>
      <c r="I41" s="5">
        <f t="shared" si="0"/>
        <v>212</v>
      </c>
    </row>
    <row r="42" spans="1:9" x14ac:dyDescent="0.15">
      <c r="A42" s="4" t="s">
        <v>180</v>
      </c>
      <c r="B42" s="4" t="s">
        <v>181</v>
      </c>
      <c r="C42" s="4" t="s">
        <v>182</v>
      </c>
      <c r="D42" s="4" t="s">
        <v>149</v>
      </c>
      <c r="E42" s="4" t="s">
        <v>183</v>
      </c>
      <c r="F42" s="4" t="s">
        <v>151</v>
      </c>
      <c r="G42" s="4" t="s">
        <v>152</v>
      </c>
      <c r="H42" s="5" t="s">
        <v>127</v>
      </c>
      <c r="I42" s="5">
        <f t="shared" si="0"/>
        <v>218</v>
      </c>
    </row>
    <row r="43" spans="1:9" x14ac:dyDescent="0.15">
      <c r="A43" s="4" t="s">
        <v>175</v>
      </c>
      <c r="B43" s="4" t="s">
        <v>176</v>
      </c>
      <c r="C43" s="4" t="s">
        <v>184</v>
      </c>
      <c r="D43" s="4" t="s">
        <v>149</v>
      </c>
      <c r="E43" s="4" t="s">
        <v>185</v>
      </c>
      <c r="F43" s="4" t="s">
        <v>186</v>
      </c>
      <c r="G43" s="4" t="s">
        <v>187</v>
      </c>
      <c r="H43" s="5" t="s">
        <v>157</v>
      </c>
      <c r="I43" s="5">
        <f t="shared" si="0"/>
        <v>225</v>
      </c>
    </row>
    <row r="44" spans="1:9" x14ac:dyDescent="0.15">
      <c r="A44" s="4" t="s">
        <v>188</v>
      </c>
      <c r="B44" s="4" t="s">
        <v>189</v>
      </c>
      <c r="C44" s="4" t="s">
        <v>190</v>
      </c>
      <c r="D44" s="4" t="s">
        <v>191</v>
      </c>
      <c r="E44" s="4" t="s">
        <v>192</v>
      </c>
      <c r="F44" s="4" t="s">
        <v>193</v>
      </c>
      <c r="G44" s="4" t="s">
        <v>194</v>
      </c>
      <c r="H44" s="5" t="s">
        <v>157</v>
      </c>
      <c r="I44" s="5">
        <f t="shared" si="0"/>
        <v>232</v>
      </c>
    </row>
    <row r="45" spans="1:9" x14ac:dyDescent="0.15">
      <c r="A45" s="4" t="s">
        <v>195</v>
      </c>
      <c r="B45" s="4" t="s">
        <v>196</v>
      </c>
      <c r="C45" s="4" t="s">
        <v>197</v>
      </c>
      <c r="D45" s="4" t="s">
        <v>191</v>
      </c>
      <c r="E45" s="4" t="s">
        <v>192</v>
      </c>
      <c r="F45" s="4" t="s">
        <v>193</v>
      </c>
      <c r="G45" s="4" t="s">
        <v>194</v>
      </c>
      <c r="H45" s="5" t="s">
        <v>157</v>
      </c>
      <c r="I45" s="5">
        <f t="shared" si="0"/>
        <v>239</v>
      </c>
    </row>
    <row r="46" spans="1:9" x14ac:dyDescent="0.15">
      <c r="A46" s="4" t="s">
        <v>193</v>
      </c>
      <c r="B46" s="4" t="s">
        <v>194</v>
      </c>
      <c r="C46" s="4" t="s">
        <v>198</v>
      </c>
      <c r="D46" s="4" t="s">
        <v>191</v>
      </c>
      <c r="E46" s="4" t="s">
        <v>199</v>
      </c>
      <c r="F46" s="4" t="s">
        <v>119</v>
      </c>
      <c r="G46" s="4" t="s">
        <v>120</v>
      </c>
      <c r="H46" s="5" t="s">
        <v>127</v>
      </c>
      <c r="I46" s="5">
        <f t="shared" si="0"/>
        <v>245</v>
      </c>
    </row>
    <row r="47" spans="1:9" x14ac:dyDescent="0.15">
      <c r="A47" s="4" t="s">
        <v>200</v>
      </c>
      <c r="B47" s="4" t="s">
        <v>201</v>
      </c>
      <c r="C47" s="4" t="s">
        <v>202</v>
      </c>
      <c r="D47" s="4" t="s">
        <v>191</v>
      </c>
      <c r="E47" s="4" t="s">
        <v>203</v>
      </c>
      <c r="F47" s="4" t="s">
        <v>193</v>
      </c>
      <c r="G47" s="4" t="s">
        <v>194</v>
      </c>
      <c r="H47" s="5" t="s">
        <v>153</v>
      </c>
      <c r="I47" s="5">
        <f t="shared" si="0"/>
        <v>245</v>
      </c>
    </row>
    <row r="48" spans="1:9" x14ac:dyDescent="0.15">
      <c r="A48" s="4" t="s">
        <v>204</v>
      </c>
      <c r="B48" s="4" t="s">
        <v>205</v>
      </c>
      <c r="C48" s="4" t="s">
        <v>206</v>
      </c>
      <c r="D48" s="4" t="s">
        <v>191</v>
      </c>
      <c r="E48" s="4" t="s">
        <v>207</v>
      </c>
      <c r="F48" s="4" t="s">
        <v>193</v>
      </c>
      <c r="G48" s="4" t="s">
        <v>194</v>
      </c>
      <c r="H48" s="5" t="s">
        <v>157</v>
      </c>
      <c r="I48" s="5">
        <f t="shared" si="0"/>
        <v>252</v>
      </c>
    </row>
    <row r="49" spans="1:9" x14ac:dyDescent="0.15">
      <c r="A49" s="4" t="s">
        <v>208</v>
      </c>
      <c r="B49" s="4" t="s">
        <v>209</v>
      </c>
      <c r="C49" s="4" t="s">
        <v>210</v>
      </c>
      <c r="D49" s="4" t="s">
        <v>191</v>
      </c>
      <c r="E49" s="4" t="s">
        <v>211</v>
      </c>
      <c r="F49" s="4" t="s">
        <v>193</v>
      </c>
      <c r="G49" s="4" t="s">
        <v>194</v>
      </c>
      <c r="H49" s="5" t="s">
        <v>127</v>
      </c>
      <c r="I49" s="5">
        <f t="shared" si="0"/>
        <v>258</v>
      </c>
    </row>
    <row r="50" spans="1:9" x14ac:dyDescent="0.15">
      <c r="A50" s="4" t="s">
        <v>212</v>
      </c>
      <c r="B50" s="4" t="s">
        <v>213</v>
      </c>
      <c r="C50" s="4" t="s">
        <v>214</v>
      </c>
      <c r="D50" s="4" t="s">
        <v>191</v>
      </c>
      <c r="E50" s="4" t="s">
        <v>215</v>
      </c>
      <c r="F50" s="4" t="s">
        <v>193</v>
      </c>
      <c r="G50" s="4" t="s">
        <v>194</v>
      </c>
      <c r="H50" s="5" t="s">
        <v>153</v>
      </c>
      <c r="I50" s="5">
        <f t="shared" si="0"/>
        <v>258</v>
      </c>
    </row>
    <row r="51" spans="1:9" x14ac:dyDescent="0.15">
      <c r="A51" s="4" t="s">
        <v>216</v>
      </c>
      <c r="B51" s="4" t="s">
        <v>217</v>
      </c>
      <c r="C51" s="4" t="s">
        <v>218</v>
      </c>
      <c r="D51" s="4" t="s">
        <v>191</v>
      </c>
      <c r="E51" s="4" t="s">
        <v>219</v>
      </c>
      <c r="F51" s="4" t="s">
        <v>193</v>
      </c>
      <c r="G51" s="4" t="s">
        <v>194</v>
      </c>
      <c r="H51" s="5" t="s">
        <v>157</v>
      </c>
      <c r="I51" s="5">
        <f t="shared" si="0"/>
        <v>265</v>
      </c>
    </row>
    <row r="52" spans="1:9" x14ac:dyDescent="0.15">
      <c r="A52" s="4" t="s">
        <v>220</v>
      </c>
      <c r="B52" s="4" t="s">
        <v>221</v>
      </c>
      <c r="C52" s="4" t="s">
        <v>222</v>
      </c>
      <c r="D52" s="4" t="s">
        <v>223</v>
      </c>
      <c r="E52" s="4" t="s">
        <v>224</v>
      </c>
      <c r="F52" s="4" t="s">
        <v>130</v>
      </c>
      <c r="G52" s="4" t="s">
        <v>131</v>
      </c>
      <c r="H52" s="5" t="s">
        <v>127</v>
      </c>
      <c r="I52" s="5">
        <f t="shared" si="0"/>
        <v>271</v>
      </c>
    </row>
    <row r="53" spans="1:9" x14ac:dyDescent="0.15">
      <c r="A53" s="4" t="s">
        <v>225</v>
      </c>
      <c r="B53" s="4" t="s">
        <v>226</v>
      </c>
      <c r="C53" s="4" t="s">
        <v>227</v>
      </c>
      <c r="D53" s="4" t="s">
        <v>223</v>
      </c>
      <c r="E53" s="4" t="s">
        <v>228</v>
      </c>
      <c r="F53" s="4" t="s">
        <v>220</v>
      </c>
      <c r="G53" s="4" t="s">
        <v>221</v>
      </c>
      <c r="H53" s="5" t="s">
        <v>16</v>
      </c>
      <c r="I53" s="5">
        <f t="shared" si="0"/>
        <v>276</v>
      </c>
    </row>
    <row r="54" spans="1:9" x14ac:dyDescent="0.15">
      <c r="A54" s="4" t="s">
        <v>229</v>
      </c>
      <c r="B54" s="4" t="s">
        <v>230</v>
      </c>
      <c r="C54" s="4" t="s">
        <v>231</v>
      </c>
      <c r="D54" s="4" t="s">
        <v>223</v>
      </c>
      <c r="E54" s="4" t="s">
        <v>232</v>
      </c>
      <c r="F54" s="4" t="s">
        <v>220</v>
      </c>
      <c r="G54" s="4" t="s">
        <v>221</v>
      </c>
      <c r="H54" s="5" t="s">
        <v>103</v>
      </c>
      <c r="I54" s="5">
        <f t="shared" si="0"/>
        <v>280</v>
      </c>
    </row>
    <row r="55" spans="1:9" x14ac:dyDescent="0.15">
      <c r="A55" s="4" t="s">
        <v>233</v>
      </c>
      <c r="B55" s="4" t="s">
        <v>234</v>
      </c>
      <c r="C55" s="4" t="s">
        <v>235</v>
      </c>
      <c r="D55" s="4" t="s">
        <v>236</v>
      </c>
      <c r="E55" s="4" t="s">
        <v>237</v>
      </c>
      <c r="F55" s="4" t="s">
        <v>238</v>
      </c>
      <c r="G55" s="4" t="s">
        <v>239</v>
      </c>
      <c r="H55" s="5" t="s">
        <v>127</v>
      </c>
      <c r="I55" s="5">
        <f t="shared" si="0"/>
        <v>286</v>
      </c>
    </row>
    <row r="56" spans="1:9" x14ac:dyDescent="0.15">
      <c r="A56" s="4" t="s">
        <v>240</v>
      </c>
      <c r="B56" s="4" t="s">
        <v>241</v>
      </c>
      <c r="C56" s="4" t="s">
        <v>242</v>
      </c>
      <c r="D56" s="4" t="s">
        <v>236</v>
      </c>
      <c r="E56" s="4" t="s">
        <v>243</v>
      </c>
      <c r="F56" s="4" t="s">
        <v>244</v>
      </c>
      <c r="G56" s="4" t="s">
        <v>245</v>
      </c>
      <c r="H56" s="5" t="s">
        <v>127</v>
      </c>
      <c r="I56" s="5">
        <f t="shared" si="0"/>
        <v>292</v>
      </c>
    </row>
    <row r="57" spans="1:9" x14ac:dyDescent="0.15">
      <c r="A57" s="4" t="s">
        <v>246</v>
      </c>
      <c r="B57" s="4" t="s">
        <v>247</v>
      </c>
      <c r="C57" s="4" t="s">
        <v>248</v>
      </c>
      <c r="D57" s="4" t="s">
        <v>236</v>
      </c>
      <c r="E57" s="4" t="s">
        <v>249</v>
      </c>
      <c r="F57" s="4" t="s">
        <v>244</v>
      </c>
      <c r="G57" s="4" t="s">
        <v>245</v>
      </c>
      <c r="H57" s="5" t="s">
        <v>127</v>
      </c>
      <c r="I57" s="5">
        <f t="shared" si="0"/>
        <v>298</v>
      </c>
    </row>
    <row r="58" spans="1:9" x14ac:dyDescent="0.15">
      <c r="A58" s="4" t="s">
        <v>250</v>
      </c>
      <c r="B58" s="4" t="s">
        <v>251</v>
      </c>
      <c r="C58" s="4" t="s">
        <v>252</v>
      </c>
      <c r="D58" s="4" t="s">
        <v>236</v>
      </c>
      <c r="E58" s="4" t="s">
        <v>253</v>
      </c>
      <c r="F58" s="4" t="s">
        <v>233</v>
      </c>
      <c r="G58" s="4" t="s">
        <v>234</v>
      </c>
      <c r="H58" s="5" t="s">
        <v>16</v>
      </c>
      <c r="I58" s="5">
        <f t="shared" si="0"/>
        <v>303</v>
      </c>
    </row>
    <row r="59" spans="1:9" x14ac:dyDescent="0.15">
      <c r="A59" s="4" t="s">
        <v>254</v>
      </c>
      <c r="B59" s="4" t="s">
        <v>255</v>
      </c>
      <c r="C59" s="4" t="s">
        <v>256</v>
      </c>
      <c r="D59" s="4" t="s">
        <v>236</v>
      </c>
      <c r="E59" s="4" t="s">
        <v>257</v>
      </c>
      <c r="F59" s="4" t="s">
        <v>233</v>
      </c>
      <c r="G59" s="4" t="s">
        <v>234</v>
      </c>
      <c r="H59" s="5" t="s">
        <v>103</v>
      </c>
      <c r="I59" s="5">
        <f t="shared" si="0"/>
        <v>307</v>
      </c>
    </row>
    <row r="60" spans="1:9" x14ac:dyDescent="0.15">
      <c r="A60" s="4" t="s">
        <v>258</v>
      </c>
      <c r="B60" s="4" t="s">
        <v>259</v>
      </c>
      <c r="C60" s="4" t="s">
        <v>260</v>
      </c>
      <c r="D60" s="4" t="s">
        <v>236</v>
      </c>
      <c r="E60" s="4" t="s">
        <v>261</v>
      </c>
      <c r="F60" s="4" t="s">
        <v>233</v>
      </c>
      <c r="G60" s="4" t="s">
        <v>234</v>
      </c>
      <c r="H60" s="5" t="s">
        <v>127</v>
      </c>
      <c r="I60" s="5">
        <f t="shared" si="0"/>
        <v>313</v>
      </c>
    </row>
    <row r="61" spans="1:9" x14ac:dyDescent="0.15">
      <c r="A61" s="4" t="s">
        <v>238</v>
      </c>
      <c r="B61" s="4" t="s">
        <v>239</v>
      </c>
      <c r="C61" s="4" t="s">
        <v>262</v>
      </c>
      <c r="D61" s="4" t="s">
        <v>236</v>
      </c>
      <c r="E61" s="4" t="s">
        <v>263</v>
      </c>
      <c r="F61" s="4" t="s">
        <v>264</v>
      </c>
      <c r="G61" s="4" t="s">
        <v>265</v>
      </c>
      <c r="H61" s="5" t="s">
        <v>127</v>
      </c>
      <c r="I61" s="5">
        <f t="shared" si="0"/>
        <v>319</v>
      </c>
    </row>
    <row r="62" spans="1:9" x14ac:dyDescent="0.15">
      <c r="A62" s="4" t="s">
        <v>266</v>
      </c>
      <c r="B62" s="4" t="s">
        <v>267</v>
      </c>
      <c r="C62" s="4" t="s">
        <v>268</v>
      </c>
      <c r="D62" s="4" t="s">
        <v>236</v>
      </c>
      <c r="E62" s="4" t="s">
        <v>269</v>
      </c>
      <c r="F62" s="4" t="s">
        <v>233</v>
      </c>
      <c r="G62" s="4" t="s">
        <v>234</v>
      </c>
      <c r="H62" s="5" t="s">
        <v>16</v>
      </c>
      <c r="I62" s="5">
        <f t="shared" si="0"/>
        <v>324</v>
      </c>
    </row>
    <row r="63" spans="1:9" x14ac:dyDescent="0.15">
      <c r="A63" s="4" t="s">
        <v>244</v>
      </c>
      <c r="B63" s="4" t="s">
        <v>245</v>
      </c>
      <c r="C63" s="4" t="s">
        <v>270</v>
      </c>
      <c r="D63" s="4" t="s">
        <v>236</v>
      </c>
      <c r="E63" s="4" t="s">
        <v>271</v>
      </c>
      <c r="F63" s="4" t="s">
        <v>238</v>
      </c>
      <c r="G63" s="4" t="s">
        <v>239</v>
      </c>
      <c r="H63" s="5" t="s">
        <v>127</v>
      </c>
      <c r="I63" s="5">
        <f t="shared" si="0"/>
        <v>330</v>
      </c>
    </row>
    <row r="64" spans="1:9" x14ac:dyDescent="0.15">
      <c r="A64" s="4" t="s">
        <v>272</v>
      </c>
      <c r="B64" s="4" t="s">
        <v>273</v>
      </c>
      <c r="C64" s="4" t="s">
        <v>274</v>
      </c>
      <c r="D64" s="4" t="s">
        <v>236</v>
      </c>
      <c r="E64" s="4" t="s">
        <v>275</v>
      </c>
      <c r="F64" s="4" t="s">
        <v>244</v>
      </c>
      <c r="G64" s="4" t="s">
        <v>245</v>
      </c>
      <c r="H64" s="5" t="s">
        <v>127</v>
      </c>
      <c r="I64" s="5">
        <f t="shared" si="0"/>
        <v>336</v>
      </c>
    </row>
    <row r="65" spans="1:9" x14ac:dyDescent="0.15">
      <c r="A65" s="4" t="s">
        <v>276</v>
      </c>
      <c r="B65" s="4" t="s">
        <v>277</v>
      </c>
      <c r="C65" s="4" t="s">
        <v>278</v>
      </c>
      <c r="D65" s="4" t="s">
        <v>236</v>
      </c>
      <c r="E65" s="4" t="s">
        <v>249</v>
      </c>
      <c r="F65" s="4" t="s">
        <v>244</v>
      </c>
      <c r="G65" s="4" t="s">
        <v>245</v>
      </c>
      <c r="H65" s="5" t="s">
        <v>127</v>
      </c>
      <c r="I65" s="5">
        <f t="shared" si="0"/>
        <v>342</v>
      </c>
    </row>
    <row r="66" spans="1:9" x14ac:dyDescent="0.15">
      <c r="A66" s="4" t="s">
        <v>279</v>
      </c>
      <c r="B66" s="4" t="s">
        <v>280</v>
      </c>
      <c r="C66" s="4" t="s">
        <v>281</v>
      </c>
      <c r="D66" s="4" t="s">
        <v>282</v>
      </c>
      <c r="E66" s="4" t="s">
        <v>283</v>
      </c>
      <c r="F66" s="4" t="s">
        <v>284</v>
      </c>
      <c r="G66" s="4" t="s">
        <v>285</v>
      </c>
      <c r="H66" s="5" t="s">
        <v>103</v>
      </c>
      <c r="I66" s="5">
        <f t="shared" si="0"/>
        <v>346</v>
      </c>
    </row>
    <row r="67" spans="1:9" x14ac:dyDescent="0.15">
      <c r="A67" s="4" t="s">
        <v>286</v>
      </c>
      <c r="B67" s="4" t="s">
        <v>287</v>
      </c>
      <c r="C67" s="4" t="s">
        <v>288</v>
      </c>
      <c r="D67" s="4" t="s">
        <v>282</v>
      </c>
      <c r="E67" s="4" t="s">
        <v>283</v>
      </c>
      <c r="F67" s="4" t="s">
        <v>284</v>
      </c>
      <c r="G67" s="4" t="s">
        <v>285</v>
      </c>
      <c r="H67" s="5" t="s">
        <v>16</v>
      </c>
      <c r="I67" s="5">
        <f t="shared" ref="I67:I130" si="1">+I66+H67</f>
        <v>351</v>
      </c>
    </row>
    <row r="68" spans="1:9" x14ac:dyDescent="0.15">
      <c r="A68" s="4" t="s">
        <v>289</v>
      </c>
      <c r="B68" s="4" t="s">
        <v>290</v>
      </c>
      <c r="C68" s="4" t="s">
        <v>291</v>
      </c>
      <c r="D68" s="4" t="s">
        <v>282</v>
      </c>
      <c r="E68" s="4" t="s">
        <v>283</v>
      </c>
      <c r="F68" s="4" t="s">
        <v>284</v>
      </c>
      <c r="G68" s="4" t="s">
        <v>285</v>
      </c>
      <c r="H68" s="5" t="s">
        <v>103</v>
      </c>
      <c r="I68" s="5">
        <f t="shared" si="1"/>
        <v>355</v>
      </c>
    </row>
    <row r="69" spans="1:9" x14ac:dyDescent="0.15">
      <c r="A69" s="4" t="s">
        <v>292</v>
      </c>
      <c r="B69" s="4" t="s">
        <v>293</v>
      </c>
      <c r="C69" s="4" t="s">
        <v>294</v>
      </c>
      <c r="D69" s="4" t="s">
        <v>282</v>
      </c>
      <c r="E69" s="4" t="s">
        <v>295</v>
      </c>
      <c r="F69" s="4" t="s">
        <v>284</v>
      </c>
      <c r="G69" s="4" t="s">
        <v>285</v>
      </c>
      <c r="H69" s="5" t="s">
        <v>103</v>
      </c>
      <c r="I69" s="5">
        <f t="shared" si="1"/>
        <v>359</v>
      </c>
    </row>
    <row r="70" spans="1:9" x14ac:dyDescent="0.15">
      <c r="A70" s="4" t="s">
        <v>296</v>
      </c>
      <c r="B70" s="4" t="s">
        <v>297</v>
      </c>
      <c r="C70" s="4" t="s">
        <v>298</v>
      </c>
      <c r="D70" s="4" t="s">
        <v>282</v>
      </c>
      <c r="E70" s="4" t="s">
        <v>299</v>
      </c>
      <c r="F70" s="4" t="s">
        <v>101</v>
      </c>
      <c r="G70" s="4" t="s">
        <v>102</v>
      </c>
      <c r="H70" s="5" t="s">
        <v>103</v>
      </c>
      <c r="I70" s="5">
        <f t="shared" si="1"/>
        <v>363</v>
      </c>
    </row>
    <row r="71" spans="1:9" x14ac:dyDescent="0.15">
      <c r="A71" s="4" t="s">
        <v>284</v>
      </c>
      <c r="B71" s="4" t="s">
        <v>285</v>
      </c>
      <c r="C71" s="4" t="s">
        <v>300</v>
      </c>
      <c r="D71" s="4" t="s">
        <v>282</v>
      </c>
      <c r="E71" s="4" t="s">
        <v>301</v>
      </c>
      <c r="F71" s="4" t="s">
        <v>296</v>
      </c>
      <c r="G71" s="4" t="s">
        <v>297</v>
      </c>
      <c r="H71" s="5" t="s">
        <v>103</v>
      </c>
      <c r="I71" s="5">
        <f t="shared" si="1"/>
        <v>367</v>
      </c>
    </row>
    <row r="72" spans="1:9" x14ac:dyDescent="0.15">
      <c r="A72" s="4" t="s">
        <v>302</v>
      </c>
      <c r="B72" s="4" t="s">
        <v>303</v>
      </c>
      <c r="C72" s="4" t="s">
        <v>304</v>
      </c>
      <c r="D72" s="4" t="s">
        <v>305</v>
      </c>
      <c r="E72" s="4" t="s">
        <v>306</v>
      </c>
      <c r="F72" s="4" t="s">
        <v>307</v>
      </c>
      <c r="G72" s="4" t="s">
        <v>308</v>
      </c>
      <c r="H72" s="5" t="s">
        <v>16</v>
      </c>
      <c r="I72" s="5">
        <f t="shared" si="1"/>
        <v>372</v>
      </c>
    </row>
    <row r="73" spans="1:9" x14ac:dyDescent="0.15">
      <c r="A73" s="4" t="s">
        <v>309</v>
      </c>
      <c r="B73" s="4" t="s">
        <v>310</v>
      </c>
      <c r="C73" s="4" t="s">
        <v>311</v>
      </c>
      <c r="D73" s="4" t="s">
        <v>305</v>
      </c>
      <c r="E73" s="4" t="s">
        <v>312</v>
      </c>
      <c r="F73" s="4" t="s">
        <v>313</v>
      </c>
      <c r="G73" s="4" t="s">
        <v>314</v>
      </c>
      <c r="H73" s="5" t="s">
        <v>103</v>
      </c>
      <c r="I73" s="5">
        <f t="shared" si="1"/>
        <v>376</v>
      </c>
    </row>
    <row r="74" spans="1:9" x14ac:dyDescent="0.15">
      <c r="A74" s="4" t="s">
        <v>315</v>
      </c>
      <c r="B74" s="4" t="s">
        <v>316</v>
      </c>
      <c r="C74" s="4" t="s">
        <v>317</v>
      </c>
      <c r="D74" s="4" t="s">
        <v>305</v>
      </c>
      <c r="E74" s="4" t="s">
        <v>318</v>
      </c>
      <c r="F74" s="4" t="s">
        <v>302</v>
      </c>
      <c r="G74" s="4" t="s">
        <v>303</v>
      </c>
      <c r="H74" s="5" t="s">
        <v>16</v>
      </c>
      <c r="I74" s="5">
        <f t="shared" si="1"/>
        <v>381</v>
      </c>
    </row>
    <row r="75" spans="1:9" x14ac:dyDescent="0.15">
      <c r="A75" s="4" t="s">
        <v>319</v>
      </c>
      <c r="B75" s="4" t="s">
        <v>320</v>
      </c>
      <c r="C75" s="4" t="s">
        <v>321</v>
      </c>
      <c r="D75" s="4" t="s">
        <v>305</v>
      </c>
      <c r="E75" s="4" t="s">
        <v>322</v>
      </c>
      <c r="F75" s="4" t="s">
        <v>313</v>
      </c>
      <c r="G75" s="4" t="s">
        <v>314</v>
      </c>
      <c r="H75" s="5" t="s">
        <v>103</v>
      </c>
      <c r="I75" s="5">
        <f t="shared" si="1"/>
        <v>385</v>
      </c>
    </row>
    <row r="76" spans="1:9" x14ac:dyDescent="0.15">
      <c r="A76" s="4" t="s">
        <v>323</v>
      </c>
      <c r="B76" s="4" t="s">
        <v>324</v>
      </c>
      <c r="C76" s="4" t="s">
        <v>325</v>
      </c>
      <c r="D76" s="4" t="s">
        <v>305</v>
      </c>
      <c r="E76" s="4" t="s">
        <v>322</v>
      </c>
      <c r="F76" s="4" t="s">
        <v>313</v>
      </c>
      <c r="G76" s="4" t="s">
        <v>314</v>
      </c>
      <c r="H76" s="5" t="s">
        <v>326</v>
      </c>
      <c r="I76" s="5">
        <f t="shared" si="1"/>
        <v>388</v>
      </c>
    </row>
    <row r="77" spans="1:9" x14ac:dyDescent="0.15">
      <c r="A77" s="4" t="s">
        <v>313</v>
      </c>
      <c r="B77" s="4" t="s">
        <v>314</v>
      </c>
      <c r="C77" s="4" t="s">
        <v>327</v>
      </c>
      <c r="D77" s="4" t="s">
        <v>305</v>
      </c>
      <c r="E77" s="4" t="s">
        <v>328</v>
      </c>
      <c r="F77" s="4" t="s">
        <v>307</v>
      </c>
      <c r="G77" s="4" t="s">
        <v>308</v>
      </c>
      <c r="H77" s="5" t="s">
        <v>103</v>
      </c>
      <c r="I77" s="5">
        <f t="shared" si="1"/>
        <v>392</v>
      </c>
    </row>
    <row r="78" spans="1:9" x14ac:dyDescent="0.15">
      <c r="A78" s="4" t="s">
        <v>329</v>
      </c>
      <c r="B78" s="4" t="s">
        <v>330</v>
      </c>
      <c r="C78" s="4" t="s">
        <v>331</v>
      </c>
      <c r="D78" s="4" t="s">
        <v>305</v>
      </c>
      <c r="E78" s="4" t="s">
        <v>332</v>
      </c>
      <c r="F78" s="4" t="s">
        <v>302</v>
      </c>
      <c r="G78" s="4" t="s">
        <v>303</v>
      </c>
      <c r="H78" s="5" t="s">
        <v>16</v>
      </c>
      <c r="I78" s="5">
        <f t="shared" si="1"/>
        <v>397</v>
      </c>
    </row>
    <row r="79" spans="1:9" x14ac:dyDescent="0.15">
      <c r="A79" s="4" t="s">
        <v>307</v>
      </c>
      <c r="B79" s="4" t="s">
        <v>308</v>
      </c>
      <c r="C79" s="4" t="s">
        <v>333</v>
      </c>
      <c r="D79" s="4" t="s">
        <v>305</v>
      </c>
      <c r="E79" s="4" t="s">
        <v>334</v>
      </c>
      <c r="F79" s="4" t="s">
        <v>101</v>
      </c>
      <c r="G79" s="4" t="s">
        <v>102</v>
      </c>
      <c r="H79" s="5" t="s">
        <v>16</v>
      </c>
      <c r="I79" s="5">
        <f t="shared" si="1"/>
        <v>402</v>
      </c>
    </row>
    <row r="80" spans="1:9" x14ac:dyDescent="0.15">
      <c r="A80" s="4" t="s">
        <v>335</v>
      </c>
      <c r="B80" s="4" t="s">
        <v>336</v>
      </c>
      <c r="C80" s="4" t="s">
        <v>337</v>
      </c>
      <c r="D80" s="4" t="s">
        <v>305</v>
      </c>
      <c r="E80" s="4" t="s">
        <v>322</v>
      </c>
      <c r="F80" s="4" t="s">
        <v>313</v>
      </c>
      <c r="G80" s="4" t="s">
        <v>314</v>
      </c>
      <c r="H80" s="5" t="s">
        <v>103</v>
      </c>
      <c r="I80" s="5">
        <f t="shared" si="1"/>
        <v>406</v>
      </c>
    </row>
    <row r="81" spans="1:9" x14ac:dyDescent="0.15">
      <c r="A81" s="4" t="s">
        <v>338</v>
      </c>
      <c r="B81" s="4" t="s">
        <v>339</v>
      </c>
      <c r="C81" s="4" t="s">
        <v>340</v>
      </c>
      <c r="D81" s="4" t="s">
        <v>341</v>
      </c>
      <c r="E81" s="4" t="s">
        <v>342</v>
      </c>
      <c r="F81" s="4" t="s">
        <v>343</v>
      </c>
      <c r="G81" s="4" t="s">
        <v>344</v>
      </c>
      <c r="H81" s="5" t="s">
        <v>16</v>
      </c>
      <c r="I81" s="5">
        <f t="shared" si="1"/>
        <v>411</v>
      </c>
    </row>
    <row r="82" spans="1:9" x14ac:dyDescent="0.15">
      <c r="A82" s="4" t="s">
        <v>345</v>
      </c>
      <c r="B82" s="4" t="s">
        <v>346</v>
      </c>
      <c r="C82" s="4" t="s">
        <v>347</v>
      </c>
      <c r="D82" s="4" t="s">
        <v>341</v>
      </c>
      <c r="E82" s="4" t="s">
        <v>348</v>
      </c>
      <c r="F82" s="4" t="s">
        <v>343</v>
      </c>
      <c r="G82" s="4" t="s">
        <v>344</v>
      </c>
      <c r="H82" s="5" t="s">
        <v>16</v>
      </c>
      <c r="I82" s="5">
        <f t="shared" si="1"/>
        <v>416</v>
      </c>
    </row>
    <row r="83" spans="1:9" x14ac:dyDescent="0.15">
      <c r="A83" s="4" t="s">
        <v>349</v>
      </c>
      <c r="B83" s="4" t="s">
        <v>350</v>
      </c>
      <c r="C83" s="4" t="s">
        <v>351</v>
      </c>
      <c r="D83" s="4" t="s">
        <v>341</v>
      </c>
      <c r="E83" s="4" t="s">
        <v>352</v>
      </c>
      <c r="F83" s="4" t="s">
        <v>353</v>
      </c>
      <c r="G83" s="4" t="s">
        <v>354</v>
      </c>
      <c r="H83" s="5" t="s">
        <v>16</v>
      </c>
      <c r="I83" s="5">
        <f t="shared" si="1"/>
        <v>421</v>
      </c>
    </row>
    <row r="84" spans="1:9" x14ac:dyDescent="0.15">
      <c r="A84" s="4" t="s">
        <v>343</v>
      </c>
      <c r="B84" s="4" t="s">
        <v>344</v>
      </c>
      <c r="C84" s="4" t="s">
        <v>355</v>
      </c>
      <c r="D84" s="4" t="s">
        <v>341</v>
      </c>
      <c r="E84" s="4" t="s">
        <v>356</v>
      </c>
      <c r="F84" s="4" t="s">
        <v>353</v>
      </c>
      <c r="G84" s="4" t="s">
        <v>354</v>
      </c>
      <c r="H84" s="5" t="s">
        <v>127</v>
      </c>
      <c r="I84" s="5">
        <f t="shared" si="1"/>
        <v>427</v>
      </c>
    </row>
    <row r="85" spans="1:9" x14ac:dyDescent="0.15">
      <c r="A85" s="4" t="s">
        <v>357</v>
      </c>
      <c r="B85" s="4" t="s">
        <v>358</v>
      </c>
      <c r="C85" s="4" t="s">
        <v>359</v>
      </c>
      <c r="D85" s="4" t="s">
        <v>341</v>
      </c>
      <c r="E85" s="4" t="s">
        <v>360</v>
      </c>
      <c r="F85" s="4" t="s">
        <v>349</v>
      </c>
      <c r="G85" s="4" t="s">
        <v>350</v>
      </c>
      <c r="H85" s="5" t="s">
        <v>127</v>
      </c>
      <c r="I85" s="5">
        <f t="shared" si="1"/>
        <v>433</v>
      </c>
    </row>
    <row r="86" spans="1:9" x14ac:dyDescent="0.15">
      <c r="A86" s="4" t="s">
        <v>361</v>
      </c>
      <c r="B86" s="4" t="s">
        <v>362</v>
      </c>
      <c r="C86" s="4" t="s">
        <v>363</v>
      </c>
      <c r="D86" s="4" t="s">
        <v>341</v>
      </c>
      <c r="E86" s="4" t="s">
        <v>364</v>
      </c>
      <c r="F86" s="4" t="s">
        <v>343</v>
      </c>
      <c r="G86" s="4" t="s">
        <v>344</v>
      </c>
      <c r="H86" s="5" t="s">
        <v>127</v>
      </c>
      <c r="I86" s="5">
        <f t="shared" si="1"/>
        <v>439</v>
      </c>
    </row>
    <row r="87" spans="1:9" x14ac:dyDescent="0.15">
      <c r="A87" s="4" t="s">
        <v>365</v>
      </c>
      <c r="B87" s="4" t="s">
        <v>366</v>
      </c>
      <c r="C87" s="4" t="s">
        <v>367</v>
      </c>
      <c r="D87" s="4" t="s">
        <v>341</v>
      </c>
      <c r="E87" s="4" t="s">
        <v>368</v>
      </c>
      <c r="F87" s="4" t="s">
        <v>349</v>
      </c>
      <c r="G87" s="4" t="s">
        <v>350</v>
      </c>
      <c r="H87" s="5" t="s">
        <v>127</v>
      </c>
      <c r="I87" s="5">
        <f t="shared" si="1"/>
        <v>445</v>
      </c>
    </row>
    <row r="88" spans="1:9" x14ac:dyDescent="0.15">
      <c r="A88" s="4" t="s">
        <v>369</v>
      </c>
      <c r="B88" s="4" t="s">
        <v>370</v>
      </c>
      <c r="C88" s="4" t="s">
        <v>371</v>
      </c>
      <c r="D88" s="4" t="s">
        <v>341</v>
      </c>
      <c r="E88" s="4" t="s">
        <v>372</v>
      </c>
      <c r="F88" s="4" t="s">
        <v>343</v>
      </c>
      <c r="G88" s="4" t="s">
        <v>344</v>
      </c>
      <c r="H88" s="5" t="s">
        <v>127</v>
      </c>
      <c r="I88" s="5">
        <f t="shared" si="1"/>
        <v>451</v>
      </c>
    </row>
    <row r="89" spans="1:9" x14ac:dyDescent="0.15">
      <c r="A89" s="4" t="s">
        <v>353</v>
      </c>
      <c r="B89" s="4" t="s">
        <v>354</v>
      </c>
      <c r="C89" s="4" t="s">
        <v>373</v>
      </c>
      <c r="D89" s="4" t="s">
        <v>341</v>
      </c>
      <c r="E89" s="4" t="s">
        <v>374</v>
      </c>
      <c r="F89" s="4" t="s">
        <v>101</v>
      </c>
      <c r="G89" s="4" t="s">
        <v>102</v>
      </c>
      <c r="H89" s="5" t="s">
        <v>16</v>
      </c>
      <c r="I89" s="5">
        <f t="shared" si="1"/>
        <v>456</v>
      </c>
    </row>
    <row r="90" spans="1:9" x14ac:dyDescent="0.15">
      <c r="A90" s="4" t="s">
        <v>375</v>
      </c>
      <c r="B90" s="4" t="s">
        <v>376</v>
      </c>
      <c r="C90" s="4" t="s">
        <v>377</v>
      </c>
      <c r="D90" s="4" t="s">
        <v>378</v>
      </c>
      <c r="E90" s="4" t="s">
        <v>379</v>
      </c>
      <c r="F90" s="4" t="s">
        <v>380</v>
      </c>
      <c r="G90" s="4" t="s">
        <v>381</v>
      </c>
      <c r="H90" s="5" t="s">
        <v>16</v>
      </c>
      <c r="I90" s="5">
        <f t="shared" si="1"/>
        <v>461</v>
      </c>
    </row>
    <row r="91" spans="1:9" x14ac:dyDescent="0.15">
      <c r="A91" s="4" t="s">
        <v>382</v>
      </c>
      <c r="B91" s="4" t="s">
        <v>383</v>
      </c>
      <c r="C91" s="4" t="s">
        <v>384</v>
      </c>
      <c r="D91" s="4" t="s">
        <v>378</v>
      </c>
      <c r="E91" s="4" t="s">
        <v>385</v>
      </c>
      <c r="F91" s="4" t="s">
        <v>386</v>
      </c>
      <c r="G91" s="4" t="s">
        <v>387</v>
      </c>
      <c r="H91" s="5" t="s">
        <v>16</v>
      </c>
      <c r="I91" s="5">
        <f t="shared" si="1"/>
        <v>466</v>
      </c>
    </row>
    <row r="92" spans="1:9" x14ac:dyDescent="0.15">
      <c r="A92" s="4" t="s">
        <v>388</v>
      </c>
      <c r="B92" s="4" t="s">
        <v>389</v>
      </c>
      <c r="C92" s="4" t="s">
        <v>390</v>
      </c>
      <c r="D92" s="4" t="s">
        <v>378</v>
      </c>
      <c r="E92" s="4" t="s">
        <v>391</v>
      </c>
      <c r="F92" s="4" t="s">
        <v>380</v>
      </c>
      <c r="G92" s="4" t="s">
        <v>381</v>
      </c>
      <c r="H92" s="5" t="s">
        <v>157</v>
      </c>
      <c r="I92" s="5">
        <f t="shared" si="1"/>
        <v>473</v>
      </c>
    </row>
    <row r="93" spans="1:9" x14ac:dyDescent="0.15">
      <c r="A93" s="4" t="s">
        <v>392</v>
      </c>
      <c r="B93" s="4" t="s">
        <v>393</v>
      </c>
      <c r="C93" s="4" t="s">
        <v>394</v>
      </c>
      <c r="D93" s="4" t="s">
        <v>378</v>
      </c>
      <c r="E93" s="4" t="s">
        <v>395</v>
      </c>
      <c r="F93" s="4" t="s">
        <v>380</v>
      </c>
      <c r="G93" s="4" t="s">
        <v>381</v>
      </c>
      <c r="H93" s="5" t="s">
        <v>172</v>
      </c>
      <c r="I93" s="5">
        <f t="shared" si="1"/>
        <v>481</v>
      </c>
    </row>
    <row r="94" spans="1:9" x14ac:dyDescent="0.15">
      <c r="A94" s="4" t="s">
        <v>396</v>
      </c>
      <c r="B94" s="4" t="s">
        <v>397</v>
      </c>
      <c r="C94" s="4" t="s">
        <v>398</v>
      </c>
      <c r="D94" s="4" t="s">
        <v>378</v>
      </c>
      <c r="E94" s="4" t="s">
        <v>395</v>
      </c>
      <c r="F94" s="4" t="s">
        <v>380</v>
      </c>
      <c r="G94" s="4" t="s">
        <v>381</v>
      </c>
      <c r="H94" s="5" t="s">
        <v>172</v>
      </c>
      <c r="I94" s="5">
        <f t="shared" si="1"/>
        <v>489</v>
      </c>
    </row>
    <row r="95" spans="1:9" x14ac:dyDescent="0.15">
      <c r="A95" s="4" t="s">
        <v>399</v>
      </c>
      <c r="B95" s="4" t="s">
        <v>400</v>
      </c>
      <c r="C95" s="4" t="s">
        <v>401</v>
      </c>
      <c r="D95" s="4" t="s">
        <v>378</v>
      </c>
      <c r="E95" s="4" t="s">
        <v>402</v>
      </c>
      <c r="F95" s="4" t="s">
        <v>403</v>
      </c>
      <c r="G95" s="4" t="s">
        <v>404</v>
      </c>
      <c r="H95" s="5" t="s">
        <v>127</v>
      </c>
      <c r="I95" s="5">
        <f t="shared" si="1"/>
        <v>495</v>
      </c>
    </row>
    <row r="96" spans="1:9" x14ac:dyDescent="0.15">
      <c r="A96" s="4" t="s">
        <v>380</v>
      </c>
      <c r="B96" s="4" t="s">
        <v>381</v>
      </c>
      <c r="C96" s="4" t="s">
        <v>405</v>
      </c>
      <c r="D96" s="4" t="s">
        <v>378</v>
      </c>
      <c r="E96" s="4" t="s">
        <v>406</v>
      </c>
      <c r="F96" s="4" t="s">
        <v>130</v>
      </c>
      <c r="G96" s="4" t="s">
        <v>131</v>
      </c>
      <c r="H96" s="5" t="s">
        <v>157</v>
      </c>
      <c r="I96" s="5">
        <f t="shared" si="1"/>
        <v>502</v>
      </c>
    </row>
    <row r="97" spans="1:9" x14ac:dyDescent="0.15">
      <c r="A97" s="4" t="s">
        <v>407</v>
      </c>
      <c r="B97" s="4" t="s">
        <v>408</v>
      </c>
      <c r="C97" s="4" t="s">
        <v>409</v>
      </c>
      <c r="D97" s="4" t="s">
        <v>378</v>
      </c>
      <c r="E97" s="4" t="s">
        <v>410</v>
      </c>
      <c r="F97" s="4" t="s">
        <v>403</v>
      </c>
      <c r="G97" s="4" t="s">
        <v>404</v>
      </c>
      <c r="H97" s="5" t="s">
        <v>16</v>
      </c>
      <c r="I97" s="5">
        <f t="shared" si="1"/>
        <v>507</v>
      </c>
    </row>
    <row r="98" spans="1:9" x14ac:dyDescent="0.15">
      <c r="A98" s="4" t="s">
        <v>411</v>
      </c>
      <c r="B98" s="4" t="s">
        <v>412</v>
      </c>
      <c r="C98" s="4" t="s">
        <v>413</v>
      </c>
      <c r="D98" s="4" t="s">
        <v>378</v>
      </c>
      <c r="E98" s="4" t="s">
        <v>414</v>
      </c>
      <c r="F98" s="4" t="s">
        <v>380</v>
      </c>
      <c r="G98" s="4" t="s">
        <v>381</v>
      </c>
      <c r="H98" s="5" t="s">
        <v>157</v>
      </c>
      <c r="I98" s="5">
        <f t="shared" si="1"/>
        <v>514</v>
      </c>
    </row>
    <row r="99" spans="1:9" x14ac:dyDescent="0.15">
      <c r="A99" s="4" t="s">
        <v>415</v>
      </c>
      <c r="B99" s="4" t="s">
        <v>416</v>
      </c>
      <c r="C99" s="4" t="s">
        <v>417</v>
      </c>
      <c r="D99" s="4" t="s">
        <v>378</v>
      </c>
      <c r="E99" s="4" t="s">
        <v>418</v>
      </c>
      <c r="F99" s="4" t="s">
        <v>380</v>
      </c>
      <c r="G99" s="4" t="s">
        <v>381</v>
      </c>
      <c r="H99" s="5" t="s">
        <v>157</v>
      </c>
      <c r="I99" s="5">
        <f t="shared" si="1"/>
        <v>521</v>
      </c>
    </row>
    <row r="100" spans="1:9" x14ac:dyDescent="0.15">
      <c r="A100" s="4" t="s">
        <v>419</v>
      </c>
      <c r="B100" s="4" t="s">
        <v>420</v>
      </c>
      <c r="C100" s="4" t="s">
        <v>421</v>
      </c>
      <c r="D100" s="4" t="s">
        <v>378</v>
      </c>
      <c r="E100" s="4" t="s">
        <v>422</v>
      </c>
      <c r="F100" s="4" t="s">
        <v>380</v>
      </c>
      <c r="G100" s="4" t="s">
        <v>381</v>
      </c>
      <c r="H100" s="5" t="s">
        <v>157</v>
      </c>
      <c r="I100" s="5">
        <f t="shared" si="1"/>
        <v>528</v>
      </c>
    </row>
    <row r="101" spans="1:9" x14ac:dyDescent="0.15">
      <c r="A101" s="4" t="s">
        <v>403</v>
      </c>
      <c r="B101" s="4" t="s">
        <v>404</v>
      </c>
      <c r="C101" s="4" t="s">
        <v>423</v>
      </c>
      <c r="D101" s="4" t="s">
        <v>378</v>
      </c>
      <c r="E101" s="4" t="s">
        <v>424</v>
      </c>
      <c r="F101" s="4" t="s">
        <v>380</v>
      </c>
      <c r="G101" s="4" t="s">
        <v>381</v>
      </c>
      <c r="H101" s="5" t="s">
        <v>127</v>
      </c>
      <c r="I101" s="5">
        <f t="shared" si="1"/>
        <v>534</v>
      </c>
    </row>
    <row r="102" spans="1:9" x14ac:dyDescent="0.15">
      <c r="A102" s="4" t="s">
        <v>425</v>
      </c>
      <c r="B102" s="4" t="s">
        <v>426</v>
      </c>
      <c r="C102" s="4" t="s">
        <v>427</v>
      </c>
      <c r="D102" s="4" t="s">
        <v>378</v>
      </c>
      <c r="E102" s="4" t="s">
        <v>428</v>
      </c>
      <c r="F102" s="4" t="s">
        <v>380</v>
      </c>
      <c r="G102" s="4" t="s">
        <v>381</v>
      </c>
      <c r="H102" s="5" t="s">
        <v>168</v>
      </c>
      <c r="I102" s="5">
        <f t="shared" si="1"/>
        <v>543</v>
      </c>
    </row>
    <row r="103" spans="1:9" x14ac:dyDescent="0.15">
      <c r="A103" s="4" t="s">
        <v>386</v>
      </c>
      <c r="B103" s="4" t="s">
        <v>387</v>
      </c>
      <c r="C103" s="4" t="s">
        <v>429</v>
      </c>
      <c r="D103" s="4" t="s">
        <v>378</v>
      </c>
      <c r="E103" s="4" t="s">
        <v>430</v>
      </c>
      <c r="F103" s="4" t="s">
        <v>380</v>
      </c>
      <c r="G103" s="4" t="s">
        <v>381</v>
      </c>
      <c r="H103" s="5" t="s">
        <v>127</v>
      </c>
      <c r="I103" s="5">
        <f t="shared" si="1"/>
        <v>549</v>
      </c>
    </row>
    <row r="104" spans="1:9" x14ac:dyDescent="0.15">
      <c r="A104" s="4" t="s">
        <v>431</v>
      </c>
      <c r="B104" s="4" t="s">
        <v>432</v>
      </c>
      <c r="C104" s="4" t="s">
        <v>433</v>
      </c>
      <c r="D104" s="4" t="s">
        <v>378</v>
      </c>
      <c r="E104" s="4" t="s">
        <v>434</v>
      </c>
      <c r="F104" s="4" t="s">
        <v>380</v>
      </c>
      <c r="G104" s="4" t="s">
        <v>381</v>
      </c>
      <c r="H104" s="5" t="s">
        <v>16</v>
      </c>
      <c r="I104" s="5">
        <f t="shared" si="1"/>
        <v>554</v>
      </c>
    </row>
    <row r="105" spans="1:9" x14ac:dyDescent="0.15">
      <c r="A105" s="4" t="s">
        <v>435</v>
      </c>
      <c r="B105" s="4" t="s">
        <v>436</v>
      </c>
      <c r="C105" s="4" t="s">
        <v>437</v>
      </c>
      <c r="D105" s="4" t="s">
        <v>378</v>
      </c>
      <c r="E105" s="4" t="s">
        <v>438</v>
      </c>
      <c r="F105" s="4" t="s">
        <v>380</v>
      </c>
      <c r="G105" s="4" t="s">
        <v>381</v>
      </c>
      <c r="H105" s="5" t="s">
        <v>172</v>
      </c>
      <c r="I105" s="5">
        <f t="shared" si="1"/>
        <v>562</v>
      </c>
    </row>
    <row r="106" spans="1:9" x14ac:dyDescent="0.15">
      <c r="A106" s="4" t="s">
        <v>439</v>
      </c>
      <c r="B106" s="4" t="s">
        <v>440</v>
      </c>
      <c r="C106" s="4" t="s">
        <v>441</v>
      </c>
      <c r="D106" s="4" t="s">
        <v>378</v>
      </c>
      <c r="E106" s="4" t="s">
        <v>442</v>
      </c>
      <c r="F106" s="4" t="s">
        <v>403</v>
      </c>
      <c r="G106" s="4" t="s">
        <v>404</v>
      </c>
      <c r="H106" s="5" t="s">
        <v>127</v>
      </c>
      <c r="I106" s="5">
        <f t="shared" si="1"/>
        <v>568</v>
      </c>
    </row>
    <row r="107" spans="1:9" x14ac:dyDescent="0.15">
      <c r="A107" s="4" t="s">
        <v>443</v>
      </c>
      <c r="B107" s="4" t="s">
        <v>444</v>
      </c>
      <c r="C107" s="4" t="s">
        <v>445</v>
      </c>
      <c r="D107" s="4" t="s">
        <v>378</v>
      </c>
      <c r="E107" s="4" t="s">
        <v>446</v>
      </c>
      <c r="F107" s="4" t="s">
        <v>386</v>
      </c>
      <c r="G107" s="4" t="s">
        <v>387</v>
      </c>
      <c r="H107" s="5" t="s">
        <v>153</v>
      </c>
      <c r="I107" s="5">
        <f t="shared" si="1"/>
        <v>568</v>
      </c>
    </row>
    <row r="108" spans="1:9" x14ac:dyDescent="0.15">
      <c r="A108" s="4" t="s">
        <v>447</v>
      </c>
      <c r="B108" s="4" t="s">
        <v>448</v>
      </c>
      <c r="C108" s="4" t="s">
        <v>449</v>
      </c>
      <c r="D108" s="4" t="s">
        <v>450</v>
      </c>
      <c r="E108" s="4" t="s">
        <v>451</v>
      </c>
      <c r="F108" s="4" t="s">
        <v>119</v>
      </c>
      <c r="G108" s="4" t="s">
        <v>120</v>
      </c>
      <c r="H108" s="5" t="s">
        <v>127</v>
      </c>
      <c r="I108" s="5">
        <f t="shared" si="1"/>
        <v>574</v>
      </c>
    </row>
    <row r="109" spans="1:9" x14ac:dyDescent="0.15">
      <c r="A109" s="4" t="s">
        <v>452</v>
      </c>
      <c r="B109" s="4" t="s">
        <v>453</v>
      </c>
      <c r="C109" s="4" t="s">
        <v>454</v>
      </c>
      <c r="D109" s="4" t="s">
        <v>450</v>
      </c>
      <c r="E109" s="4" t="s">
        <v>455</v>
      </c>
      <c r="F109" s="4" t="s">
        <v>456</v>
      </c>
      <c r="G109" s="4" t="s">
        <v>457</v>
      </c>
      <c r="H109" s="5" t="s">
        <v>16</v>
      </c>
      <c r="I109" s="5">
        <f t="shared" si="1"/>
        <v>579</v>
      </c>
    </row>
    <row r="110" spans="1:9" x14ac:dyDescent="0.15">
      <c r="A110" s="4" t="s">
        <v>458</v>
      </c>
      <c r="B110" s="4" t="s">
        <v>459</v>
      </c>
      <c r="C110" s="4" t="s">
        <v>460</v>
      </c>
      <c r="D110" s="4" t="s">
        <v>450</v>
      </c>
      <c r="E110" s="4" t="s">
        <v>461</v>
      </c>
      <c r="F110" s="4" t="s">
        <v>462</v>
      </c>
      <c r="G110" s="4" t="s">
        <v>463</v>
      </c>
      <c r="H110" s="5" t="s">
        <v>127</v>
      </c>
      <c r="I110" s="5">
        <f t="shared" si="1"/>
        <v>585</v>
      </c>
    </row>
    <row r="111" spans="1:9" x14ac:dyDescent="0.15">
      <c r="A111" s="4" t="s">
        <v>464</v>
      </c>
      <c r="B111" s="4" t="s">
        <v>465</v>
      </c>
      <c r="C111" s="4" t="s">
        <v>466</v>
      </c>
      <c r="D111" s="4" t="s">
        <v>450</v>
      </c>
      <c r="E111" s="4" t="s">
        <v>455</v>
      </c>
      <c r="F111" s="4" t="s">
        <v>456</v>
      </c>
      <c r="G111" s="4" t="s">
        <v>457</v>
      </c>
      <c r="H111" s="5" t="s">
        <v>16</v>
      </c>
      <c r="I111" s="5">
        <f t="shared" si="1"/>
        <v>590</v>
      </c>
    </row>
    <row r="112" spans="1:9" x14ac:dyDescent="0.15">
      <c r="A112" s="4" t="s">
        <v>467</v>
      </c>
      <c r="B112" s="4" t="s">
        <v>468</v>
      </c>
      <c r="C112" s="4" t="s">
        <v>469</v>
      </c>
      <c r="D112" s="4" t="s">
        <v>450</v>
      </c>
      <c r="E112" s="4" t="s">
        <v>470</v>
      </c>
      <c r="F112" s="4" t="s">
        <v>456</v>
      </c>
      <c r="G112" s="4" t="s">
        <v>457</v>
      </c>
      <c r="H112" s="5" t="s">
        <v>16</v>
      </c>
      <c r="I112" s="5">
        <f t="shared" si="1"/>
        <v>595</v>
      </c>
    </row>
    <row r="113" spans="1:9" x14ac:dyDescent="0.15">
      <c r="A113" s="4" t="s">
        <v>471</v>
      </c>
      <c r="B113" s="4" t="s">
        <v>472</v>
      </c>
      <c r="C113" s="4" t="s">
        <v>473</v>
      </c>
      <c r="D113" s="4" t="s">
        <v>450</v>
      </c>
      <c r="E113" s="4" t="s">
        <v>474</v>
      </c>
      <c r="F113" s="4" t="s">
        <v>462</v>
      </c>
      <c r="G113" s="4" t="s">
        <v>463</v>
      </c>
      <c r="H113" s="5" t="s">
        <v>127</v>
      </c>
      <c r="I113" s="5">
        <f t="shared" si="1"/>
        <v>601</v>
      </c>
    </row>
    <row r="114" spans="1:9" x14ac:dyDescent="0.15">
      <c r="A114" s="4" t="s">
        <v>475</v>
      </c>
      <c r="B114" s="4" t="s">
        <v>476</v>
      </c>
      <c r="C114" s="4" t="s">
        <v>477</v>
      </c>
      <c r="D114" s="4" t="s">
        <v>450</v>
      </c>
      <c r="E114" s="4" t="s">
        <v>478</v>
      </c>
      <c r="F114" s="4" t="s">
        <v>456</v>
      </c>
      <c r="G114" s="4" t="s">
        <v>457</v>
      </c>
      <c r="H114" s="5" t="s">
        <v>16</v>
      </c>
      <c r="I114" s="5">
        <f t="shared" si="1"/>
        <v>606</v>
      </c>
    </row>
    <row r="115" spans="1:9" x14ac:dyDescent="0.15">
      <c r="A115" s="4" t="s">
        <v>456</v>
      </c>
      <c r="B115" s="4" t="s">
        <v>457</v>
      </c>
      <c r="C115" s="4" t="s">
        <v>479</v>
      </c>
      <c r="D115" s="4" t="s">
        <v>450</v>
      </c>
      <c r="E115" s="4" t="s">
        <v>480</v>
      </c>
      <c r="F115" s="4" t="s">
        <v>447</v>
      </c>
      <c r="G115" s="4" t="s">
        <v>448</v>
      </c>
      <c r="H115" s="5" t="s">
        <v>127</v>
      </c>
      <c r="I115" s="5">
        <f t="shared" si="1"/>
        <v>612</v>
      </c>
    </row>
    <row r="116" spans="1:9" x14ac:dyDescent="0.15">
      <c r="A116" s="4" t="s">
        <v>481</v>
      </c>
      <c r="B116" s="4" t="s">
        <v>482</v>
      </c>
      <c r="C116" s="4" t="s">
        <v>483</v>
      </c>
      <c r="D116" s="4" t="s">
        <v>450</v>
      </c>
      <c r="E116" s="4" t="s">
        <v>484</v>
      </c>
      <c r="F116" s="4" t="s">
        <v>456</v>
      </c>
      <c r="G116" s="4" t="s">
        <v>457</v>
      </c>
      <c r="H116" s="5" t="s">
        <v>153</v>
      </c>
      <c r="I116" s="5">
        <f t="shared" si="1"/>
        <v>612</v>
      </c>
    </row>
    <row r="117" spans="1:9" x14ac:dyDescent="0.15">
      <c r="A117" s="4" t="s">
        <v>462</v>
      </c>
      <c r="B117" s="4" t="s">
        <v>463</v>
      </c>
      <c r="C117" s="4" t="s">
        <v>485</v>
      </c>
      <c r="D117" s="4" t="s">
        <v>450</v>
      </c>
      <c r="E117" s="4" t="s">
        <v>486</v>
      </c>
      <c r="F117" s="4" t="s">
        <v>447</v>
      </c>
      <c r="G117" s="4" t="s">
        <v>448</v>
      </c>
      <c r="H117" s="5" t="s">
        <v>157</v>
      </c>
      <c r="I117" s="5">
        <f t="shared" si="1"/>
        <v>619</v>
      </c>
    </row>
    <row r="118" spans="1:9" x14ac:dyDescent="0.15">
      <c r="A118" s="4" t="s">
        <v>487</v>
      </c>
      <c r="B118" s="4" t="s">
        <v>488</v>
      </c>
      <c r="C118" s="4" t="s">
        <v>489</v>
      </c>
      <c r="D118" s="4" t="s">
        <v>490</v>
      </c>
      <c r="E118" s="4" t="s">
        <v>491</v>
      </c>
      <c r="F118" s="4" t="s">
        <v>492</v>
      </c>
      <c r="G118" s="4" t="s">
        <v>493</v>
      </c>
      <c r="H118" s="5" t="s">
        <v>127</v>
      </c>
      <c r="I118" s="5">
        <f t="shared" si="1"/>
        <v>625</v>
      </c>
    </row>
    <row r="119" spans="1:9" x14ac:dyDescent="0.15">
      <c r="A119" s="4" t="s">
        <v>494</v>
      </c>
      <c r="B119" s="4" t="s">
        <v>495</v>
      </c>
      <c r="C119" s="4" t="s">
        <v>496</v>
      </c>
      <c r="D119" s="4" t="s">
        <v>490</v>
      </c>
      <c r="E119" s="4" t="s">
        <v>497</v>
      </c>
      <c r="F119" s="4" t="s">
        <v>492</v>
      </c>
      <c r="G119" s="4" t="s">
        <v>493</v>
      </c>
      <c r="H119" s="5" t="s">
        <v>127</v>
      </c>
      <c r="I119" s="5">
        <f t="shared" si="1"/>
        <v>631</v>
      </c>
    </row>
    <row r="120" spans="1:9" x14ac:dyDescent="0.15">
      <c r="A120" s="4" t="s">
        <v>498</v>
      </c>
      <c r="B120" s="4" t="s">
        <v>499</v>
      </c>
      <c r="C120" s="4" t="s">
        <v>500</v>
      </c>
      <c r="D120" s="4" t="s">
        <v>490</v>
      </c>
      <c r="E120" s="4" t="s">
        <v>501</v>
      </c>
      <c r="F120" s="4" t="s">
        <v>492</v>
      </c>
      <c r="G120" s="4" t="s">
        <v>493</v>
      </c>
      <c r="H120" s="5" t="s">
        <v>127</v>
      </c>
      <c r="I120" s="5">
        <f t="shared" si="1"/>
        <v>637</v>
      </c>
    </row>
    <row r="121" spans="1:9" x14ac:dyDescent="0.15">
      <c r="A121" s="4" t="s">
        <v>502</v>
      </c>
      <c r="B121" s="4" t="s">
        <v>503</v>
      </c>
      <c r="C121" s="4" t="s">
        <v>504</v>
      </c>
      <c r="D121" s="4" t="s">
        <v>490</v>
      </c>
      <c r="E121" s="4" t="s">
        <v>505</v>
      </c>
      <c r="F121" s="4" t="s">
        <v>264</v>
      </c>
      <c r="G121" s="4" t="s">
        <v>265</v>
      </c>
      <c r="H121" s="5" t="s">
        <v>16</v>
      </c>
      <c r="I121" s="5">
        <f t="shared" si="1"/>
        <v>642</v>
      </c>
    </row>
    <row r="122" spans="1:9" x14ac:dyDescent="0.15">
      <c r="A122" s="4" t="s">
        <v>506</v>
      </c>
      <c r="B122" s="4" t="s">
        <v>507</v>
      </c>
      <c r="C122" s="4" t="s">
        <v>508</v>
      </c>
      <c r="D122" s="4" t="s">
        <v>490</v>
      </c>
      <c r="E122" s="4" t="s">
        <v>509</v>
      </c>
      <c r="F122" s="4" t="s">
        <v>510</v>
      </c>
      <c r="G122" s="4" t="s">
        <v>511</v>
      </c>
      <c r="H122" s="5" t="s">
        <v>127</v>
      </c>
      <c r="I122" s="5">
        <f t="shared" si="1"/>
        <v>648</v>
      </c>
    </row>
    <row r="123" spans="1:9" x14ac:dyDescent="0.15">
      <c r="A123" s="4" t="s">
        <v>510</v>
      </c>
      <c r="B123" s="4" t="s">
        <v>511</v>
      </c>
      <c r="C123" s="4" t="s">
        <v>512</v>
      </c>
      <c r="D123" s="4" t="s">
        <v>490</v>
      </c>
      <c r="E123" s="4" t="s">
        <v>513</v>
      </c>
      <c r="F123" s="4" t="s">
        <v>502</v>
      </c>
      <c r="G123" s="4" t="s">
        <v>503</v>
      </c>
      <c r="H123" s="5" t="s">
        <v>127</v>
      </c>
      <c r="I123" s="5">
        <f t="shared" si="1"/>
        <v>654</v>
      </c>
    </row>
    <row r="124" spans="1:9" x14ac:dyDescent="0.15">
      <c r="A124" s="4" t="s">
        <v>514</v>
      </c>
      <c r="B124" s="4" t="s">
        <v>515</v>
      </c>
      <c r="C124" s="4" t="s">
        <v>516</v>
      </c>
      <c r="D124" s="4" t="s">
        <v>490</v>
      </c>
      <c r="E124" s="4" t="s">
        <v>517</v>
      </c>
      <c r="F124" s="4" t="s">
        <v>510</v>
      </c>
      <c r="G124" s="4" t="s">
        <v>511</v>
      </c>
      <c r="H124" s="5" t="s">
        <v>127</v>
      </c>
      <c r="I124" s="5">
        <f t="shared" si="1"/>
        <v>660</v>
      </c>
    </row>
    <row r="125" spans="1:9" x14ac:dyDescent="0.15">
      <c r="A125" s="4" t="s">
        <v>518</v>
      </c>
      <c r="B125" s="4" t="s">
        <v>519</v>
      </c>
      <c r="C125" s="4" t="s">
        <v>520</v>
      </c>
      <c r="D125" s="4" t="s">
        <v>490</v>
      </c>
      <c r="E125" s="4" t="s">
        <v>521</v>
      </c>
      <c r="F125" s="4" t="s">
        <v>492</v>
      </c>
      <c r="G125" s="4" t="s">
        <v>493</v>
      </c>
      <c r="H125" s="5" t="s">
        <v>127</v>
      </c>
      <c r="I125" s="5">
        <f t="shared" si="1"/>
        <v>666</v>
      </c>
    </row>
    <row r="126" spans="1:9" x14ac:dyDescent="0.15">
      <c r="A126" s="4" t="s">
        <v>522</v>
      </c>
      <c r="B126" s="4" t="s">
        <v>523</v>
      </c>
      <c r="C126" s="4" t="s">
        <v>524</v>
      </c>
      <c r="D126" s="4" t="s">
        <v>490</v>
      </c>
      <c r="E126" s="4" t="s">
        <v>525</v>
      </c>
      <c r="F126" s="4" t="s">
        <v>510</v>
      </c>
      <c r="G126" s="4" t="s">
        <v>511</v>
      </c>
      <c r="H126" s="5" t="s">
        <v>16</v>
      </c>
      <c r="I126" s="5">
        <f t="shared" si="1"/>
        <v>671</v>
      </c>
    </row>
    <row r="127" spans="1:9" x14ac:dyDescent="0.15">
      <c r="A127" s="4" t="s">
        <v>492</v>
      </c>
      <c r="B127" s="4" t="s">
        <v>493</v>
      </c>
      <c r="C127" s="4" t="s">
        <v>526</v>
      </c>
      <c r="D127" s="4" t="s">
        <v>490</v>
      </c>
      <c r="E127" s="4" t="s">
        <v>527</v>
      </c>
      <c r="F127" s="4" t="s">
        <v>502</v>
      </c>
      <c r="G127" s="4" t="s">
        <v>503</v>
      </c>
      <c r="H127" s="5" t="s">
        <v>127</v>
      </c>
      <c r="I127" s="5">
        <f t="shared" si="1"/>
        <v>677</v>
      </c>
    </row>
    <row r="128" spans="1:9" x14ac:dyDescent="0.15">
      <c r="A128" s="4" t="s">
        <v>528</v>
      </c>
      <c r="B128" s="4" t="s">
        <v>529</v>
      </c>
      <c r="C128" s="4" t="s">
        <v>530</v>
      </c>
      <c r="D128" s="4" t="s">
        <v>490</v>
      </c>
      <c r="E128" s="4" t="s">
        <v>525</v>
      </c>
      <c r="F128" s="4" t="s">
        <v>510</v>
      </c>
      <c r="G128" s="4" t="s">
        <v>511</v>
      </c>
      <c r="H128" s="5" t="s">
        <v>16</v>
      </c>
      <c r="I128" s="5">
        <f t="shared" si="1"/>
        <v>682</v>
      </c>
    </row>
    <row r="129" spans="1:9" x14ac:dyDescent="0.15">
      <c r="A129" s="4" t="s">
        <v>531</v>
      </c>
      <c r="B129" s="4" t="s">
        <v>532</v>
      </c>
      <c r="C129" s="4" t="s">
        <v>533</v>
      </c>
      <c r="D129" s="4" t="s">
        <v>534</v>
      </c>
      <c r="E129" s="4" t="s">
        <v>535</v>
      </c>
      <c r="F129" s="4" t="s">
        <v>536</v>
      </c>
      <c r="G129" s="4" t="s">
        <v>537</v>
      </c>
      <c r="H129" s="5" t="s">
        <v>16</v>
      </c>
      <c r="I129" s="5">
        <f t="shared" si="1"/>
        <v>687</v>
      </c>
    </row>
    <row r="130" spans="1:9" x14ac:dyDescent="0.15">
      <c r="A130" s="4" t="s">
        <v>538</v>
      </c>
      <c r="B130" s="4" t="s">
        <v>539</v>
      </c>
      <c r="C130" s="4" t="s">
        <v>540</v>
      </c>
      <c r="D130" s="4" t="s">
        <v>534</v>
      </c>
      <c r="E130" s="4" t="s">
        <v>535</v>
      </c>
      <c r="F130" s="4" t="s">
        <v>536</v>
      </c>
      <c r="G130" s="4" t="s">
        <v>537</v>
      </c>
      <c r="H130" s="5" t="s">
        <v>16</v>
      </c>
      <c r="I130" s="5">
        <f t="shared" si="1"/>
        <v>692</v>
      </c>
    </row>
    <row r="131" spans="1:9" x14ac:dyDescent="0.15">
      <c r="A131" s="4" t="s">
        <v>541</v>
      </c>
      <c r="B131" s="4" t="s">
        <v>542</v>
      </c>
      <c r="C131" s="4" t="s">
        <v>543</v>
      </c>
      <c r="D131" s="4" t="s">
        <v>534</v>
      </c>
      <c r="E131" s="4" t="s">
        <v>544</v>
      </c>
      <c r="F131" s="4" t="s">
        <v>536</v>
      </c>
      <c r="G131" s="4" t="s">
        <v>537</v>
      </c>
      <c r="H131" s="5" t="s">
        <v>16</v>
      </c>
      <c r="I131" s="5">
        <f t="shared" ref="I131:I194" si="2">+I130+H131</f>
        <v>697</v>
      </c>
    </row>
    <row r="132" spans="1:9" x14ac:dyDescent="0.15">
      <c r="A132" s="4" t="s">
        <v>545</v>
      </c>
      <c r="B132" s="4" t="s">
        <v>546</v>
      </c>
      <c r="C132" s="4" t="s">
        <v>547</v>
      </c>
      <c r="D132" s="4" t="s">
        <v>534</v>
      </c>
      <c r="E132" s="4" t="s">
        <v>535</v>
      </c>
      <c r="F132" s="4" t="s">
        <v>536</v>
      </c>
      <c r="G132" s="4" t="s">
        <v>537</v>
      </c>
      <c r="H132" s="5" t="s">
        <v>16</v>
      </c>
      <c r="I132" s="5">
        <f t="shared" si="2"/>
        <v>702</v>
      </c>
    </row>
    <row r="133" spans="1:9" x14ac:dyDescent="0.15">
      <c r="A133" s="4" t="s">
        <v>536</v>
      </c>
      <c r="B133" s="4" t="s">
        <v>537</v>
      </c>
      <c r="C133" s="4" t="s">
        <v>548</v>
      </c>
      <c r="D133" s="4" t="s">
        <v>534</v>
      </c>
      <c r="E133" s="4" t="s">
        <v>549</v>
      </c>
      <c r="F133" s="4" t="s">
        <v>186</v>
      </c>
      <c r="G133" s="4" t="s">
        <v>187</v>
      </c>
      <c r="H133" s="5" t="s">
        <v>127</v>
      </c>
      <c r="I133" s="5">
        <f t="shared" si="2"/>
        <v>708</v>
      </c>
    </row>
    <row r="134" spans="1:9" x14ac:dyDescent="0.15">
      <c r="A134" s="4" t="s">
        <v>550</v>
      </c>
      <c r="B134" s="4" t="s">
        <v>551</v>
      </c>
      <c r="C134" s="4" t="s">
        <v>552</v>
      </c>
      <c r="D134" s="4" t="s">
        <v>553</v>
      </c>
      <c r="E134" s="4" t="s">
        <v>554</v>
      </c>
      <c r="F134" s="4" t="s">
        <v>555</v>
      </c>
      <c r="G134" s="4" t="s">
        <v>556</v>
      </c>
      <c r="H134" s="5" t="s">
        <v>157</v>
      </c>
      <c r="I134" s="5">
        <f t="shared" si="2"/>
        <v>715</v>
      </c>
    </row>
    <row r="135" spans="1:9" x14ac:dyDescent="0.15">
      <c r="A135" s="4" t="s">
        <v>557</v>
      </c>
      <c r="B135" s="4" t="s">
        <v>558</v>
      </c>
      <c r="C135" s="4" t="s">
        <v>559</v>
      </c>
      <c r="D135" s="4" t="s">
        <v>553</v>
      </c>
      <c r="E135" s="4" t="s">
        <v>560</v>
      </c>
      <c r="F135" s="4" t="s">
        <v>555</v>
      </c>
      <c r="G135" s="4" t="s">
        <v>556</v>
      </c>
      <c r="H135" s="5" t="s">
        <v>157</v>
      </c>
      <c r="I135" s="5">
        <f t="shared" si="2"/>
        <v>722</v>
      </c>
    </row>
    <row r="136" spans="1:9" x14ac:dyDescent="0.15">
      <c r="A136" s="4" t="s">
        <v>555</v>
      </c>
      <c r="B136" s="4" t="s">
        <v>556</v>
      </c>
      <c r="C136" s="4" t="s">
        <v>561</v>
      </c>
      <c r="D136" s="4" t="s">
        <v>553</v>
      </c>
      <c r="E136" s="4" t="s">
        <v>562</v>
      </c>
      <c r="F136" s="4" t="s">
        <v>130</v>
      </c>
      <c r="G136" s="4" t="s">
        <v>131</v>
      </c>
      <c r="H136" s="5" t="s">
        <v>157</v>
      </c>
      <c r="I136" s="5">
        <f t="shared" si="2"/>
        <v>729</v>
      </c>
    </row>
    <row r="137" spans="1:9" x14ac:dyDescent="0.15">
      <c r="A137" s="4" t="s">
        <v>563</v>
      </c>
      <c r="B137" s="4" t="s">
        <v>564</v>
      </c>
      <c r="C137" s="4" t="s">
        <v>565</v>
      </c>
      <c r="D137" s="4" t="s">
        <v>553</v>
      </c>
      <c r="E137" s="4" t="s">
        <v>566</v>
      </c>
      <c r="F137" s="4" t="s">
        <v>555</v>
      </c>
      <c r="G137" s="4" t="s">
        <v>556</v>
      </c>
      <c r="H137" s="5" t="s">
        <v>157</v>
      </c>
      <c r="I137" s="5">
        <f t="shared" si="2"/>
        <v>736</v>
      </c>
    </row>
    <row r="138" spans="1:9" x14ac:dyDescent="0.15">
      <c r="A138" s="4" t="s">
        <v>567</v>
      </c>
      <c r="B138" s="4" t="s">
        <v>568</v>
      </c>
      <c r="C138" s="4" t="s">
        <v>569</v>
      </c>
      <c r="D138" s="4" t="s">
        <v>553</v>
      </c>
      <c r="E138" s="4" t="s">
        <v>570</v>
      </c>
      <c r="F138" s="4" t="s">
        <v>555</v>
      </c>
      <c r="G138" s="4" t="s">
        <v>556</v>
      </c>
      <c r="H138" s="5" t="s">
        <v>172</v>
      </c>
      <c r="I138" s="5">
        <f t="shared" si="2"/>
        <v>744</v>
      </c>
    </row>
    <row r="139" spans="1:9" x14ac:dyDescent="0.15">
      <c r="A139" s="4" t="s">
        <v>571</v>
      </c>
      <c r="B139" s="4" t="s">
        <v>572</v>
      </c>
      <c r="C139" s="4" t="s">
        <v>573</v>
      </c>
      <c r="D139" s="4" t="s">
        <v>553</v>
      </c>
      <c r="E139" s="4" t="s">
        <v>574</v>
      </c>
      <c r="F139" s="4" t="s">
        <v>555</v>
      </c>
      <c r="G139" s="4" t="s">
        <v>556</v>
      </c>
      <c r="H139" s="5" t="s">
        <v>157</v>
      </c>
      <c r="I139" s="5">
        <f t="shared" si="2"/>
        <v>751</v>
      </c>
    </row>
    <row r="140" spans="1:9" x14ac:dyDescent="0.15">
      <c r="A140" s="4" t="s">
        <v>575</v>
      </c>
      <c r="B140" s="4" t="s">
        <v>576</v>
      </c>
      <c r="C140" s="4" t="s">
        <v>577</v>
      </c>
      <c r="D140" s="4" t="s">
        <v>553</v>
      </c>
      <c r="E140" s="4" t="s">
        <v>578</v>
      </c>
      <c r="F140" s="4" t="s">
        <v>555</v>
      </c>
      <c r="G140" s="4" t="s">
        <v>556</v>
      </c>
      <c r="H140" s="5" t="s">
        <v>157</v>
      </c>
      <c r="I140" s="5">
        <f t="shared" si="2"/>
        <v>758</v>
      </c>
    </row>
    <row r="141" spans="1:9" x14ac:dyDescent="0.15">
      <c r="A141" s="4" t="s">
        <v>579</v>
      </c>
      <c r="B141" s="4" t="s">
        <v>580</v>
      </c>
      <c r="C141" s="4" t="s">
        <v>581</v>
      </c>
      <c r="D141" s="4" t="s">
        <v>553</v>
      </c>
      <c r="E141" s="4" t="s">
        <v>582</v>
      </c>
      <c r="F141" s="4" t="s">
        <v>555</v>
      </c>
      <c r="G141" s="4" t="s">
        <v>556</v>
      </c>
      <c r="H141" s="5" t="s">
        <v>157</v>
      </c>
      <c r="I141" s="5">
        <f t="shared" si="2"/>
        <v>765</v>
      </c>
    </row>
    <row r="142" spans="1:9" x14ac:dyDescent="0.15">
      <c r="A142" s="4" t="s">
        <v>583</v>
      </c>
      <c r="B142" s="4" t="s">
        <v>584</v>
      </c>
      <c r="C142" s="4" t="s">
        <v>585</v>
      </c>
      <c r="D142" s="4" t="s">
        <v>553</v>
      </c>
      <c r="E142" s="4" t="s">
        <v>586</v>
      </c>
      <c r="F142" s="4" t="s">
        <v>130</v>
      </c>
      <c r="G142" s="4" t="s">
        <v>131</v>
      </c>
      <c r="H142" s="5" t="s">
        <v>16</v>
      </c>
      <c r="I142" s="5">
        <f t="shared" si="2"/>
        <v>770</v>
      </c>
    </row>
    <row r="143" spans="1:9" x14ac:dyDescent="0.15">
      <c r="A143" s="4" t="s">
        <v>587</v>
      </c>
      <c r="B143" s="4" t="s">
        <v>588</v>
      </c>
      <c r="C143" s="4" t="s">
        <v>589</v>
      </c>
      <c r="D143" s="4" t="s">
        <v>590</v>
      </c>
      <c r="E143" s="4" t="s">
        <v>591</v>
      </c>
      <c r="F143" s="4" t="s">
        <v>592</v>
      </c>
      <c r="G143" s="4" t="s">
        <v>593</v>
      </c>
      <c r="H143" s="5" t="s">
        <v>103</v>
      </c>
      <c r="I143" s="5">
        <f t="shared" si="2"/>
        <v>774</v>
      </c>
    </row>
    <row r="144" spans="1:9" x14ac:dyDescent="0.15">
      <c r="A144" s="4" t="s">
        <v>592</v>
      </c>
      <c r="B144" s="4" t="s">
        <v>593</v>
      </c>
      <c r="C144" s="4" t="s">
        <v>594</v>
      </c>
      <c r="D144" s="4" t="s">
        <v>590</v>
      </c>
      <c r="E144" s="4" t="s">
        <v>595</v>
      </c>
      <c r="F144" s="4" t="s">
        <v>596</v>
      </c>
      <c r="G144" s="4" t="s">
        <v>597</v>
      </c>
      <c r="H144" s="5" t="s">
        <v>16</v>
      </c>
      <c r="I144" s="5">
        <f t="shared" si="2"/>
        <v>779</v>
      </c>
    </row>
    <row r="145" spans="1:9" x14ac:dyDescent="0.15">
      <c r="A145" s="4" t="s">
        <v>598</v>
      </c>
      <c r="B145" s="4" t="s">
        <v>599</v>
      </c>
      <c r="C145" s="4" t="s">
        <v>600</v>
      </c>
      <c r="D145" s="4" t="s">
        <v>590</v>
      </c>
      <c r="E145" s="4" t="s">
        <v>601</v>
      </c>
      <c r="F145" s="4" t="s">
        <v>602</v>
      </c>
      <c r="G145" s="4" t="s">
        <v>603</v>
      </c>
      <c r="H145" s="5" t="s">
        <v>127</v>
      </c>
      <c r="I145" s="5">
        <f t="shared" si="2"/>
        <v>785</v>
      </c>
    </row>
    <row r="146" spans="1:9" x14ac:dyDescent="0.15">
      <c r="A146" s="4" t="s">
        <v>604</v>
      </c>
      <c r="B146" s="4" t="s">
        <v>605</v>
      </c>
      <c r="C146" s="4" t="s">
        <v>606</v>
      </c>
      <c r="D146" s="4" t="s">
        <v>590</v>
      </c>
      <c r="E146" s="4" t="s">
        <v>591</v>
      </c>
      <c r="F146" s="4" t="s">
        <v>592</v>
      </c>
      <c r="G146" s="4" t="s">
        <v>593</v>
      </c>
      <c r="H146" s="5" t="s">
        <v>103</v>
      </c>
      <c r="I146" s="5">
        <f t="shared" si="2"/>
        <v>789</v>
      </c>
    </row>
    <row r="147" spans="1:9" x14ac:dyDescent="0.15">
      <c r="A147" s="4" t="s">
        <v>607</v>
      </c>
      <c r="B147" s="4" t="s">
        <v>608</v>
      </c>
      <c r="C147" s="4" t="s">
        <v>609</v>
      </c>
      <c r="D147" s="4" t="s">
        <v>590</v>
      </c>
      <c r="E147" s="4" t="s">
        <v>610</v>
      </c>
      <c r="F147" s="4" t="s">
        <v>611</v>
      </c>
      <c r="G147" s="4" t="s">
        <v>612</v>
      </c>
      <c r="H147" s="5" t="s">
        <v>16</v>
      </c>
      <c r="I147" s="5">
        <f t="shared" si="2"/>
        <v>794</v>
      </c>
    </row>
    <row r="148" spans="1:9" x14ac:dyDescent="0.15">
      <c r="A148" s="4" t="s">
        <v>613</v>
      </c>
      <c r="B148" s="4" t="s">
        <v>614</v>
      </c>
      <c r="C148" s="4" t="s">
        <v>615</v>
      </c>
      <c r="D148" s="4" t="s">
        <v>590</v>
      </c>
      <c r="E148" s="4" t="s">
        <v>616</v>
      </c>
      <c r="F148" s="4" t="s">
        <v>611</v>
      </c>
      <c r="G148" s="4" t="s">
        <v>612</v>
      </c>
      <c r="H148" s="5" t="s">
        <v>16</v>
      </c>
      <c r="I148" s="5">
        <f t="shared" si="2"/>
        <v>799</v>
      </c>
    </row>
    <row r="149" spans="1:9" x14ac:dyDescent="0.15">
      <c r="A149" s="4" t="s">
        <v>602</v>
      </c>
      <c r="B149" s="4" t="s">
        <v>603</v>
      </c>
      <c r="C149" s="4" t="s">
        <v>617</v>
      </c>
      <c r="D149" s="4" t="s">
        <v>590</v>
      </c>
      <c r="E149" s="4" t="s">
        <v>618</v>
      </c>
      <c r="F149" s="4" t="s">
        <v>596</v>
      </c>
      <c r="G149" s="4" t="s">
        <v>597</v>
      </c>
      <c r="H149" s="5" t="s">
        <v>16</v>
      </c>
      <c r="I149" s="5">
        <f t="shared" si="2"/>
        <v>804</v>
      </c>
    </row>
    <row r="150" spans="1:9" x14ac:dyDescent="0.15">
      <c r="A150" s="4" t="s">
        <v>611</v>
      </c>
      <c r="B150" s="4" t="s">
        <v>612</v>
      </c>
      <c r="C150" s="4" t="s">
        <v>619</v>
      </c>
      <c r="D150" s="4" t="s">
        <v>590</v>
      </c>
      <c r="E150" s="4" t="s">
        <v>620</v>
      </c>
      <c r="F150" s="4" t="s">
        <v>596</v>
      </c>
      <c r="G150" s="4" t="s">
        <v>597</v>
      </c>
      <c r="H150" s="5" t="s">
        <v>127</v>
      </c>
      <c r="I150" s="5">
        <f t="shared" si="2"/>
        <v>810</v>
      </c>
    </row>
    <row r="151" spans="1:9" x14ac:dyDescent="0.15">
      <c r="A151" s="4" t="s">
        <v>596</v>
      </c>
      <c r="B151" s="4" t="s">
        <v>597</v>
      </c>
      <c r="C151" s="4" t="s">
        <v>621</v>
      </c>
      <c r="D151" s="4" t="s">
        <v>590</v>
      </c>
      <c r="E151" s="4" t="s">
        <v>622</v>
      </c>
      <c r="F151" s="4" t="s">
        <v>101</v>
      </c>
      <c r="G151" s="4" t="s">
        <v>102</v>
      </c>
      <c r="H151" s="5" t="s">
        <v>103</v>
      </c>
      <c r="I151" s="5">
        <f t="shared" si="2"/>
        <v>814</v>
      </c>
    </row>
    <row r="152" spans="1:9" x14ac:dyDescent="0.15">
      <c r="A152" s="4" t="s">
        <v>623</v>
      </c>
      <c r="B152" s="4" t="s">
        <v>624</v>
      </c>
      <c r="C152" s="4" t="s">
        <v>625</v>
      </c>
      <c r="D152" s="4" t="s">
        <v>626</v>
      </c>
      <c r="E152" s="4" t="s">
        <v>627</v>
      </c>
      <c r="F152" s="4" t="s">
        <v>628</v>
      </c>
      <c r="G152" s="4" t="s">
        <v>629</v>
      </c>
      <c r="H152" s="5" t="s">
        <v>157</v>
      </c>
      <c r="I152" s="5">
        <f t="shared" si="2"/>
        <v>821</v>
      </c>
    </row>
    <row r="153" spans="1:9" x14ac:dyDescent="0.15">
      <c r="A153" s="4" t="s">
        <v>630</v>
      </c>
      <c r="B153" s="4" t="s">
        <v>631</v>
      </c>
      <c r="C153" s="4" t="s">
        <v>632</v>
      </c>
      <c r="D153" s="4" t="s">
        <v>626</v>
      </c>
      <c r="E153" s="4" t="s">
        <v>627</v>
      </c>
      <c r="F153" s="4" t="s">
        <v>628</v>
      </c>
      <c r="G153" s="4" t="s">
        <v>629</v>
      </c>
      <c r="H153" s="5" t="s">
        <v>157</v>
      </c>
      <c r="I153" s="5">
        <f t="shared" si="2"/>
        <v>828</v>
      </c>
    </row>
    <row r="154" spans="1:9" x14ac:dyDescent="0.15">
      <c r="A154" s="4" t="s">
        <v>628</v>
      </c>
      <c r="B154" s="4" t="s">
        <v>629</v>
      </c>
      <c r="C154" s="4" t="s">
        <v>633</v>
      </c>
      <c r="D154" s="4" t="s">
        <v>626</v>
      </c>
      <c r="E154" s="4" t="s">
        <v>634</v>
      </c>
      <c r="F154" s="4" t="s">
        <v>635</v>
      </c>
      <c r="G154" s="4" t="s">
        <v>636</v>
      </c>
      <c r="H154" s="5" t="s">
        <v>157</v>
      </c>
      <c r="I154" s="5">
        <f t="shared" si="2"/>
        <v>835</v>
      </c>
    </row>
    <row r="155" spans="1:9" x14ac:dyDescent="0.15">
      <c r="A155" s="4" t="s">
        <v>637</v>
      </c>
      <c r="B155" s="4" t="s">
        <v>638</v>
      </c>
      <c r="C155" s="4" t="s">
        <v>639</v>
      </c>
      <c r="D155" s="4" t="s">
        <v>626</v>
      </c>
      <c r="E155" s="4" t="s">
        <v>640</v>
      </c>
      <c r="F155" s="4" t="s">
        <v>628</v>
      </c>
      <c r="G155" s="4" t="s">
        <v>629</v>
      </c>
      <c r="H155" s="5" t="s">
        <v>157</v>
      </c>
      <c r="I155" s="5">
        <f t="shared" si="2"/>
        <v>842</v>
      </c>
    </row>
    <row r="156" spans="1:9" x14ac:dyDescent="0.15">
      <c r="A156" s="4" t="s">
        <v>635</v>
      </c>
      <c r="B156" s="4" t="s">
        <v>636</v>
      </c>
      <c r="C156" s="4" t="s">
        <v>641</v>
      </c>
      <c r="D156" s="4" t="s">
        <v>626</v>
      </c>
      <c r="E156" s="4" t="s">
        <v>642</v>
      </c>
      <c r="F156" s="4" t="s">
        <v>643</v>
      </c>
      <c r="G156" s="4" t="s">
        <v>644</v>
      </c>
      <c r="H156" s="5" t="s">
        <v>127</v>
      </c>
      <c r="I156" s="5">
        <f t="shared" si="2"/>
        <v>848</v>
      </c>
    </row>
    <row r="157" spans="1:9" x14ac:dyDescent="0.15">
      <c r="A157" s="4" t="s">
        <v>645</v>
      </c>
      <c r="B157" s="4" t="s">
        <v>646</v>
      </c>
      <c r="C157" s="4" t="s">
        <v>647</v>
      </c>
      <c r="D157" s="4" t="s">
        <v>648</v>
      </c>
      <c r="E157" s="4" t="s">
        <v>649</v>
      </c>
      <c r="F157" s="4" t="s">
        <v>650</v>
      </c>
      <c r="G157" s="4" t="s">
        <v>651</v>
      </c>
      <c r="H157" s="5" t="s">
        <v>172</v>
      </c>
      <c r="I157" s="5">
        <f t="shared" si="2"/>
        <v>856</v>
      </c>
    </row>
    <row r="158" spans="1:9" x14ac:dyDescent="0.15">
      <c r="A158" s="4" t="s">
        <v>652</v>
      </c>
      <c r="B158" s="4" t="s">
        <v>653</v>
      </c>
      <c r="C158" s="4" t="s">
        <v>654</v>
      </c>
      <c r="D158" s="4" t="s">
        <v>648</v>
      </c>
      <c r="E158" s="4" t="s">
        <v>655</v>
      </c>
      <c r="F158" s="4" t="s">
        <v>656</v>
      </c>
      <c r="G158" s="4" t="s">
        <v>657</v>
      </c>
      <c r="H158" s="5" t="s">
        <v>168</v>
      </c>
      <c r="I158" s="5">
        <f t="shared" si="2"/>
        <v>865</v>
      </c>
    </row>
    <row r="159" spans="1:9" x14ac:dyDescent="0.15">
      <c r="A159" s="4" t="s">
        <v>658</v>
      </c>
      <c r="B159" s="4" t="s">
        <v>659</v>
      </c>
      <c r="C159" s="4" t="s">
        <v>660</v>
      </c>
      <c r="D159" s="4" t="s">
        <v>648</v>
      </c>
      <c r="E159" s="4" t="s">
        <v>661</v>
      </c>
      <c r="F159" s="4" t="s">
        <v>650</v>
      </c>
      <c r="G159" s="4" t="s">
        <v>651</v>
      </c>
      <c r="H159" s="5" t="s">
        <v>662</v>
      </c>
      <c r="I159" s="5">
        <f t="shared" si="2"/>
        <v>876</v>
      </c>
    </row>
    <row r="160" spans="1:9" x14ac:dyDescent="0.15">
      <c r="A160" s="4" t="s">
        <v>663</v>
      </c>
      <c r="B160" s="4" t="s">
        <v>664</v>
      </c>
      <c r="C160" s="4" t="s">
        <v>665</v>
      </c>
      <c r="D160" s="4" t="s">
        <v>648</v>
      </c>
      <c r="E160" s="4" t="s">
        <v>666</v>
      </c>
      <c r="F160" s="4" t="s">
        <v>650</v>
      </c>
      <c r="G160" s="4" t="s">
        <v>651</v>
      </c>
      <c r="H160" s="5" t="s">
        <v>667</v>
      </c>
      <c r="I160" s="5">
        <f t="shared" si="2"/>
        <v>888</v>
      </c>
    </row>
    <row r="161" spans="1:9" x14ac:dyDescent="0.15">
      <c r="A161" s="4" t="s">
        <v>668</v>
      </c>
      <c r="B161" s="4" t="s">
        <v>669</v>
      </c>
      <c r="C161" s="4" t="s">
        <v>670</v>
      </c>
      <c r="D161" s="4" t="s">
        <v>648</v>
      </c>
      <c r="E161" s="4" t="s">
        <v>671</v>
      </c>
      <c r="F161" s="4" t="s">
        <v>650</v>
      </c>
      <c r="G161" s="4" t="s">
        <v>651</v>
      </c>
      <c r="H161" s="5" t="s">
        <v>157</v>
      </c>
      <c r="I161" s="5">
        <f t="shared" si="2"/>
        <v>895</v>
      </c>
    </row>
    <row r="162" spans="1:9" x14ac:dyDescent="0.15">
      <c r="A162" s="4" t="s">
        <v>672</v>
      </c>
      <c r="B162" s="4" t="s">
        <v>673</v>
      </c>
      <c r="C162" s="4" t="s">
        <v>674</v>
      </c>
      <c r="D162" s="4" t="s">
        <v>648</v>
      </c>
      <c r="E162" s="4" t="s">
        <v>675</v>
      </c>
      <c r="F162" s="4" t="s">
        <v>656</v>
      </c>
      <c r="G162" s="4" t="s">
        <v>657</v>
      </c>
      <c r="H162" s="5" t="s">
        <v>667</v>
      </c>
      <c r="I162" s="5">
        <f t="shared" si="2"/>
        <v>907</v>
      </c>
    </row>
    <row r="163" spans="1:9" x14ac:dyDescent="0.15">
      <c r="A163" s="4" t="s">
        <v>676</v>
      </c>
      <c r="B163" s="4" t="s">
        <v>677</v>
      </c>
      <c r="C163" s="4" t="s">
        <v>678</v>
      </c>
      <c r="D163" s="4" t="s">
        <v>648</v>
      </c>
      <c r="E163" s="4" t="s">
        <v>649</v>
      </c>
      <c r="F163" s="4" t="s">
        <v>650</v>
      </c>
      <c r="G163" s="4" t="s">
        <v>651</v>
      </c>
      <c r="H163" s="5" t="s">
        <v>172</v>
      </c>
      <c r="I163" s="5">
        <f t="shared" si="2"/>
        <v>915</v>
      </c>
    </row>
    <row r="164" spans="1:9" x14ac:dyDescent="0.15">
      <c r="A164" s="4" t="s">
        <v>679</v>
      </c>
      <c r="B164" s="4" t="s">
        <v>680</v>
      </c>
      <c r="C164" s="4" t="s">
        <v>681</v>
      </c>
      <c r="D164" s="4" t="s">
        <v>648</v>
      </c>
      <c r="E164" s="4" t="s">
        <v>649</v>
      </c>
      <c r="F164" s="4" t="s">
        <v>650</v>
      </c>
      <c r="G164" s="4" t="s">
        <v>651</v>
      </c>
      <c r="H164" s="5" t="s">
        <v>168</v>
      </c>
      <c r="I164" s="5">
        <f t="shared" si="2"/>
        <v>924</v>
      </c>
    </row>
    <row r="165" spans="1:9" x14ac:dyDescent="0.15">
      <c r="A165" s="4" t="s">
        <v>682</v>
      </c>
      <c r="B165" s="4" t="s">
        <v>683</v>
      </c>
      <c r="C165" s="4" t="s">
        <v>684</v>
      </c>
      <c r="D165" s="4" t="s">
        <v>648</v>
      </c>
      <c r="E165" s="4" t="s">
        <v>685</v>
      </c>
      <c r="F165" s="4" t="s">
        <v>686</v>
      </c>
      <c r="G165" s="4" t="s">
        <v>687</v>
      </c>
      <c r="H165" s="5" t="s">
        <v>172</v>
      </c>
      <c r="I165" s="5">
        <f t="shared" si="2"/>
        <v>932</v>
      </c>
    </row>
    <row r="166" spans="1:9" x14ac:dyDescent="0.15">
      <c r="A166" s="4" t="s">
        <v>688</v>
      </c>
      <c r="B166" s="4" t="s">
        <v>689</v>
      </c>
      <c r="C166" s="4" t="s">
        <v>690</v>
      </c>
      <c r="D166" s="4" t="s">
        <v>648</v>
      </c>
      <c r="E166" s="4" t="s">
        <v>655</v>
      </c>
      <c r="F166" s="4" t="s">
        <v>656</v>
      </c>
      <c r="G166" s="4" t="s">
        <v>657</v>
      </c>
      <c r="H166" s="5" t="s">
        <v>691</v>
      </c>
      <c r="I166" s="5">
        <f t="shared" si="2"/>
        <v>942</v>
      </c>
    </row>
    <row r="167" spans="1:9" x14ac:dyDescent="0.15">
      <c r="A167" s="4" t="s">
        <v>692</v>
      </c>
      <c r="B167" s="4" t="s">
        <v>693</v>
      </c>
      <c r="C167" s="4" t="s">
        <v>694</v>
      </c>
      <c r="D167" s="4" t="s">
        <v>648</v>
      </c>
      <c r="E167" s="4" t="s">
        <v>695</v>
      </c>
      <c r="F167" s="4" t="s">
        <v>656</v>
      </c>
      <c r="G167" s="4" t="s">
        <v>657</v>
      </c>
      <c r="H167" s="5" t="s">
        <v>691</v>
      </c>
      <c r="I167" s="5">
        <f t="shared" si="2"/>
        <v>952</v>
      </c>
    </row>
    <row r="168" spans="1:9" x14ac:dyDescent="0.15">
      <c r="A168" s="4" t="s">
        <v>696</v>
      </c>
      <c r="B168" s="4" t="s">
        <v>697</v>
      </c>
      <c r="C168" s="4" t="s">
        <v>698</v>
      </c>
      <c r="D168" s="4" t="s">
        <v>648</v>
      </c>
      <c r="E168" s="4" t="s">
        <v>699</v>
      </c>
      <c r="F168" s="4" t="s">
        <v>656</v>
      </c>
      <c r="G168" s="4" t="s">
        <v>657</v>
      </c>
      <c r="H168" s="5" t="s">
        <v>172</v>
      </c>
      <c r="I168" s="5">
        <f t="shared" si="2"/>
        <v>960</v>
      </c>
    </row>
    <row r="169" spans="1:9" x14ac:dyDescent="0.15">
      <c r="A169" s="4" t="s">
        <v>700</v>
      </c>
      <c r="B169" s="4" t="s">
        <v>701</v>
      </c>
      <c r="C169" s="4" t="s">
        <v>702</v>
      </c>
      <c r="D169" s="4" t="s">
        <v>648</v>
      </c>
      <c r="E169" s="4" t="s">
        <v>675</v>
      </c>
      <c r="F169" s="4" t="s">
        <v>656</v>
      </c>
      <c r="G169" s="4" t="s">
        <v>657</v>
      </c>
      <c r="H169" s="5" t="s">
        <v>667</v>
      </c>
      <c r="I169" s="5">
        <f t="shared" si="2"/>
        <v>972</v>
      </c>
    </row>
    <row r="170" spans="1:9" x14ac:dyDescent="0.15">
      <c r="A170" s="4" t="s">
        <v>703</v>
      </c>
      <c r="B170" s="4" t="s">
        <v>704</v>
      </c>
      <c r="C170" s="4" t="s">
        <v>705</v>
      </c>
      <c r="D170" s="4" t="s">
        <v>648</v>
      </c>
      <c r="E170" s="4" t="s">
        <v>666</v>
      </c>
      <c r="F170" s="4" t="s">
        <v>650</v>
      </c>
      <c r="G170" s="4" t="s">
        <v>651</v>
      </c>
      <c r="H170" s="5" t="s">
        <v>168</v>
      </c>
      <c r="I170" s="5">
        <f t="shared" si="2"/>
        <v>981</v>
      </c>
    </row>
    <row r="171" spans="1:9" x14ac:dyDescent="0.15">
      <c r="A171" s="4" t="s">
        <v>706</v>
      </c>
      <c r="B171" s="4" t="s">
        <v>707</v>
      </c>
      <c r="C171" s="4" t="s">
        <v>708</v>
      </c>
      <c r="D171" s="4" t="s">
        <v>648</v>
      </c>
      <c r="E171" s="4" t="s">
        <v>709</v>
      </c>
      <c r="F171" s="4" t="s">
        <v>650</v>
      </c>
      <c r="G171" s="4" t="s">
        <v>651</v>
      </c>
      <c r="H171" s="5" t="s">
        <v>172</v>
      </c>
      <c r="I171" s="5">
        <f t="shared" si="2"/>
        <v>989</v>
      </c>
    </row>
    <row r="172" spans="1:9" x14ac:dyDescent="0.15">
      <c r="A172" s="4" t="s">
        <v>710</v>
      </c>
      <c r="B172" s="4" t="s">
        <v>711</v>
      </c>
      <c r="C172" s="4" t="s">
        <v>712</v>
      </c>
      <c r="D172" s="4" t="s">
        <v>648</v>
      </c>
      <c r="E172" s="4" t="s">
        <v>695</v>
      </c>
      <c r="F172" s="4" t="s">
        <v>656</v>
      </c>
      <c r="G172" s="4" t="s">
        <v>657</v>
      </c>
      <c r="H172" s="5" t="s">
        <v>691</v>
      </c>
      <c r="I172" s="5">
        <f t="shared" si="2"/>
        <v>999</v>
      </c>
    </row>
    <row r="173" spans="1:9" x14ac:dyDescent="0.15">
      <c r="A173" s="4" t="s">
        <v>713</v>
      </c>
      <c r="B173" s="4" t="s">
        <v>714</v>
      </c>
      <c r="C173" s="4" t="s">
        <v>715</v>
      </c>
      <c r="D173" s="4" t="s">
        <v>648</v>
      </c>
      <c r="E173" s="4" t="s">
        <v>649</v>
      </c>
      <c r="F173" s="4" t="s">
        <v>650</v>
      </c>
      <c r="G173" s="4" t="s">
        <v>651</v>
      </c>
      <c r="H173" s="5" t="s">
        <v>172</v>
      </c>
      <c r="I173" s="5">
        <f t="shared" si="2"/>
        <v>1007</v>
      </c>
    </row>
    <row r="174" spans="1:9" x14ac:dyDescent="0.15">
      <c r="A174" s="4" t="s">
        <v>716</v>
      </c>
      <c r="B174" s="4" t="s">
        <v>717</v>
      </c>
      <c r="C174" s="4" t="s">
        <v>718</v>
      </c>
      <c r="D174" s="4" t="s">
        <v>648</v>
      </c>
      <c r="E174" s="4" t="s">
        <v>719</v>
      </c>
      <c r="F174" s="4" t="s">
        <v>656</v>
      </c>
      <c r="G174" s="4" t="s">
        <v>657</v>
      </c>
      <c r="H174" s="5" t="s">
        <v>168</v>
      </c>
      <c r="I174" s="5">
        <f t="shared" si="2"/>
        <v>1016</v>
      </c>
    </row>
    <row r="175" spans="1:9" x14ac:dyDescent="0.15">
      <c r="A175" s="4" t="s">
        <v>686</v>
      </c>
      <c r="B175" s="4" t="s">
        <v>687</v>
      </c>
      <c r="C175" s="4" t="s">
        <v>720</v>
      </c>
      <c r="D175" s="4" t="s">
        <v>648</v>
      </c>
      <c r="E175" s="4" t="s">
        <v>721</v>
      </c>
      <c r="F175" s="4" t="s">
        <v>722</v>
      </c>
      <c r="G175" s="4" t="s">
        <v>723</v>
      </c>
      <c r="H175" s="5" t="s">
        <v>172</v>
      </c>
      <c r="I175" s="5">
        <f t="shared" si="2"/>
        <v>1024</v>
      </c>
    </row>
    <row r="176" spans="1:9" x14ac:dyDescent="0.15">
      <c r="A176" s="4" t="s">
        <v>656</v>
      </c>
      <c r="B176" s="4" t="s">
        <v>657</v>
      </c>
      <c r="C176" s="4" t="s">
        <v>724</v>
      </c>
      <c r="D176" s="4" t="s">
        <v>648</v>
      </c>
      <c r="E176" s="4" t="s">
        <v>725</v>
      </c>
      <c r="F176" s="4" t="s">
        <v>686</v>
      </c>
      <c r="G176" s="4" t="s">
        <v>687</v>
      </c>
      <c r="H176" s="5" t="s">
        <v>691</v>
      </c>
      <c r="I176" s="5">
        <f t="shared" si="2"/>
        <v>1034</v>
      </c>
    </row>
    <row r="177" spans="1:9" x14ac:dyDescent="0.15">
      <c r="A177" s="4" t="s">
        <v>726</v>
      </c>
      <c r="B177" s="4" t="s">
        <v>727</v>
      </c>
      <c r="C177" s="4" t="s">
        <v>728</v>
      </c>
      <c r="D177" s="4" t="s">
        <v>648</v>
      </c>
      <c r="E177" s="4" t="s">
        <v>729</v>
      </c>
      <c r="F177" s="4" t="s">
        <v>650</v>
      </c>
      <c r="G177" s="4" t="s">
        <v>651</v>
      </c>
      <c r="H177" s="5" t="s">
        <v>168</v>
      </c>
      <c r="I177" s="5">
        <f t="shared" si="2"/>
        <v>1043</v>
      </c>
    </row>
    <row r="178" spans="1:9" x14ac:dyDescent="0.15">
      <c r="A178" s="4" t="s">
        <v>730</v>
      </c>
      <c r="B178" s="4" t="s">
        <v>731</v>
      </c>
      <c r="C178" s="4" t="s">
        <v>732</v>
      </c>
      <c r="D178" s="4" t="s">
        <v>648</v>
      </c>
      <c r="E178" s="4" t="s">
        <v>733</v>
      </c>
      <c r="F178" s="4" t="s">
        <v>650</v>
      </c>
      <c r="G178" s="4" t="s">
        <v>651</v>
      </c>
      <c r="H178" s="5" t="s">
        <v>168</v>
      </c>
      <c r="I178" s="5">
        <f t="shared" si="2"/>
        <v>1052</v>
      </c>
    </row>
    <row r="179" spans="1:9" x14ac:dyDescent="0.15">
      <c r="A179" s="4" t="s">
        <v>650</v>
      </c>
      <c r="B179" s="4" t="s">
        <v>651</v>
      </c>
      <c r="C179" s="4" t="s">
        <v>734</v>
      </c>
      <c r="D179" s="4" t="s">
        <v>648</v>
      </c>
      <c r="E179" s="4" t="s">
        <v>735</v>
      </c>
      <c r="F179" s="4" t="s">
        <v>686</v>
      </c>
      <c r="G179" s="4" t="s">
        <v>687</v>
      </c>
      <c r="H179" s="5" t="s">
        <v>662</v>
      </c>
      <c r="I179" s="5">
        <f t="shared" si="2"/>
        <v>1063</v>
      </c>
    </row>
    <row r="180" spans="1:9" x14ac:dyDescent="0.15">
      <c r="A180" s="4" t="s">
        <v>736</v>
      </c>
      <c r="B180" s="4" t="s">
        <v>737</v>
      </c>
      <c r="C180" s="4" t="s">
        <v>738</v>
      </c>
      <c r="D180" s="4" t="s">
        <v>648</v>
      </c>
      <c r="E180" s="4" t="s">
        <v>671</v>
      </c>
      <c r="F180" s="4" t="s">
        <v>650</v>
      </c>
      <c r="G180" s="4" t="s">
        <v>651</v>
      </c>
      <c r="H180" s="5" t="s">
        <v>157</v>
      </c>
      <c r="I180" s="5">
        <f t="shared" si="2"/>
        <v>1070</v>
      </c>
    </row>
    <row r="181" spans="1:9" x14ac:dyDescent="0.15">
      <c r="A181" s="4" t="s">
        <v>739</v>
      </c>
      <c r="B181" s="4" t="s">
        <v>740</v>
      </c>
      <c r="C181" s="4" t="s">
        <v>741</v>
      </c>
      <c r="D181" s="4" t="s">
        <v>648</v>
      </c>
      <c r="E181" s="4" t="s">
        <v>733</v>
      </c>
      <c r="F181" s="4" t="s">
        <v>650</v>
      </c>
      <c r="G181" s="4" t="s">
        <v>651</v>
      </c>
      <c r="H181" s="5" t="s">
        <v>168</v>
      </c>
      <c r="I181" s="5">
        <f t="shared" si="2"/>
        <v>1079</v>
      </c>
    </row>
    <row r="182" spans="1:9" x14ac:dyDescent="0.15">
      <c r="A182" s="4" t="s">
        <v>742</v>
      </c>
      <c r="B182" s="4" t="s">
        <v>743</v>
      </c>
      <c r="C182" s="4" t="s">
        <v>744</v>
      </c>
      <c r="D182" s="4" t="s">
        <v>648</v>
      </c>
      <c r="E182" s="4" t="s">
        <v>745</v>
      </c>
      <c r="F182" s="4" t="s">
        <v>656</v>
      </c>
      <c r="G182" s="4" t="s">
        <v>657</v>
      </c>
      <c r="H182" s="5" t="s">
        <v>168</v>
      </c>
      <c r="I182" s="5">
        <f t="shared" si="2"/>
        <v>1088</v>
      </c>
    </row>
    <row r="183" spans="1:9" x14ac:dyDescent="0.15">
      <c r="A183" s="4" t="s">
        <v>746</v>
      </c>
      <c r="B183" s="4" t="s">
        <v>747</v>
      </c>
      <c r="C183" s="4" t="s">
        <v>748</v>
      </c>
      <c r="D183" s="4" t="s">
        <v>648</v>
      </c>
      <c r="E183" s="4" t="s">
        <v>749</v>
      </c>
      <c r="F183" s="4" t="s">
        <v>650</v>
      </c>
      <c r="G183" s="4" t="s">
        <v>651</v>
      </c>
      <c r="H183" s="5" t="s">
        <v>691</v>
      </c>
      <c r="I183" s="5">
        <f t="shared" si="2"/>
        <v>1098</v>
      </c>
    </row>
    <row r="184" spans="1:9" x14ac:dyDescent="0.15">
      <c r="A184" s="4" t="s">
        <v>750</v>
      </c>
      <c r="B184" s="4" t="s">
        <v>751</v>
      </c>
      <c r="C184" s="4" t="s">
        <v>752</v>
      </c>
      <c r="D184" s="4" t="s">
        <v>753</v>
      </c>
      <c r="E184" s="4" t="s">
        <v>754</v>
      </c>
      <c r="F184" s="4" t="s">
        <v>755</v>
      </c>
      <c r="G184" s="4" t="s">
        <v>756</v>
      </c>
      <c r="H184" s="5" t="s">
        <v>127</v>
      </c>
      <c r="I184" s="5">
        <f t="shared" si="2"/>
        <v>1104</v>
      </c>
    </row>
    <row r="185" spans="1:9" x14ac:dyDescent="0.15">
      <c r="A185" s="4" t="s">
        <v>757</v>
      </c>
      <c r="B185" s="4" t="s">
        <v>758</v>
      </c>
      <c r="C185" s="4" t="s">
        <v>759</v>
      </c>
      <c r="D185" s="4" t="s">
        <v>753</v>
      </c>
      <c r="E185" s="4" t="s">
        <v>760</v>
      </c>
      <c r="F185" s="4" t="s">
        <v>755</v>
      </c>
      <c r="G185" s="4" t="s">
        <v>756</v>
      </c>
      <c r="H185" s="5" t="s">
        <v>127</v>
      </c>
      <c r="I185" s="5">
        <f t="shared" si="2"/>
        <v>1110</v>
      </c>
    </row>
    <row r="186" spans="1:9" x14ac:dyDescent="0.15">
      <c r="A186" s="4" t="s">
        <v>755</v>
      </c>
      <c r="B186" s="4" t="s">
        <v>756</v>
      </c>
      <c r="C186" s="4" t="s">
        <v>761</v>
      </c>
      <c r="D186" s="4" t="s">
        <v>753</v>
      </c>
      <c r="E186" s="4" t="s">
        <v>762</v>
      </c>
      <c r="F186" s="4" t="s">
        <v>763</v>
      </c>
      <c r="G186" s="4" t="s">
        <v>764</v>
      </c>
      <c r="H186" s="5" t="s">
        <v>127</v>
      </c>
      <c r="I186" s="5">
        <f t="shared" si="2"/>
        <v>1116</v>
      </c>
    </row>
    <row r="187" spans="1:9" x14ac:dyDescent="0.15">
      <c r="A187" s="4" t="s">
        <v>765</v>
      </c>
      <c r="B187" s="4" t="s">
        <v>766</v>
      </c>
      <c r="C187" s="4" t="s">
        <v>767</v>
      </c>
      <c r="D187" s="4" t="s">
        <v>753</v>
      </c>
      <c r="E187" s="4" t="s">
        <v>768</v>
      </c>
      <c r="F187" s="4" t="s">
        <v>769</v>
      </c>
      <c r="G187" s="4" t="s">
        <v>770</v>
      </c>
      <c r="H187" s="5" t="s">
        <v>103</v>
      </c>
      <c r="I187" s="5">
        <f t="shared" si="2"/>
        <v>1120</v>
      </c>
    </row>
    <row r="188" spans="1:9" x14ac:dyDescent="0.15">
      <c r="A188" s="4" t="s">
        <v>771</v>
      </c>
      <c r="B188" s="4" t="s">
        <v>772</v>
      </c>
      <c r="C188" s="4" t="s">
        <v>773</v>
      </c>
      <c r="D188" s="4" t="s">
        <v>753</v>
      </c>
      <c r="E188" s="4" t="s">
        <v>774</v>
      </c>
      <c r="F188" s="4" t="s">
        <v>755</v>
      </c>
      <c r="G188" s="4" t="s">
        <v>756</v>
      </c>
      <c r="H188" s="5" t="s">
        <v>127</v>
      </c>
      <c r="I188" s="5">
        <f t="shared" si="2"/>
        <v>1126</v>
      </c>
    </row>
    <row r="189" spans="1:9" x14ac:dyDescent="0.15">
      <c r="A189" s="4" t="s">
        <v>775</v>
      </c>
      <c r="B189" s="4" t="s">
        <v>776</v>
      </c>
      <c r="C189" s="4" t="s">
        <v>777</v>
      </c>
      <c r="D189" s="4" t="s">
        <v>753</v>
      </c>
      <c r="E189" s="4" t="s">
        <v>768</v>
      </c>
      <c r="F189" s="4" t="s">
        <v>763</v>
      </c>
      <c r="G189" s="4" t="s">
        <v>764</v>
      </c>
      <c r="H189" s="5" t="s">
        <v>103</v>
      </c>
      <c r="I189" s="5">
        <f t="shared" si="2"/>
        <v>1130</v>
      </c>
    </row>
    <row r="190" spans="1:9" x14ac:dyDescent="0.15">
      <c r="A190" s="4" t="s">
        <v>778</v>
      </c>
      <c r="B190" s="4" t="s">
        <v>779</v>
      </c>
      <c r="C190" s="4" t="s">
        <v>780</v>
      </c>
      <c r="D190" s="4" t="s">
        <v>753</v>
      </c>
      <c r="E190" s="4" t="s">
        <v>781</v>
      </c>
      <c r="F190" s="4" t="s">
        <v>782</v>
      </c>
      <c r="G190" s="4" t="s">
        <v>783</v>
      </c>
      <c r="H190" s="5" t="s">
        <v>103</v>
      </c>
      <c r="I190" s="5">
        <f t="shared" si="2"/>
        <v>1134</v>
      </c>
    </row>
    <row r="191" spans="1:9" x14ac:dyDescent="0.15">
      <c r="A191" s="4" t="s">
        <v>784</v>
      </c>
      <c r="B191" s="4" t="s">
        <v>785</v>
      </c>
      <c r="C191" s="4" t="s">
        <v>786</v>
      </c>
      <c r="D191" s="4" t="s">
        <v>753</v>
      </c>
      <c r="E191" s="4" t="s">
        <v>787</v>
      </c>
      <c r="F191" s="4" t="s">
        <v>763</v>
      </c>
      <c r="G191" s="4" t="s">
        <v>764</v>
      </c>
      <c r="H191" s="5" t="s">
        <v>103</v>
      </c>
      <c r="I191" s="5">
        <f t="shared" si="2"/>
        <v>1138</v>
      </c>
    </row>
    <row r="192" spans="1:9" x14ac:dyDescent="0.15">
      <c r="A192" s="4" t="s">
        <v>769</v>
      </c>
      <c r="B192" s="4" t="s">
        <v>770</v>
      </c>
      <c r="C192" s="4" t="s">
        <v>788</v>
      </c>
      <c r="D192" s="4" t="s">
        <v>753</v>
      </c>
      <c r="E192" s="4" t="s">
        <v>789</v>
      </c>
      <c r="F192" s="4" t="s">
        <v>763</v>
      </c>
      <c r="G192" s="4" t="s">
        <v>764</v>
      </c>
      <c r="H192" s="5" t="s">
        <v>127</v>
      </c>
      <c r="I192" s="5">
        <f t="shared" si="2"/>
        <v>1144</v>
      </c>
    </row>
    <row r="193" spans="1:9" x14ac:dyDescent="0.15">
      <c r="A193" s="4" t="s">
        <v>790</v>
      </c>
      <c r="B193" s="4" t="s">
        <v>791</v>
      </c>
      <c r="C193" s="4" t="s">
        <v>792</v>
      </c>
      <c r="D193" s="4" t="s">
        <v>753</v>
      </c>
      <c r="E193" s="4" t="s">
        <v>793</v>
      </c>
      <c r="F193" s="4" t="s">
        <v>782</v>
      </c>
      <c r="G193" s="4" t="s">
        <v>783</v>
      </c>
      <c r="H193" s="5" t="s">
        <v>103</v>
      </c>
      <c r="I193" s="5">
        <f t="shared" si="2"/>
        <v>1148</v>
      </c>
    </row>
    <row r="194" spans="1:9" x14ac:dyDescent="0.15">
      <c r="A194" s="4" t="s">
        <v>794</v>
      </c>
      <c r="B194" s="4" t="s">
        <v>795</v>
      </c>
      <c r="C194" s="4" t="s">
        <v>796</v>
      </c>
      <c r="D194" s="4" t="s">
        <v>753</v>
      </c>
      <c r="E194" s="4" t="s">
        <v>797</v>
      </c>
      <c r="F194" s="4" t="s">
        <v>755</v>
      </c>
      <c r="G194" s="4" t="s">
        <v>756</v>
      </c>
      <c r="H194" s="5" t="s">
        <v>127</v>
      </c>
      <c r="I194" s="5">
        <f t="shared" si="2"/>
        <v>1154</v>
      </c>
    </row>
    <row r="195" spans="1:9" x14ac:dyDescent="0.15">
      <c r="A195" s="4" t="s">
        <v>782</v>
      </c>
      <c r="B195" s="4" t="s">
        <v>783</v>
      </c>
      <c r="C195" s="4" t="s">
        <v>798</v>
      </c>
      <c r="D195" s="4" t="s">
        <v>753</v>
      </c>
      <c r="E195" s="4" t="s">
        <v>799</v>
      </c>
      <c r="F195" s="4" t="s">
        <v>763</v>
      </c>
      <c r="G195" s="4" t="s">
        <v>764</v>
      </c>
      <c r="H195" s="5" t="s">
        <v>16</v>
      </c>
      <c r="I195" s="5">
        <f t="shared" ref="I195:I209" si="3">+I194+H195</f>
        <v>1159</v>
      </c>
    </row>
    <row r="196" spans="1:9" x14ac:dyDescent="0.15">
      <c r="A196" s="4" t="s">
        <v>800</v>
      </c>
      <c r="B196" s="4" t="s">
        <v>801</v>
      </c>
      <c r="C196" s="4" t="s">
        <v>802</v>
      </c>
      <c r="D196" s="4" t="s">
        <v>753</v>
      </c>
      <c r="E196" s="4" t="s">
        <v>803</v>
      </c>
      <c r="F196" s="4" t="s">
        <v>782</v>
      </c>
      <c r="G196" s="4" t="s">
        <v>783</v>
      </c>
      <c r="H196" s="5" t="s">
        <v>103</v>
      </c>
      <c r="I196" s="5">
        <f t="shared" si="3"/>
        <v>1163</v>
      </c>
    </row>
    <row r="197" spans="1:9" x14ac:dyDescent="0.15">
      <c r="A197" s="4" t="s">
        <v>804</v>
      </c>
      <c r="B197" s="4" t="s">
        <v>805</v>
      </c>
      <c r="C197" s="4" t="s">
        <v>806</v>
      </c>
      <c r="D197" s="4" t="s">
        <v>753</v>
      </c>
      <c r="E197" s="4" t="s">
        <v>807</v>
      </c>
      <c r="F197" s="4" t="s">
        <v>782</v>
      </c>
      <c r="G197" s="4" t="s">
        <v>783</v>
      </c>
      <c r="H197" s="5" t="s">
        <v>103</v>
      </c>
      <c r="I197" s="5">
        <f t="shared" si="3"/>
        <v>1167</v>
      </c>
    </row>
    <row r="198" spans="1:9" x14ac:dyDescent="0.15">
      <c r="A198" s="4" t="s">
        <v>808</v>
      </c>
      <c r="B198" s="4" t="s">
        <v>809</v>
      </c>
      <c r="C198" s="4" t="s">
        <v>810</v>
      </c>
      <c r="D198" s="4" t="s">
        <v>753</v>
      </c>
      <c r="E198" s="4" t="s">
        <v>811</v>
      </c>
      <c r="F198" s="4" t="s">
        <v>782</v>
      </c>
      <c r="G198" s="4" t="s">
        <v>783</v>
      </c>
      <c r="H198" s="5" t="s">
        <v>103</v>
      </c>
      <c r="I198" s="5">
        <f t="shared" si="3"/>
        <v>1171</v>
      </c>
    </row>
    <row r="199" spans="1:9" x14ac:dyDescent="0.15">
      <c r="A199" s="4" t="s">
        <v>763</v>
      </c>
      <c r="B199" s="4" t="s">
        <v>764</v>
      </c>
      <c r="C199" s="4" t="s">
        <v>812</v>
      </c>
      <c r="D199" s="4" t="s">
        <v>753</v>
      </c>
      <c r="E199" s="4" t="s">
        <v>813</v>
      </c>
      <c r="F199" s="4" t="s">
        <v>130</v>
      </c>
      <c r="G199" s="4" t="s">
        <v>131</v>
      </c>
      <c r="H199" s="5" t="s">
        <v>127</v>
      </c>
      <c r="I199" s="5">
        <f t="shared" si="3"/>
        <v>1177</v>
      </c>
    </row>
    <row r="200" spans="1:9" x14ac:dyDescent="0.15">
      <c r="A200" s="4" t="s">
        <v>814</v>
      </c>
      <c r="B200" s="4" t="s">
        <v>815</v>
      </c>
      <c r="C200" s="4" t="s">
        <v>816</v>
      </c>
      <c r="D200" s="4" t="s">
        <v>753</v>
      </c>
      <c r="E200" s="4" t="s">
        <v>817</v>
      </c>
      <c r="F200" s="4" t="s">
        <v>782</v>
      </c>
      <c r="G200" s="4" t="s">
        <v>783</v>
      </c>
      <c r="H200" s="5" t="s">
        <v>103</v>
      </c>
      <c r="I200" s="5">
        <f t="shared" si="3"/>
        <v>1181</v>
      </c>
    </row>
    <row r="201" spans="1:9" x14ac:dyDescent="0.15">
      <c r="A201" s="4" t="s">
        <v>818</v>
      </c>
      <c r="B201" s="4" t="s">
        <v>819</v>
      </c>
      <c r="C201" s="4" t="s">
        <v>820</v>
      </c>
      <c r="D201" s="4" t="s">
        <v>821</v>
      </c>
      <c r="E201" s="4" t="s">
        <v>817</v>
      </c>
      <c r="F201" s="4" t="s">
        <v>822</v>
      </c>
      <c r="G201" s="4" t="s">
        <v>823</v>
      </c>
      <c r="H201" s="5" t="s">
        <v>157</v>
      </c>
      <c r="I201" s="5">
        <f t="shared" si="3"/>
        <v>1188</v>
      </c>
    </row>
    <row r="202" spans="1:9" x14ac:dyDescent="0.15">
      <c r="A202" s="4" t="s">
        <v>824</v>
      </c>
      <c r="B202" s="4" t="s">
        <v>825</v>
      </c>
      <c r="C202" s="4" t="s">
        <v>826</v>
      </c>
      <c r="D202" s="4" t="s">
        <v>821</v>
      </c>
      <c r="E202" s="4" t="s">
        <v>827</v>
      </c>
      <c r="F202" s="4" t="s">
        <v>822</v>
      </c>
      <c r="G202" s="4" t="s">
        <v>823</v>
      </c>
      <c r="H202" s="5" t="s">
        <v>172</v>
      </c>
      <c r="I202" s="5">
        <f t="shared" si="3"/>
        <v>1196</v>
      </c>
    </row>
    <row r="203" spans="1:9" x14ac:dyDescent="0.15">
      <c r="A203" s="4" t="s">
        <v>822</v>
      </c>
      <c r="B203" s="4" t="s">
        <v>823</v>
      </c>
      <c r="C203" s="4" t="s">
        <v>828</v>
      </c>
      <c r="D203" s="4" t="s">
        <v>821</v>
      </c>
      <c r="E203" s="4" t="s">
        <v>829</v>
      </c>
      <c r="F203" s="4" t="s">
        <v>264</v>
      </c>
      <c r="G203" s="4" t="s">
        <v>265</v>
      </c>
      <c r="H203" s="5" t="s">
        <v>16</v>
      </c>
      <c r="I203" s="5">
        <f t="shared" si="3"/>
        <v>1201</v>
      </c>
    </row>
    <row r="204" spans="1:9" x14ac:dyDescent="0.15">
      <c r="A204" s="4" t="s">
        <v>830</v>
      </c>
      <c r="B204" s="4" t="s">
        <v>831</v>
      </c>
      <c r="C204" s="4" t="s">
        <v>832</v>
      </c>
      <c r="D204" s="4" t="s">
        <v>821</v>
      </c>
      <c r="E204" s="4" t="s">
        <v>817</v>
      </c>
      <c r="F204" s="4" t="s">
        <v>822</v>
      </c>
      <c r="G204" s="4" t="s">
        <v>823</v>
      </c>
      <c r="H204" s="5" t="s">
        <v>127</v>
      </c>
      <c r="I204" s="5">
        <f t="shared" si="3"/>
        <v>1207</v>
      </c>
    </row>
    <row r="205" spans="1:9" x14ac:dyDescent="0.15">
      <c r="A205" s="4" t="s">
        <v>833</v>
      </c>
      <c r="B205" s="4" t="s">
        <v>834</v>
      </c>
      <c r="C205" s="4" t="s">
        <v>835</v>
      </c>
      <c r="D205" s="4" t="s">
        <v>836</v>
      </c>
      <c r="E205" s="4" t="s">
        <v>837</v>
      </c>
      <c r="F205" s="4" t="s">
        <v>838</v>
      </c>
      <c r="G205" s="4" t="s">
        <v>839</v>
      </c>
      <c r="H205" s="5" t="s">
        <v>168</v>
      </c>
      <c r="I205" s="5">
        <f t="shared" si="3"/>
        <v>1216</v>
      </c>
    </row>
    <row r="206" spans="1:9" x14ac:dyDescent="0.15">
      <c r="A206" s="4" t="s">
        <v>840</v>
      </c>
      <c r="B206" s="4" t="s">
        <v>841</v>
      </c>
      <c r="C206" s="4" t="s">
        <v>842</v>
      </c>
      <c r="D206" s="4" t="s">
        <v>836</v>
      </c>
      <c r="E206" s="4" t="s">
        <v>843</v>
      </c>
      <c r="F206" s="4" t="s">
        <v>838</v>
      </c>
      <c r="G206" s="4" t="s">
        <v>839</v>
      </c>
      <c r="H206" s="5" t="s">
        <v>168</v>
      </c>
      <c r="I206" s="5">
        <f t="shared" si="3"/>
        <v>1225</v>
      </c>
    </row>
    <row r="207" spans="1:9" x14ac:dyDescent="0.15">
      <c r="A207" s="4" t="s">
        <v>844</v>
      </c>
      <c r="B207" s="4" t="s">
        <v>845</v>
      </c>
      <c r="C207" s="4" t="s">
        <v>846</v>
      </c>
      <c r="D207" s="4" t="s">
        <v>836</v>
      </c>
      <c r="E207" s="4" t="s">
        <v>837</v>
      </c>
      <c r="F207" s="4" t="s">
        <v>838</v>
      </c>
      <c r="G207" s="4" t="s">
        <v>839</v>
      </c>
      <c r="H207" s="5" t="s">
        <v>168</v>
      </c>
      <c r="I207" s="5">
        <f t="shared" si="3"/>
        <v>1234</v>
      </c>
    </row>
    <row r="208" spans="1:9" x14ac:dyDescent="0.15">
      <c r="A208" s="4" t="s">
        <v>847</v>
      </c>
      <c r="B208" s="4" t="s">
        <v>848</v>
      </c>
      <c r="C208" s="4" t="s">
        <v>849</v>
      </c>
      <c r="D208" s="4" t="s">
        <v>836</v>
      </c>
      <c r="E208" s="4" t="s">
        <v>850</v>
      </c>
      <c r="F208" s="4" t="s">
        <v>643</v>
      </c>
      <c r="G208" s="4" t="s">
        <v>644</v>
      </c>
      <c r="H208" s="5" t="s">
        <v>168</v>
      </c>
      <c r="I208" s="5">
        <f t="shared" si="3"/>
        <v>1243</v>
      </c>
    </row>
    <row r="209" spans="1:9" x14ac:dyDescent="0.15">
      <c r="A209" s="4" t="s">
        <v>838</v>
      </c>
      <c r="B209" s="4" t="s">
        <v>839</v>
      </c>
      <c r="C209" s="4" t="s">
        <v>851</v>
      </c>
      <c r="D209" s="4" t="s">
        <v>836</v>
      </c>
      <c r="E209" s="4" t="s">
        <v>852</v>
      </c>
      <c r="F209" s="4" t="s">
        <v>847</v>
      </c>
      <c r="G209" s="4" t="s">
        <v>848</v>
      </c>
      <c r="H209" s="5" t="s">
        <v>168</v>
      </c>
      <c r="I209" s="5">
        <f t="shared" si="3"/>
        <v>1252</v>
      </c>
    </row>
    <row r="210" spans="1:9" x14ac:dyDescent="0.15">
      <c r="A210" s="4" t="s">
        <v>853</v>
      </c>
      <c r="B210" s="4" t="s">
        <v>854</v>
      </c>
      <c r="C210" s="4" t="s">
        <v>855</v>
      </c>
      <c r="D210" s="4" t="s">
        <v>856</v>
      </c>
      <c r="E210" s="4" t="s">
        <v>857</v>
      </c>
      <c r="F210" s="4" t="s">
        <v>858</v>
      </c>
      <c r="G210" s="4" t="s">
        <v>859</v>
      </c>
      <c r="H210" s="5" t="s">
        <v>16</v>
      </c>
      <c r="I210" s="5">
        <f>+I209+H210</f>
        <v>1257</v>
      </c>
    </row>
    <row r="211" spans="1:9" x14ac:dyDescent="0.15">
      <c r="A211" s="4" t="s">
        <v>860</v>
      </c>
      <c r="B211" s="4" t="s">
        <v>861</v>
      </c>
      <c r="C211" s="4" t="s">
        <v>862</v>
      </c>
      <c r="D211" s="4" t="s">
        <v>856</v>
      </c>
      <c r="E211" s="4" t="s">
        <v>863</v>
      </c>
      <c r="F211" s="4" t="s">
        <v>858</v>
      </c>
      <c r="G211" s="4" t="s">
        <v>859</v>
      </c>
      <c r="H211" s="5" t="s">
        <v>127</v>
      </c>
      <c r="I211" s="5">
        <f t="shared" ref="I211:I274" si="4">+I210+H211</f>
        <v>1263</v>
      </c>
    </row>
    <row r="212" spans="1:9" x14ac:dyDescent="0.15">
      <c r="A212" s="4" t="s">
        <v>864</v>
      </c>
      <c r="B212" s="4" t="s">
        <v>865</v>
      </c>
      <c r="C212" s="4" t="s">
        <v>866</v>
      </c>
      <c r="D212" s="4" t="s">
        <v>856</v>
      </c>
      <c r="E212" s="4" t="s">
        <v>867</v>
      </c>
      <c r="F212" s="4" t="s">
        <v>858</v>
      </c>
      <c r="G212" s="4" t="s">
        <v>859</v>
      </c>
      <c r="H212" s="5" t="s">
        <v>16</v>
      </c>
      <c r="I212" s="5">
        <f t="shared" si="4"/>
        <v>1268</v>
      </c>
    </row>
    <row r="213" spans="1:9" x14ac:dyDescent="0.15">
      <c r="A213" s="4" t="s">
        <v>868</v>
      </c>
      <c r="B213" s="4" t="s">
        <v>869</v>
      </c>
      <c r="C213" s="4" t="s">
        <v>870</v>
      </c>
      <c r="D213" s="4" t="s">
        <v>856</v>
      </c>
      <c r="E213" s="4" t="s">
        <v>871</v>
      </c>
      <c r="F213" s="4" t="s">
        <v>858</v>
      </c>
      <c r="G213" s="4" t="s">
        <v>859</v>
      </c>
      <c r="H213" s="5" t="s">
        <v>172</v>
      </c>
      <c r="I213" s="5">
        <f t="shared" si="4"/>
        <v>1276</v>
      </c>
    </row>
    <row r="214" spans="1:9" x14ac:dyDescent="0.15">
      <c r="A214" s="4" t="s">
        <v>872</v>
      </c>
      <c r="B214" s="4" t="s">
        <v>873</v>
      </c>
      <c r="C214" s="4" t="s">
        <v>874</v>
      </c>
      <c r="D214" s="4" t="s">
        <v>856</v>
      </c>
      <c r="E214" s="4" t="s">
        <v>875</v>
      </c>
      <c r="F214" s="4" t="s">
        <v>858</v>
      </c>
      <c r="G214" s="4" t="s">
        <v>859</v>
      </c>
      <c r="H214" s="5" t="s">
        <v>127</v>
      </c>
      <c r="I214" s="5">
        <f t="shared" si="4"/>
        <v>1282</v>
      </c>
    </row>
    <row r="215" spans="1:9" x14ac:dyDescent="0.15">
      <c r="A215" s="4" t="s">
        <v>876</v>
      </c>
      <c r="B215" s="4" t="s">
        <v>877</v>
      </c>
      <c r="C215" s="4" t="s">
        <v>878</v>
      </c>
      <c r="D215" s="4" t="s">
        <v>856</v>
      </c>
      <c r="E215" s="4" t="s">
        <v>879</v>
      </c>
      <c r="F215" s="4" t="s">
        <v>858</v>
      </c>
      <c r="G215" s="4" t="s">
        <v>859</v>
      </c>
      <c r="H215" s="5" t="s">
        <v>153</v>
      </c>
      <c r="I215" s="5">
        <f t="shared" si="4"/>
        <v>1282</v>
      </c>
    </row>
    <row r="216" spans="1:9" x14ac:dyDescent="0.15">
      <c r="A216" s="4" t="s">
        <v>880</v>
      </c>
      <c r="B216" s="4" t="s">
        <v>881</v>
      </c>
      <c r="C216" s="4" t="s">
        <v>882</v>
      </c>
      <c r="D216" s="4" t="s">
        <v>856</v>
      </c>
      <c r="E216" s="4" t="s">
        <v>883</v>
      </c>
      <c r="F216" s="4" t="s">
        <v>858</v>
      </c>
      <c r="G216" s="4" t="s">
        <v>859</v>
      </c>
      <c r="H216" s="5" t="s">
        <v>127</v>
      </c>
      <c r="I216" s="5">
        <f t="shared" si="4"/>
        <v>1288</v>
      </c>
    </row>
    <row r="217" spans="1:9" x14ac:dyDescent="0.15">
      <c r="A217" s="4" t="s">
        <v>884</v>
      </c>
      <c r="B217" s="4" t="s">
        <v>885</v>
      </c>
      <c r="C217" s="4" t="s">
        <v>886</v>
      </c>
      <c r="D217" s="4" t="s">
        <v>856</v>
      </c>
      <c r="E217" s="4" t="s">
        <v>887</v>
      </c>
      <c r="F217" s="4" t="s">
        <v>858</v>
      </c>
      <c r="G217" s="4" t="s">
        <v>859</v>
      </c>
      <c r="H217" s="5" t="s">
        <v>127</v>
      </c>
      <c r="I217" s="5">
        <f t="shared" si="4"/>
        <v>1294</v>
      </c>
    </row>
    <row r="218" spans="1:9" x14ac:dyDescent="0.15">
      <c r="A218" s="4" t="s">
        <v>888</v>
      </c>
      <c r="B218" s="4" t="s">
        <v>889</v>
      </c>
      <c r="C218" s="4" t="s">
        <v>890</v>
      </c>
      <c r="D218" s="4" t="s">
        <v>856</v>
      </c>
      <c r="E218" s="4" t="s">
        <v>891</v>
      </c>
      <c r="F218" s="4" t="s">
        <v>101</v>
      </c>
      <c r="G218" s="4" t="s">
        <v>102</v>
      </c>
      <c r="H218" s="5" t="s">
        <v>16</v>
      </c>
      <c r="I218" s="5">
        <f t="shared" si="4"/>
        <v>1299</v>
      </c>
    </row>
    <row r="219" spans="1:9" x14ac:dyDescent="0.15">
      <c r="A219" s="4" t="s">
        <v>858</v>
      </c>
      <c r="B219" s="4" t="s">
        <v>859</v>
      </c>
      <c r="C219" s="4" t="s">
        <v>892</v>
      </c>
      <c r="D219" s="4" t="s">
        <v>856</v>
      </c>
      <c r="E219" s="4" t="s">
        <v>893</v>
      </c>
      <c r="F219" s="4" t="s">
        <v>888</v>
      </c>
      <c r="G219" s="4" t="s">
        <v>889</v>
      </c>
      <c r="H219" s="5" t="s">
        <v>16</v>
      </c>
      <c r="I219" s="5">
        <f t="shared" si="4"/>
        <v>1304</v>
      </c>
    </row>
    <row r="220" spans="1:9" x14ac:dyDescent="0.15">
      <c r="A220" s="4" t="s">
        <v>894</v>
      </c>
      <c r="B220" s="4" t="s">
        <v>895</v>
      </c>
      <c r="C220" s="4" t="s">
        <v>896</v>
      </c>
      <c r="D220" s="4" t="s">
        <v>856</v>
      </c>
      <c r="E220" s="4" t="s">
        <v>897</v>
      </c>
      <c r="F220" s="4" t="s">
        <v>858</v>
      </c>
      <c r="G220" s="4" t="s">
        <v>859</v>
      </c>
      <c r="H220" s="5" t="s">
        <v>127</v>
      </c>
      <c r="I220" s="5">
        <f t="shared" si="4"/>
        <v>1310</v>
      </c>
    </row>
    <row r="221" spans="1:9" x14ac:dyDescent="0.15">
      <c r="A221" s="4" t="s">
        <v>898</v>
      </c>
      <c r="B221" s="4" t="s">
        <v>899</v>
      </c>
      <c r="C221" s="4" t="s">
        <v>900</v>
      </c>
      <c r="D221" s="4" t="s">
        <v>856</v>
      </c>
      <c r="E221" s="4" t="s">
        <v>901</v>
      </c>
      <c r="F221" s="4" t="s">
        <v>858</v>
      </c>
      <c r="G221" s="4" t="s">
        <v>859</v>
      </c>
      <c r="H221" s="5" t="s">
        <v>157</v>
      </c>
      <c r="I221" s="5">
        <f t="shared" si="4"/>
        <v>1317</v>
      </c>
    </row>
    <row r="222" spans="1:9" x14ac:dyDescent="0.15">
      <c r="A222" s="4" t="s">
        <v>902</v>
      </c>
      <c r="B222" s="4" t="s">
        <v>903</v>
      </c>
      <c r="C222" s="4" t="s">
        <v>904</v>
      </c>
      <c r="D222" s="4" t="s">
        <v>905</v>
      </c>
      <c r="E222" s="4" t="s">
        <v>906</v>
      </c>
      <c r="F222" s="4" t="s">
        <v>907</v>
      </c>
      <c r="G222" s="4" t="s">
        <v>908</v>
      </c>
      <c r="H222" s="5" t="s">
        <v>127</v>
      </c>
      <c r="I222" s="5">
        <f t="shared" si="4"/>
        <v>1323</v>
      </c>
    </row>
    <row r="223" spans="1:9" x14ac:dyDescent="0.15">
      <c r="A223" s="4" t="s">
        <v>909</v>
      </c>
      <c r="B223" s="4" t="s">
        <v>910</v>
      </c>
      <c r="C223" s="4" t="s">
        <v>911</v>
      </c>
      <c r="D223" s="4" t="s">
        <v>905</v>
      </c>
      <c r="E223" s="4" t="s">
        <v>912</v>
      </c>
      <c r="F223" s="4" t="s">
        <v>907</v>
      </c>
      <c r="G223" s="4" t="s">
        <v>908</v>
      </c>
      <c r="H223" s="5" t="s">
        <v>127</v>
      </c>
      <c r="I223" s="5">
        <f t="shared" si="4"/>
        <v>1329</v>
      </c>
    </row>
    <row r="224" spans="1:9" x14ac:dyDescent="0.15">
      <c r="A224" s="4" t="s">
        <v>913</v>
      </c>
      <c r="B224" s="4" t="s">
        <v>914</v>
      </c>
      <c r="C224" s="4" t="s">
        <v>915</v>
      </c>
      <c r="D224" s="4" t="s">
        <v>905</v>
      </c>
      <c r="E224" s="4" t="s">
        <v>916</v>
      </c>
      <c r="F224" s="4" t="s">
        <v>907</v>
      </c>
      <c r="G224" s="4" t="s">
        <v>908</v>
      </c>
      <c r="H224" s="5" t="s">
        <v>127</v>
      </c>
      <c r="I224" s="5">
        <f t="shared" si="4"/>
        <v>1335</v>
      </c>
    </row>
    <row r="225" spans="1:9" x14ac:dyDescent="0.15">
      <c r="A225" s="4" t="s">
        <v>917</v>
      </c>
      <c r="B225" s="4" t="s">
        <v>918</v>
      </c>
      <c r="C225" s="4" t="s">
        <v>919</v>
      </c>
      <c r="D225" s="4" t="s">
        <v>905</v>
      </c>
      <c r="E225" s="4" t="s">
        <v>920</v>
      </c>
      <c r="F225" s="4" t="s">
        <v>907</v>
      </c>
      <c r="G225" s="4" t="s">
        <v>908</v>
      </c>
      <c r="H225" s="5" t="s">
        <v>127</v>
      </c>
      <c r="I225" s="5">
        <f t="shared" si="4"/>
        <v>1341</v>
      </c>
    </row>
    <row r="226" spans="1:9" x14ac:dyDescent="0.15">
      <c r="A226" s="4" t="s">
        <v>907</v>
      </c>
      <c r="B226" s="4" t="s">
        <v>908</v>
      </c>
      <c r="C226" s="4" t="s">
        <v>921</v>
      </c>
      <c r="D226" s="4" t="s">
        <v>905</v>
      </c>
      <c r="E226" s="4" t="s">
        <v>922</v>
      </c>
      <c r="F226" s="4" t="s">
        <v>923</v>
      </c>
      <c r="G226" s="4" t="s">
        <v>924</v>
      </c>
      <c r="H226" s="5" t="s">
        <v>127</v>
      </c>
      <c r="I226" s="5">
        <f t="shared" si="4"/>
        <v>1347</v>
      </c>
    </row>
    <row r="227" spans="1:9" x14ac:dyDescent="0.15">
      <c r="A227" s="4" t="s">
        <v>925</v>
      </c>
      <c r="B227" s="4" t="s">
        <v>926</v>
      </c>
      <c r="C227" s="4" t="s">
        <v>927</v>
      </c>
      <c r="D227" s="4" t="s">
        <v>905</v>
      </c>
      <c r="E227" s="4" t="s">
        <v>920</v>
      </c>
      <c r="F227" s="4" t="s">
        <v>907</v>
      </c>
      <c r="G227" s="4" t="s">
        <v>908</v>
      </c>
      <c r="H227" s="5" t="s">
        <v>127</v>
      </c>
      <c r="I227" s="5">
        <f t="shared" si="4"/>
        <v>1353</v>
      </c>
    </row>
    <row r="228" spans="1:9" x14ac:dyDescent="0.15">
      <c r="A228" s="4" t="s">
        <v>928</v>
      </c>
      <c r="B228" s="4" t="s">
        <v>929</v>
      </c>
      <c r="C228" s="4" t="s">
        <v>930</v>
      </c>
      <c r="D228" s="4" t="s">
        <v>905</v>
      </c>
      <c r="E228" s="4" t="s">
        <v>931</v>
      </c>
      <c r="F228" s="4" t="s">
        <v>907</v>
      </c>
      <c r="G228" s="4" t="s">
        <v>908</v>
      </c>
      <c r="H228" s="5" t="s">
        <v>127</v>
      </c>
      <c r="I228" s="5">
        <f t="shared" si="4"/>
        <v>1359</v>
      </c>
    </row>
    <row r="229" spans="1:9" x14ac:dyDescent="0.15">
      <c r="A229" s="4" t="s">
        <v>923</v>
      </c>
      <c r="B229" s="4" t="s">
        <v>924</v>
      </c>
      <c r="C229" s="4" t="s">
        <v>932</v>
      </c>
      <c r="D229" s="4" t="s">
        <v>905</v>
      </c>
      <c r="E229" s="4" t="s">
        <v>933</v>
      </c>
      <c r="F229" s="4" t="s">
        <v>722</v>
      </c>
      <c r="G229" s="4" t="s">
        <v>723</v>
      </c>
      <c r="H229" s="5" t="s">
        <v>127</v>
      </c>
      <c r="I229" s="5">
        <f t="shared" si="4"/>
        <v>1365</v>
      </c>
    </row>
    <row r="230" spans="1:9" x14ac:dyDescent="0.15">
      <c r="A230" s="4" t="s">
        <v>934</v>
      </c>
      <c r="B230" s="4" t="s">
        <v>935</v>
      </c>
      <c r="C230" s="4" t="s">
        <v>936</v>
      </c>
      <c r="D230" s="4" t="s">
        <v>937</v>
      </c>
      <c r="E230" s="4" t="s">
        <v>938</v>
      </c>
      <c r="F230" s="4" t="s">
        <v>939</v>
      </c>
      <c r="G230" s="4" t="s">
        <v>940</v>
      </c>
      <c r="H230" s="5" t="s">
        <v>157</v>
      </c>
      <c r="I230" s="5">
        <f t="shared" si="4"/>
        <v>1372</v>
      </c>
    </row>
    <row r="231" spans="1:9" x14ac:dyDescent="0.15">
      <c r="A231" s="4" t="s">
        <v>941</v>
      </c>
      <c r="B231" s="4" t="s">
        <v>942</v>
      </c>
      <c r="C231" s="4" t="s">
        <v>943</v>
      </c>
      <c r="D231" s="4" t="s">
        <v>937</v>
      </c>
      <c r="E231" s="4" t="s">
        <v>944</v>
      </c>
      <c r="F231" s="4" t="s">
        <v>939</v>
      </c>
      <c r="G231" s="4" t="s">
        <v>940</v>
      </c>
      <c r="H231" s="5" t="s">
        <v>127</v>
      </c>
      <c r="I231" s="5">
        <f t="shared" si="4"/>
        <v>1378</v>
      </c>
    </row>
    <row r="232" spans="1:9" x14ac:dyDescent="0.15">
      <c r="A232" s="4" t="s">
        <v>945</v>
      </c>
      <c r="B232" s="4" t="s">
        <v>946</v>
      </c>
      <c r="C232" s="4" t="s">
        <v>947</v>
      </c>
      <c r="D232" s="4" t="s">
        <v>937</v>
      </c>
      <c r="E232" s="4" t="s">
        <v>948</v>
      </c>
      <c r="F232" s="4" t="s">
        <v>939</v>
      </c>
      <c r="G232" s="4" t="s">
        <v>940</v>
      </c>
      <c r="H232" s="5" t="s">
        <v>127</v>
      </c>
      <c r="I232" s="5">
        <f t="shared" si="4"/>
        <v>1384</v>
      </c>
    </row>
    <row r="233" spans="1:9" x14ac:dyDescent="0.15">
      <c r="A233" s="4" t="s">
        <v>939</v>
      </c>
      <c r="B233" s="4" t="s">
        <v>940</v>
      </c>
      <c r="C233" s="4" t="s">
        <v>949</v>
      </c>
      <c r="D233" s="4" t="s">
        <v>937</v>
      </c>
      <c r="E233" s="4" t="s">
        <v>950</v>
      </c>
      <c r="F233" s="4" t="s">
        <v>951</v>
      </c>
      <c r="G233" s="4" t="s">
        <v>952</v>
      </c>
      <c r="H233" s="5" t="s">
        <v>16</v>
      </c>
      <c r="I233" s="5">
        <f t="shared" si="4"/>
        <v>1389</v>
      </c>
    </row>
    <row r="234" spans="1:9" x14ac:dyDescent="0.15">
      <c r="A234" s="4" t="s">
        <v>953</v>
      </c>
      <c r="B234" s="4" t="s">
        <v>954</v>
      </c>
      <c r="C234" s="4" t="s">
        <v>955</v>
      </c>
      <c r="D234" s="4" t="s">
        <v>937</v>
      </c>
      <c r="E234" s="4" t="s">
        <v>948</v>
      </c>
      <c r="F234" s="4" t="s">
        <v>939</v>
      </c>
      <c r="G234" s="4" t="s">
        <v>940</v>
      </c>
      <c r="H234" s="5" t="s">
        <v>127</v>
      </c>
      <c r="I234" s="5">
        <f t="shared" si="4"/>
        <v>1395</v>
      </c>
    </row>
    <row r="235" spans="1:9" x14ac:dyDescent="0.15">
      <c r="A235" s="4" t="s">
        <v>951</v>
      </c>
      <c r="B235" s="4" t="s">
        <v>952</v>
      </c>
      <c r="C235" s="4" t="s">
        <v>956</v>
      </c>
      <c r="D235" s="4" t="s">
        <v>937</v>
      </c>
      <c r="E235" s="4" t="s">
        <v>957</v>
      </c>
      <c r="F235" s="4" t="s">
        <v>101</v>
      </c>
      <c r="G235" s="4" t="s">
        <v>102</v>
      </c>
      <c r="H235" s="5" t="s">
        <v>16</v>
      </c>
      <c r="I235" s="5">
        <f t="shared" si="4"/>
        <v>1400</v>
      </c>
    </row>
    <row r="236" spans="1:9" x14ac:dyDescent="0.15">
      <c r="A236" s="4" t="s">
        <v>958</v>
      </c>
      <c r="B236" s="4" t="s">
        <v>959</v>
      </c>
      <c r="C236" s="4" t="s">
        <v>960</v>
      </c>
      <c r="D236" s="4" t="s">
        <v>937</v>
      </c>
      <c r="E236" s="4" t="s">
        <v>961</v>
      </c>
      <c r="F236" s="4" t="s">
        <v>939</v>
      </c>
      <c r="G236" s="4" t="s">
        <v>940</v>
      </c>
      <c r="H236" s="5" t="s">
        <v>127</v>
      </c>
      <c r="I236" s="5">
        <f t="shared" si="4"/>
        <v>1406</v>
      </c>
    </row>
    <row r="237" spans="1:9" x14ac:dyDescent="0.15">
      <c r="A237" s="4" t="s">
        <v>962</v>
      </c>
      <c r="B237" s="4" t="s">
        <v>963</v>
      </c>
      <c r="C237" s="4" t="s">
        <v>964</v>
      </c>
      <c r="D237" s="4" t="s">
        <v>965</v>
      </c>
      <c r="E237" s="4" t="s">
        <v>966</v>
      </c>
      <c r="F237" s="4" t="s">
        <v>967</v>
      </c>
      <c r="G237" s="4" t="s">
        <v>968</v>
      </c>
      <c r="H237" s="5" t="s">
        <v>103</v>
      </c>
      <c r="I237" s="5">
        <f t="shared" si="4"/>
        <v>1410</v>
      </c>
    </row>
    <row r="238" spans="1:9" x14ac:dyDescent="0.15">
      <c r="A238" s="4" t="s">
        <v>969</v>
      </c>
      <c r="B238" s="4" t="s">
        <v>970</v>
      </c>
      <c r="C238" s="4" t="s">
        <v>971</v>
      </c>
      <c r="D238" s="4" t="s">
        <v>965</v>
      </c>
      <c r="E238" s="4" t="s">
        <v>972</v>
      </c>
      <c r="F238" s="4" t="s">
        <v>973</v>
      </c>
      <c r="G238" s="4" t="s">
        <v>974</v>
      </c>
      <c r="H238" s="5" t="s">
        <v>157</v>
      </c>
      <c r="I238" s="5">
        <f t="shared" si="4"/>
        <v>1417</v>
      </c>
    </row>
    <row r="239" spans="1:9" x14ac:dyDescent="0.15">
      <c r="A239" s="4" t="s">
        <v>973</v>
      </c>
      <c r="B239" s="4" t="s">
        <v>974</v>
      </c>
      <c r="C239" s="4" t="s">
        <v>975</v>
      </c>
      <c r="D239" s="4" t="s">
        <v>965</v>
      </c>
      <c r="E239" s="4" t="s">
        <v>976</v>
      </c>
      <c r="F239" s="4" t="s">
        <v>977</v>
      </c>
      <c r="G239" s="4" t="s">
        <v>978</v>
      </c>
      <c r="H239" s="5" t="s">
        <v>103</v>
      </c>
      <c r="I239" s="5">
        <f t="shared" si="4"/>
        <v>1421</v>
      </c>
    </row>
    <row r="240" spans="1:9" x14ac:dyDescent="0.15">
      <c r="A240" s="4" t="s">
        <v>979</v>
      </c>
      <c r="B240" s="4" t="s">
        <v>980</v>
      </c>
      <c r="C240" s="4" t="s">
        <v>981</v>
      </c>
      <c r="D240" s="4" t="s">
        <v>965</v>
      </c>
      <c r="E240" s="4" t="s">
        <v>982</v>
      </c>
      <c r="F240" s="4" t="s">
        <v>973</v>
      </c>
      <c r="G240" s="4" t="s">
        <v>974</v>
      </c>
      <c r="H240" s="5" t="s">
        <v>127</v>
      </c>
      <c r="I240" s="5">
        <f t="shared" si="4"/>
        <v>1427</v>
      </c>
    </row>
    <row r="241" spans="1:9" x14ac:dyDescent="0.15">
      <c r="A241" s="4" t="s">
        <v>967</v>
      </c>
      <c r="B241" s="4" t="s">
        <v>968</v>
      </c>
      <c r="C241" s="4" t="s">
        <v>983</v>
      </c>
      <c r="D241" s="4" t="s">
        <v>965</v>
      </c>
      <c r="E241" s="4" t="s">
        <v>984</v>
      </c>
      <c r="F241" s="4" t="s">
        <v>977</v>
      </c>
      <c r="G241" s="4" t="s">
        <v>978</v>
      </c>
      <c r="H241" s="5" t="s">
        <v>157</v>
      </c>
      <c r="I241" s="5">
        <f t="shared" si="4"/>
        <v>1434</v>
      </c>
    </row>
    <row r="242" spans="1:9" x14ac:dyDescent="0.15">
      <c r="A242" s="4" t="s">
        <v>985</v>
      </c>
      <c r="B242" s="4" t="s">
        <v>986</v>
      </c>
      <c r="C242" s="4" t="s">
        <v>987</v>
      </c>
      <c r="D242" s="4" t="s">
        <v>965</v>
      </c>
      <c r="E242" s="4" t="s">
        <v>988</v>
      </c>
      <c r="F242" s="4" t="s">
        <v>967</v>
      </c>
      <c r="G242" s="4" t="s">
        <v>968</v>
      </c>
      <c r="H242" s="5" t="s">
        <v>103</v>
      </c>
      <c r="I242" s="5">
        <f t="shared" si="4"/>
        <v>1438</v>
      </c>
    </row>
    <row r="243" spans="1:9" x14ac:dyDescent="0.15">
      <c r="A243" s="4" t="s">
        <v>977</v>
      </c>
      <c r="B243" s="4" t="s">
        <v>978</v>
      </c>
      <c r="C243" s="4" t="s">
        <v>989</v>
      </c>
      <c r="D243" s="4" t="s">
        <v>965</v>
      </c>
      <c r="E243" s="4" t="s">
        <v>990</v>
      </c>
      <c r="F243" s="4" t="s">
        <v>643</v>
      </c>
      <c r="G243" s="4" t="s">
        <v>644</v>
      </c>
      <c r="H243" s="5" t="s">
        <v>127</v>
      </c>
      <c r="I243" s="5">
        <f t="shared" si="4"/>
        <v>1444</v>
      </c>
    </row>
    <row r="244" spans="1:9" x14ac:dyDescent="0.15">
      <c r="A244" s="4" t="s">
        <v>991</v>
      </c>
      <c r="B244" s="4" t="s">
        <v>992</v>
      </c>
      <c r="C244" s="4" t="s">
        <v>993</v>
      </c>
      <c r="D244" s="4" t="s">
        <v>965</v>
      </c>
      <c r="E244" s="4" t="s">
        <v>994</v>
      </c>
      <c r="F244" s="4" t="s">
        <v>967</v>
      </c>
      <c r="G244" s="4" t="s">
        <v>968</v>
      </c>
      <c r="H244" s="5" t="s">
        <v>326</v>
      </c>
      <c r="I244" s="5">
        <f t="shared" si="4"/>
        <v>1447</v>
      </c>
    </row>
    <row r="245" spans="1:9" x14ac:dyDescent="0.15">
      <c r="A245" s="4" t="s">
        <v>995</v>
      </c>
      <c r="B245" s="4" t="s">
        <v>996</v>
      </c>
      <c r="C245" s="4" t="s">
        <v>997</v>
      </c>
      <c r="D245" s="4" t="s">
        <v>998</v>
      </c>
      <c r="E245" s="4" t="s">
        <v>999</v>
      </c>
      <c r="F245" s="4" t="s">
        <v>186</v>
      </c>
      <c r="G245" s="4" t="s">
        <v>187</v>
      </c>
      <c r="H245" s="5" t="s">
        <v>127</v>
      </c>
      <c r="I245" s="5">
        <f t="shared" si="4"/>
        <v>1453</v>
      </c>
    </row>
    <row r="246" spans="1:9" x14ac:dyDescent="0.15">
      <c r="A246" s="4" t="s">
        <v>1000</v>
      </c>
      <c r="B246" s="4" t="s">
        <v>1001</v>
      </c>
      <c r="C246" s="4" t="s">
        <v>1002</v>
      </c>
      <c r="D246" s="4" t="s">
        <v>998</v>
      </c>
      <c r="E246" s="4" t="s">
        <v>1003</v>
      </c>
      <c r="F246" s="4" t="s">
        <v>995</v>
      </c>
      <c r="G246" s="4" t="s">
        <v>996</v>
      </c>
      <c r="H246" s="5" t="s">
        <v>127</v>
      </c>
      <c r="I246" s="5">
        <f t="shared" si="4"/>
        <v>1459</v>
      </c>
    </row>
    <row r="247" spans="1:9" x14ac:dyDescent="0.15">
      <c r="A247" s="4" t="s">
        <v>1004</v>
      </c>
      <c r="B247" s="4" t="s">
        <v>1005</v>
      </c>
      <c r="C247" s="4" t="s">
        <v>1006</v>
      </c>
      <c r="D247" s="4" t="s">
        <v>1007</v>
      </c>
      <c r="E247" s="4" t="s">
        <v>1008</v>
      </c>
      <c r="F247" s="4" t="s">
        <v>1009</v>
      </c>
      <c r="G247" s="4" t="s">
        <v>1010</v>
      </c>
      <c r="H247" s="5" t="s">
        <v>157</v>
      </c>
      <c r="I247" s="5">
        <f t="shared" si="4"/>
        <v>1466</v>
      </c>
    </row>
    <row r="248" spans="1:9" x14ac:dyDescent="0.15">
      <c r="A248" s="4" t="s">
        <v>1011</v>
      </c>
      <c r="B248" s="4" t="s">
        <v>1012</v>
      </c>
      <c r="C248" s="4" t="s">
        <v>1013</v>
      </c>
      <c r="D248" s="4" t="s">
        <v>1007</v>
      </c>
      <c r="E248" s="4" t="s">
        <v>1014</v>
      </c>
      <c r="F248" s="4" t="s">
        <v>1015</v>
      </c>
      <c r="G248" s="4" t="s">
        <v>1016</v>
      </c>
      <c r="H248" s="5" t="s">
        <v>127</v>
      </c>
      <c r="I248" s="5">
        <f t="shared" si="4"/>
        <v>1472</v>
      </c>
    </row>
    <row r="249" spans="1:9" x14ac:dyDescent="0.15">
      <c r="A249" s="4" t="s">
        <v>1015</v>
      </c>
      <c r="B249" s="4" t="s">
        <v>1016</v>
      </c>
      <c r="C249" s="4" t="s">
        <v>1017</v>
      </c>
      <c r="D249" s="4" t="s">
        <v>1007</v>
      </c>
      <c r="E249" s="4" t="s">
        <v>1018</v>
      </c>
      <c r="F249" s="4" t="s">
        <v>1019</v>
      </c>
      <c r="G249" s="4" t="s">
        <v>1020</v>
      </c>
      <c r="H249" s="5" t="s">
        <v>127</v>
      </c>
      <c r="I249" s="5">
        <f t="shared" si="4"/>
        <v>1478</v>
      </c>
    </row>
    <row r="250" spans="1:9" x14ac:dyDescent="0.15">
      <c r="A250" s="4" t="s">
        <v>1021</v>
      </c>
      <c r="B250" s="4" t="s">
        <v>1022</v>
      </c>
      <c r="C250" s="4" t="s">
        <v>1023</v>
      </c>
      <c r="D250" s="4" t="s">
        <v>1007</v>
      </c>
      <c r="E250" s="4" t="s">
        <v>1024</v>
      </c>
      <c r="F250" s="4" t="s">
        <v>456</v>
      </c>
      <c r="G250" s="4" t="s">
        <v>457</v>
      </c>
      <c r="H250" s="5" t="s">
        <v>16</v>
      </c>
      <c r="I250" s="5">
        <f t="shared" si="4"/>
        <v>1483</v>
      </c>
    </row>
    <row r="251" spans="1:9" x14ac:dyDescent="0.15">
      <c r="A251" s="4" t="s">
        <v>1025</v>
      </c>
      <c r="B251" s="4" t="s">
        <v>1026</v>
      </c>
      <c r="C251" s="4" t="s">
        <v>1027</v>
      </c>
      <c r="D251" s="4" t="s">
        <v>1007</v>
      </c>
      <c r="E251" s="4" t="s">
        <v>1028</v>
      </c>
      <c r="F251" s="4" t="s">
        <v>1009</v>
      </c>
      <c r="G251" s="4" t="s">
        <v>1010</v>
      </c>
      <c r="H251" s="5" t="s">
        <v>157</v>
      </c>
      <c r="I251" s="5">
        <f t="shared" si="4"/>
        <v>1490</v>
      </c>
    </row>
    <row r="252" spans="1:9" x14ac:dyDescent="0.15">
      <c r="A252" s="4" t="s">
        <v>1009</v>
      </c>
      <c r="B252" s="4" t="s">
        <v>1010</v>
      </c>
      <c r="C252" s="4" t="s">
        <v>1029</v>
      </c>
      <c r="D252" s="4" t="s">
        <v>1007</v>
      </c>
      <c r="E252" s="4" t="s">
        <v>1030</v>
      </c>
      <c r="F252" s="4" t="s">
        <v>1019</v>
      </c>
      <c r="G252" s="4" t="s">
        <v>1020</v>
      </c>
      <c r="H252" s="5" t="s">
        <v>127</v>
      </c>
      <c r="I252" s="5">
        <f t="shared" si="4"/>
        <v>1496</v>
      </c>
    </row>
    <row r="253" spans="1:9" x14ac:dyDescent="0.15">
      <c r="A253" s="4" t="s">
        <v>1031</v>
      </c>
      <c r="B253" s="4" t="s">
        <v>1032</v>
      </c>
      <c r="C253" s="4" t="s">
        <v>1033</v>
      </c>
      <c r="D253" s="4" t="s">
        <v>1007</v>
      </c>
      <c r="E253" s="4" t="s">
        <v>1034</v>
      </c>
      <c r="F253" s="4" t="s">
        <v>1015</v>
      </c>
      <c r="G253" s="4" t="s">
        <v>1016</v>
      </c>
      <c r="H253" s="5" t="s">
        <v>127</v>
      </c>
      <c r="I253" s="5">
        <f t="shared" si="4"/>
        <v>1502</v>
      </c>
    </row>
    <row r="254" spans="1:9" x14ac:dyDescent="0.15">
      <c r="A254" s="4" t="s">
        <v>1019</v>
      </c>
      <c r="B254" s="4" t="s">
        <v>1020</v>
      </c>
      <c r="C254" s="4" t="s">
        <v>1035</v>
      </c>
      <c r="D254" s="4" t="s">
        <v>1007</v>
      </c>
      <c r="E254" s="4" t="s">
        <v>1036</v>
      </c>
      <c r="F254" s="4" t="s">
        <v>119</v>
      </c>
      <c r="G254" s="4" t="s">
        <v>120</v>
      </c>
      <c r="H254" s="5" t="s">
        <v>127</v>
      </c>
      <c r="I254" s="5">
        <f t="shared" si="4"/>
        <v>1508</v>
      </c>
    </row>
    <row r="255" spans="1:9" x14ac:dyDescent="0.15">
      <c r="A255" s="4" t="s">
        <v>1037</v>
      </c>
      <c r="B255" s="4" t="s">
        <v>1038</v>
      </c>
      <c r="C255" s="4" t="s">
        <v>1039</v>
      </c>
      <c r="D255" s="4" t="s">
        <v>1040</v>
      </c>
      <c r="E255" s="4" t="s">
        <v>1041</v>
      </c>
      <c r="F255" s="4" t="s">
        <v>1042</v>
      </c>
      <c r="G255" s="4" t="s">
        <v>1043</v>
      </c>
      <c r="H255" s="5" t="s">
        <v>172</v>
      </c>
      <c r="I255" s="5">
        <f t="shared" si="4"/>
        <v>1516</v>
      </c>
    </row>
    <row r="256" spans="1:9" x14ac:dyDescent="0.15">
      <c r="A256" s="4" t="s">
        <v>1044</v>
      </c>
      <c r="B256" s="4" t="s">
        <v>1045</v>
      </c>
      <c r="C256" s="4" t="s">
        <v>1046</v>
      </c>
      <c r="D256" s="4" t="s">
        <v>1040</v>
      </c>
      <c r="E256" s="4" t="s">
        <v>1047</v>
      </c>
      <c r="F256" s="4" t="s">
        <v>1042</v>
      </c>
      <c r="G256" s="4" t="s">
        <v>1043</v>
      </c>
      <c r="H256" s="5" t="s">
        <v>172</v>
      </c>
      <c r="I256" s="5">
        <f t="shared" si="4"/>
        <v>1524</v>
      </c>
    </row>
    <row r="257" spans="1:9" x14ac:dyDescent="0.15">
      <c r="A257" s="4" t="s">
        <v>1048</v>
      </c>
      <c r="B257" s="4" t="s">
        <v>1049</v>
      </c>
      <c r="C257" s="4" t="s">
        <v>1050</v>
      </c>
      <c r="D257" s="4" t="s">
        <v>1040</v>
      </c>
      <c r="E257" s="4" t="s">
        <v>1047</v>
      </c>
      <c r="F257" s="4" t="s">
        <v>1042</v>
      </c>
      <c r="G257" s="4" t="s">
        <v>1043</v>
      </c>
      <c r="H257" s="5" t="s">
        <v>157</v>
      </c>
      <c r="I257" s="5">
        <f t="shared" si="4"/>
        <v>1531</v>
      </c>
    </row>
    <row r="258" spans="1:9" x14ac:dyDescent="0.15">
      <c r="A258" s="4" t="s">
        <v>1042</v>
      </c>
      <c r="B258" s="4" t="s">
        <v>1043</v>
      </c>
      <c r="C258" s="4" t="s">
        <v>1051</v>
      </c>
      <c r="D258" s="4" t="s">
        <v>1040</v>
      </c>
      <c r="E258" s="4" t="s">
        <v>1052</v>
      </c>
      <c r="F258" s="4" t="s">
        <v>186</v>
      </c>
      <c r="G258" s="4" t="s">
        <v>187</v>
      </c>
      <c r="H258" s="5" t="s">
        <v>157</v>
      </c>
      <c r="I258" s="5">
        <f t="shared" si="4"/>
        <v>1538</v>
      </c>
    </row>
    <row r="259" spans="1:9" x14ac:dyDescent="0.15">
      <c r="A259" s="4" t="s">
        <v>1053</v>
      </c>
      <c r="B259" s="4" t="s">
        <v>1054</v>
      </c>
      <c r="C259" s="4" t="s">
        <v>1055</v>
      </c>
      <c r="D259" s="4" t="s">
        <v>1056</v>
      </c>
      <c r="E259" s="4" t="s">
        <v>1057</v>
      </c>
      <c r="F259" s="4" t="s">
        <v>1058</v>
      </c>
      <c r="G259" s="4" t="s">
        <v>1059</v>
      </c>
      <c r="H259" s="5" t="s">
        <v>326</v>
      </c>
      <c r="I259" s="5">
        <f t="shared" si="4"/>
        <v>1541</v>
      </c>
    </row>
    <row r="260" spans="1:9" x14ac:dyDescent="0.15">
      <c r="A260" s="4" t="s">
        <v>1060</v>
      </c>
      <c r="B260" s="4" t="s">
        <v>1061</v>
      </c>
      <c r="C260" s="4" t="s">
        <v>1062</v>
      </c>
      <c r="D260" s="4" t="s">
        <v>1056</v>
      </c>
      <c r="E260" s="4" t="s">
        <v>1057</v>
      </c>
      <c r="F260" s="4" t="s">
        <v>1058</v>
      </c>
      <c r="G260" s="4" t="s">
        <v>1059</v>
      </c>
      <c r="H260" s="5" t="s">
        <v>326</v>
      </c>
      <c r="I260" s="5">
        <f t="shared" si="4"/>
        <v>1544</v>
      </c>
    </row>
    <row r="261" spans="1:9" x14ac:dyDescent="0.15">
      <c r="A261" s="4" t="s">
        <v>1063</v>
      </c>
      <c r="B261" s="4" t="s">
        <v>1064</v>
      </c>
      <c r="C261" s="4" t="s">
        <v>1065</v>
      </c>
      <c r="D261" s="4" t="s">
        <v>1056</v>
      </c>
      <c r="E261" s="4" t="s">
        <v>1066</v>
      </c>
      <c r="F261" s="4" t="s">
        <v>1058</v>
      </c>
      <c r="G261" s="4" t="s">
        <v>1059</v>
      </c>
      <c r="H261" s="5" t="s">
        <v>326</v>
      </c>
      <c r="I261" s="5">
        <f t="shared" si="4"/>
        <v>1547</v>
      </c>
    </row>
    <row r="262" spans="1:9" x14ac:dyDescent="0.15">
      <c r="A262" s="4" t="s">
        <v>1058</v>
      </c>
      <c r="B262" s="4" t="s">
        <v>1059</v>
      </c>
      <c r="C262" s="4" t="s">
        <v>1067</v>
      </c>
      <c r="D262" s="4" t="s">
        <v>1056</v>
      </c>
      <c r="E262" s="4" t="s">
        <v>1068</v>
      </c>
      <c r="F262" s="4" t="s">
        <v>1069</v>
      </c>
      <c r="G262" s="4" t="s">
        <v>1070</v>
      </c>
      <c r="H262" s="5" t="s">
        <v>326</v>
      </c>
      <c r="I262" s="5">
        <f t="shared" si="4"/>
        <v>1550</v>
      </c>
    </row>
    <row r="263" spans="1:9" x14ac:dyDescent="0.15">
      <c r="A263" s="4" t="s">
        <v>1069</v>
      </c>
      <c r="B263" s="4" t="s">
        <v>1070</v>
      </c>
      <c r="C263" s="4" t="s">
        <v>1071</v>
      </c>
      <c r="D263" s="4" t="s">
        <v>1056</v>
      </c>
      <c r="E263" s="4" t="s">
        <v>1072</v>
      </c>
      <c r="F263" s="4" t="s">
        <v>1073</v>
      </c>
      <c r="G263" s="4" t="s">
        <v>1073</v>
      </c>
      <c r="H263" s="5" t="s">
        <v>153</v>
      </c>
      <c r="I263" s="5">
        <f t="shared" si="4"/>
        <v>1550</v>
      </c>
    </row>
    <row r="264" spans="1:9" x14ac:dyDescent="0.15">
      <c r="A264" s="4" t="s">
        <v>1074</v>
      </c>
      <c r="B264" s="4" t="s">
        <v>1075</v>
      </c>
      <c r="C264" s="4" t="s">
        <v>1076</v>
      </c>
      <c r="D264" s="4" t="s">
        <v>1077</v>
      </c>
      <c r="E264" s="4" t="s">
        <v>1078</v>
      </c>
      <c r="F264" s="4" t="s">
        <v>447</v>
      </c>
      <c r="G264" s="4" t="s">
        <v>448</v>
      </c>
      <c r="H264" s="5" t="s">
        <v>153</v>
      </c>
      <c r="I264" s="5">
        <f t="shared" si="4"/>
        <v>1550</v>
      </c>
    </row>
    <row r="265" spans="1:9" x14ac:dyDescent="0.15">
      <c r="A265" s="4" t="s">
        <v>1079</v>
      </c>
      <c r="B265" s="4" t="s">
        <v>1080</v>
      </c>
      <c r="C265" s="4" t="s">
        <v>1081</v>
      </c>
      <c r="D265" s="4" t="s">
        <v>1077</v>
      </c>
      <c r="E265" s="4" t="s">
        <v>1082</v>
      </c>
      <c r="F265" s="4" t="s">
        <v>1073</v>
      </c>
      <c r="G265" s="4" t="s">
        <v>1073</v>
      </c>
      <c r="H265" s="5" t="s">
        <v>153</v>
      </c>
      <c r="I265" s="5">
        <f t="shared" si="4"/>
        <v>1550</v>
      </c>
    </row>
    <row r="266" spans="1:9" x14ac:dyDescent="0.15">
      <c r="A266" s="4" t="s">
        <v>1083</v>
      </c>
      <c r="B266" s="4" t="s">
        <v>1084</v>
      </c>
      <c r="C266" s="4" t="s">
        <v>1085</v>
      </c>
      <c r="D266" s="4" t="s">
        <v>1077</v>
      </c>
      <c r="E266" s="4" t="s">
        <v>1086</v>
      </c>
      <c r="F266" s="4" t="s">
        <v>1079</v>
      </c>
      <c r="G266" s="4" t="s">
        <v>1080</v>
      </c>
      <c r="H266" s="5" t="s">
        <v>16</v>
      </c>
      <c r="I266" s="5">
        <f t="shared" si="4"/>
        <v>1555</v>
      </c>
    </row>
    <row r="267" spans="1:9" x14ac:dyDescent="0.15">
      <c r="A267" s="4" t="s">
        <v>1087</v>
      </c>
      <c r="B267" s="4" t="s">
        <v>1088</v>
      </c>
      <c r="C267" s="4" t="s">
        <v>1089</v>
      </c>
      <c r="D267" s="4" t="s">
        <v>1077</v>
      </c>
      <c r="E267" s="4" t="s">
        <v>1090</v>
      </c>
      <c r="F267" s="4" t="s">
        <v>1079</v>
      </c>
      <c r="G267" s="4" t="s">
        <v>1080</v>
      </c>
      <c r="H267" s="5" t="s">
        <v>103</v>
      </c>
      <c r="I267" s="5">
        <f t="shared" si="4"/>
        <v>1559</v>
      </c>
    </row>
    <row r="268" spans="1:9" x14ac:dyDescent="0.15">
      <c r="A268" s="4" t="s">
        <v>101</v>
      </c>
      <c r="B268" s="4" t="s">
        <v>102</v>
      </c>
      <c r="C268" s="4" t="s">
        <v>1091</v>
      </c>
      <c r="D268" s="4" t="s">
        <v>1092</v>
      </c>
      <c r="E268" s="4" t="s">
        <v>1093</v>
      </c>
      <c r="F268" s="4" t="s">
        <v>1079</v>
      </c>
      <c r="G268" s="4" t="s">
        <v>1080</v>
      </c>
      <c r="H268" s="5" t="s">
        <v>16</v>
      </c>
      <c r="I268" s="5">
        <f t="shared" si="4"/>
        <v>1564</v>
      </c>
    </row>
    <row r="269" spans="1:9" x14ac:dyDescent="0.15">
      <c r="A269" s="4" t="s">
        <v>722</v>
      </c>
      <c r="B269" s="4" t="s">
        <v>723</v>
      </c>
      <c r="C269" s="4" t="s">
        <v>1094</v>
      </c>
      <c r="D269" s="4" t="s">
        <v>1095</v>
      </c>
      <c r="E269" s="4" t="s">
        <v>1096</v>
      </c>
      <c r="F269" s="4" t="s">
        <v>1079</v>
      </c>
      <c r="G269" s="4" t="s">
        <v>1080</v>
      </c>
      <c r="H269" s="5" t="s">
        <v>127</v>
      </c>
      <c r="I269" s="5">
        <f t="shared" si="4"/>
        <v>1570</v>
      </c>
    </row>
    <row r="270" spans="1:9" x14ac:dyDescent="0.15">
      <c r="A270" s="4" t="s">
        <v>643</v>
      </c>
      <c r="B270" s="4" t="s">
        <v>644</v>
      </c>
      <c r="C270" s="4" t="s">
        <v>1097</v>
      </c>
      <c r="D270" s="4" t="s">
        <v>1098</v>
      </c>
      <c r="E270" s="4" t="s">
        <v>1099</v>
      </c>
      <c r="F270" s="4" t="s">
        <v>1079</v>
      </c>
      <c r="G270" s="4" t="s">
        <v>1080</v>
      </c>
      <c r="H270" s="5" t="s">
        <v>16</v>
      </c>
      <c r="I270" s="5">
        <f t="shared" si="4"/>
        <v>1575</v>
      </c>
    </row>
    <row r="271" spans="1:9" x14ac:dyDescent="0.15">
      <c r="A271" s="4" t="s">
        <v>264</v>
      </c>
      <c r="B271" s="4" t="s">
        <v>265</v>
      </c>
      <c r="C271" s="4" t="s">
        <v>1100</v>
      </c>
      <c r="D271" s="4" t="s">
        <v>1101</v>
      </c>
      <c r="E271" s="4" t="s">
        <v>1102</v>
      </c>
      <c r="F271" s="4" t="s">
        <v>1079</v>
      </c>
      <c r="G271" s="4" t="s">
        <v>1080</v>
      </c>
      <c r="H271" s="5" t="s">
        <v>127</v>
      </c>
      <c r="I271" s="5">
        <f t="shared" si="4"/>
        <v>1581</v>
      </c>
    </row>
    <row r="272" spans="1:9" x14ac:dyDescent="0.15">
      <c r="A272" s="4" t="s">
        <v>1103</v>
      </c>
      <c r="B272" s="4" t="s">
        <v>1104</v>
      </c>
      <c r="C272" s="4" t="s">
        <v>1105</v>
      </c>
      <c r="D272" s="4" t="s">
        <v>1101</v>
      </c>
      <c r="E272" s="4" t="s">
        <v>1106</v>
      </c>
      <c r="F272" s="4" t="s">
        <v>264</v>
      </c>
      <c r="G272" s="4" t="s">
        <v>265</v>
      </c>
      <c r="H272" s="5" t="s">
        <v>16</v>
      </c>
      <c r="I272" s="5">
        <f t="shared" si="4"/>
        <v>1586</v>
      </c>
    </row>
    <row r="273" spans="1:9" x14ac:dyDescent="0.15">
      <c r="A273" s="4" t="s">
        <v>1107</v>
      </c>
      <c r="B273" s="4" t="s">
        <v>1108</v>
      </c>
      <c r="C273" s="4" t="s">
        <v>1109</v>
      </c>
      <c r="D273" s="4" t="s">
        <v>1110</v>
      </c>
      <c r="E273" s="4" t="s">
        <v>1111</v>
      </c>
      <c r="F273" s="4" t="s">
        <v>130</v>
      </c>
      <c r="G273" s="4" t="s">
        <v>131</v>
      </c>
      <c r="H273" s="5" t="s">
        <v>16</v>
      </c>
      <c r="I273" s="5">
        <f t="shared" si="4"/>
        <v>1591</v>
      </c>
    </row>
    <row r="274" spans="1:9" x14ac:dyDescent="0.15">
      <c r="A274" s="4" t="s">
        <v>130</v>
      </c>
      <c r="B274" s="4" t="s">
        <v>131</v>
      </c>
      <c r="C274" s="4" t="s">
        <v>1112</v>
      </c>
      <c r="D274" s="4" t="s">
        <v>1110</v>
      </c>
      <c r="E274" s="4" t="s">
        <v>1113</v>
      </c>
      <c r="F274" s="4" t="s">
        <v>1079</v>
      </c>
      <c r="G274" s="4" t="s">
        <v>1080</v>
      </c>
      <c r="H274" s="5" t="s">
        <v>16</v>
      </c>
      <c r="I274" s="5">
        <f t="shared" si="4"/>
        <v>1596</v>
      </c>
    </row>
    <row r="275" spans="1:9" x14ac:dyDescent="0.15">
      <c r="A275" s="4" t="s">
        <v>186</v>
      </c>
      <c r="B275" s="4" t="s">
        <v>187</v>
      </c>
      <c r="C275" s="4" t="s">
        <v>1114</v>
      </c>
      <c r="D275" s="4" t="s">
        <v>1115</v>
      </c>
      <c r="E275" s="4" t="s">
        <v>1116</v>
      </c>
      <c r="F275" s="4" t="s">
        <v>1079</v>
      </c>
      <c r="G275" s="4" t="s">
        <v>1080</v>
      </c>
      <c r="H275" s="5" t="s">
        <v>127</v>
      </c>
      <c r="I275" s="5">
        <f t="shared" ref="I275:I276" si="5">+I274+H275</f>
        <v>1602</v>
      </c>
    </row>
    <row r="276" spans="1:9" x14ac:dyDescent="0.15">
      <c r="A276" s="4" t="s">
        <v>119</v>
      </c>
      <c r="B276" s="4" t="s">
        <v>120</v>
      </c>
      <c r="C276" s="4" t="s">
        <v>1117</v>
      </c>
      <c r="D276" s="4" t="s">
        <v>1118</v>
      </c>
      <c r="E276" s="4" t="s">
        <v>1119</v>
      </c>
      <c r="F276" s="4" t="s">
        <v>1079</v>
      </c>
      <c r="G276" s="4" t="s">
        <v>1080</v>
      </c>
      <c r="H276" s="5" t="s">
        <v>16</v>
      </c>
      <c r="I276" s="5">
        <f t="shared" si="5"/>
        <v>1607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Salgado Betancourth</dc:creator>
  <cp:lastModifiedBy>Diego Salgado Betancourth</cp:lastModifiedBy>
  <dcterms:created xsi:type="dcterms:W3CDTF">2025-09-11T17:59:47Z</dcterms:created>
  <dcterms:modified xsi:type="dcterms:W3CDTF">2025-09-11T18:00:01Z</dcterms:modified>
</cp:coreProperties>
</file>